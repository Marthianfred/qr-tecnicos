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tables/table1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vera\Desktop\01 INSTITUTO TECONOLOGICO  FIBEX (ITF)\01 TECNICOS INTERNOS FIBEX\LISTADO GENERAL DEL PERSONAL TECNICO FIBEX\"/>
    </mc:Choice>
  </mc:AlternateContent>
  <bookViews>
    <workbookView xWindow="0" yWindow="0" windowWidth="28800" windowHeight="12180" firstSheet="4" activeTab="4"/>
  </bookViews>
  <sheets>
    <sheet name="Hoja5 (2)" sheetId="12" state="hidden" r:id="rId1"/>
    <sheet name="Dist.por Dpto." sheetId="14" state="hidden" r:id="rId2"/>
    <sheet name="Dist.por Edo." sheetId="15" state="hidden" r:id="rId3"/>
    <sheet name="Data Completa" sheetId="9" state="hidden" r:id="rId4"/>
    <sheet name="Dat. Sin Egreso" sheetId="27" r:id="rId5"/>
    <sheet name="Hoja2" sheetId="28" state="hidden" r:id="rId6"/>
    <sheet name="Hoja5" sheetId="10" state="hidden" r:id="rId7"/>
    <sheet name="Data Completa Orden" sheetId="8" state="hidden" r:id="rId8"/>
    <sheet name="Certificados" sheetId="1" state="hidden" r:id="rId9"/>
    <sheet name="No Certificados" sheetId="2" state="hidden" r:id="rId10"/>
    <sheet name="Tabla Dinamica No Certificados" sheetId="3" state="hidden" r:id="rId11"/>
    <sheet name="grafica" sheetId="5" state="hidden" r:id="rId12"/>
    <sheet name="No Certificados x Dpto." sheetId="16" state="hidden" r:id="rId13"/>
    <sheet name="No y Si Certificados x Cargo" sheetId="23" state="hidden" r:id="rId14"/>
    <sheet name="1 Etapa Aprobada" sheetId="18" state="hidden" r:id="rId15"/>
    <sheet name="2 Etapa Aprobada" sheetId="19" state="hidden" r:id="rId16"/>
    <sheet name="3 Etapa Por Cursar" sheetId="21" state="hidden" r:id="rId17"/>
    <sheet name="Si Certificados x Dpto." sheetId="17" state="hidden" r:id="rId18"/>
    <sheet name="Hoja3" sheetId="24" state="hidden" r:id="rId19"/>
    <sheet name="Hoja1" sheetId="6" state="hidden" r:id="rId20"/>
  </sheets>
  <definedNames>
    <definedName name="_xlnm._FilterDatabase" localSheetId="4" hidden="1">Hoja3!$B$6:$D$22</definedName>
    <definedName name="_xlnm._FilterDatabase" localSheetId="3" hidden="1">Hoja3!$B$6:$D$22</definedName>
  </definedNames>
  <calcPr calcId="162913"/>
  <pivotCaches>
    <pivotCache cacheId="4" r:id="rId21"/>
    <pivotCache cacheId="5" r:id="rId22"/>
    <pivotCache cacheId="6" r:id="rId23"/>
    <pivotCache cacheId="7" r:id="rId2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438" i="27" l="1"/>
  <c r="M438" i="27"/>
  <c r="M464" i="9"/>
  <c r="Q464" i="9"/>
  <c r="Q438" i="27" l="1"/>
  <c r="O438" i="27"/>
  <c r="H438" i="27"/>
  <c r="E38" i="5" l="1"/>
  <c r="G38" i="5" l="1"/>
  <c r="F38" i="5"/>
  <c r="O464" i="9"/>
  <c r="J7" i="5" l="1"/>
  <c r="J8" i="5"/>
  <c r="F14" i="14" l="1"/>
  <c r="K14" i="14"/>
  <c r="M17" i="15"/>
  <c r="H464" i="9"/>
  <c r="Y137" i="9"/>
  <c r="R137" i="8"/>
  <c r="N137" i="1" l="1"/>
  <c r="N207" i="2"/>
  <c r="G201" i="2" l="1"/>
</calcChain>
</file>

<file path=xl/sharedStrings.xml><?xml version="1.0" encoding="utf-8"?>
<sst xmlns="http://schemas.openxmlformats.org/spreadsheetml/2006/main" count="19564" uniqueCount="936">
  <si>
    <t>CARABOBO</t>
  </si>
  <si>
    <t>FERNANDO HERNANDEZ</t>
  </si>
  <si>
    <t>RODRIGO FLORES</t>
  </si>
  <si>
    <t>MIGUEL SALAZAR</t>
  </si>
  <si>
    <t>LUIS ROJAS</t>
  </si>
  <si>
    <t>JERITZON VANEGAS</t>
  </si>
  <si>
    <t>JONATHAN SALDIVIA</t>
  </si>
  <si>
    <t>CESAR LEAL</t>
  </si>
  <si>
    <t>EDUARDO RAMOS</t>
  </si>
  <si>
    <t xml:space="preserve">FERNANDO CASTILLO </t>
  </si>
  <si>
    <t>ANGEL RODRIGUEZ</t>
  </si>
  <si>
    <t>JOEL JIMENEZ</t>
  </si>
  <si>
    <t>KLEIBER COSTE</t>
  </si>
  <si>
    <t xml:space="preserve">ISMAEL CASTRO </t>
  </si>
  <si>
    <t>YOSMAN VEGAS</t>
  </si>
  <si>
    <t>ANZOATEGUI</t>
  </si>
  <si>
    <t>PEDRO HADDAD</t>
  </si>
  <si>
    <t>GABRIEL MARQUEZ</t>
  </si>
  <si>
    <t>CARLOS OCANDO</t>
  </si>
  <si>
    <t>RAFAEL URBINA</t>
  </si>
  <si>
    <t>COJEDES</t>
  </si>
  <si>
    <t>YOSMAR COBO</t>
  </si>
  <si>
    <t>FIDEL ANDRADES</t>
  </si>
  <si>
    <t>JOSETH FIGUEROA</t>
  </si>
  <si>
    <t>JESUS SEQUERA</t>
  </si>
  <si>
    <t>AMILCAR REYES</t>
  </si>
  <si>
    <t>ANDERSON CANCINES</t>
  </si>
  <si>
    <t>CARACAS</t>
  </si>
  <si>
    <t>ENRIQUE GOTA</t>
  </si>
  <si>
    <t>DAVID CADIZ</t>
  </si>
  <si>
    <t>JHOJAN VILLEGAS</t>
  </si>
  <si>
    <t>LARA</t>
  </si>
  <si>
    <t>EDWIN SILVA</t>
  </si>
  <si>
    <t>FERNANDO RONDON</t>
  </si>
  <si>
    <t>OSCAR RIVERO</t>
  </si>
  <si>
    <t>ANDRU FIGUEROA</t>
  </si>
  <si>
    <t>GUARICO</t>
  </si>
  <si>
    <t>JOSE LUIS GONZALEZ</t>
  </si>
  <si>
    <t>BRAULIO CARRILLO</t>
  </si>
  <si>
    <t>NUEVA ESPARTA</t>
  </si>
  <si>
    <t>GERMAIN GONZALEZ</t>
  </si>
  <si>
    <t>WILLIAMS ROMERO</t>
  </si>
  <si>
    <t>ANDRES VALDIVIEZO</t>
  </si>
  <si>
    <t>PABLO LOPEZ</t>
  </si>
  <si>
    <t>Zona</t>
  </si>
  <si>
    <t>Nombre y Apellido</t>
  </si>
  <si>
    <t>C.I.</t>
  </si>
  <si>
    <t>Cargo</t>
  </si>
  <si>
    <t>Departamento</t>
  </si>
  <si>
    <t>CARLOS ADIAN RUBIN</t>
  </si>
  <si>
    <t>Técnico</t>
  </si>
  <si>
    <t>Auxiliar</t>
  </si>
  <si>
    <t>Departamentos</t>
  </si>
  <si>
    <t>CDR</t>
  </si>
  <si>
    <t>Implementación</t>
  </si>
  <si>
    <t>MDC</t>
  </si>
  <si>
    <t>O&amp;M</t>
  </si>
  <si>
    <t>JHONNY VILLAROEL</t>
  </si>
  <si>
    <t>JAROLD MEDINA</t>
  </si>
  <si>
    <t>LAMBERTO MARTINEZ</t>
  </si>
  <si>
    <t>EDUARDO PARAQUEIMO</t>
  </si>
  <si>
    <t>DERVIS GARCIA</t>
  </si>
  <si>
    <t>SAMUEL CURA</t>
  </si>
  <si>
    <t>FIDEL FERMIN</t>
  </si>
  <si>
    <t>JORGE RODRIGUEZ</t>
  </si>
  <si>
    <t>VICTOR FIGUEROA</t>
  </si>
  <si>
    <t>SUCRE</t>
  </si>
  <si>
    <t>JUAN ALIZA</t>
  </si>
  <si>
    <t>FRANKLIN RAMIREZ</t>
  </si>
  <si>
    <t>BARINAS</t>
  </si>
  <si>
    <t xml:space="preserve">JOSE MARTINEZ </t>
  </si>
  <si>
    <t xml:space="preserve">JOAN MORENO </t>
  </si>
  <si>
    <t xml:space="preserve">OSWALDO SANOJA </t>
  </si>
  <si>
    <t xml:space="preserve">YIMBERT SANTIAGO </t>
  </si>
  <si>
    <t xml:space="preserve">JOSE OBISPO </t>
  </si>
  <si>
    <t xml:space="preserve">MOISES PINTO </t>
  </si>
  <si>
    <t xml:space="preserve">MERBYS MALAVE </t>
  </si>
  <si>
    <t xml:space="preserve">DANY QUINTERO </t>
  </si>
  <si>
    <t>CESAR MORILLO</t>
  </si>
  <si>
    <t xml:space="preserve">ROLANDO CANELON </t>
  </si>
  <si>
    <t xml:space="preserve">ARNALDO VALLESE </t>
  </si>
  <si>
    <t xml:space="preserve">ANDERSON RIVERO </t>
  </si>
  <si>
    <t xml:space="preserve">WUILLY ESCALONA </t>
  </si>
  <si>
    <t xml:space="preserve">ANTHONY TOVAR </t>
  </si>
  <si>
    <t xml:space="preserve">KEIVID OLIVERO </t>
  </si>
  <si>
    <t xml:space="preserve">JORBER ROMERO </t>
  </si>
  <si>
    <t xml:space="preserve">CARLOS IZQUIERDO </t>
  </si>
  <si>
    <t xml:space="preserve">JOSE RANGEL </t>
  </si>
  <si>
    <t>JHONNY JIMENEZ</t>
  </si>
  <si>
    <t>ABRAHAM MARTINEZ</t>
  </si>
  <si>
    <t>DANIEL CASTELLANOS</t>
  </si>
  <si>
    <t>ARGENIS MAREA</t>
  </si>
  <si>
    <t>WILLIAN MENDEZ</t>
  </si>
  <si>
    <t>HERNAN RODRIGUEZ</t>
  </si>
  <si>
    <t>JOSE BANDRES</t>
  </si>
  <si>
    <t>JEAN PIERRE PEÑUELA</t>
  </si>
  <si>
    <t>JARO VILORIA</t>
  </si>
  <si>
    <t>WILLIAM STARLYN MOREY ACOSTA</t>
  </si>
  <si>
    <t>TERSY ALI FERRER ROMERO</t>
  </si>
  <si>
    <t xml:space="preserve">CARLOS DAVID LINARES HERNANDEZ                             </t>
  </si>
  <si>
    <t xml:space="preserve">RICHARD ALEJANDRO DIAZ DIAZ                            </t>
  </si>
  <si>
    <t>JESUS EDUARDO MENDOZA MERCADO</t>
  </si>
  <si>
    <t xml:space="preserve">GUEVARA GUEVARA CRISTHIAN JOSE                                                 </t>
  </si>
  <si>
    <t xml:space="preserve">FRANKLIN JAVIER SALAZAR GALLARDO                         </t>
  </si>
  <si>
    <t>RICARDO DAVID CASTILLO RONDON</t>
  </si>
  <si>
    <t>EDGAR JOSE FLORES MARTINEZ</t>
  </si>
  <si>
    <t>JULIO CESAR AROCHA BRITO</t>
  </si>
  <si>
    <t>FRANKLIN JESUS LOPEZ DELGADO</t>
  </si>
  <si>
    <t>ALEXANDER JOSE GREGORIO VELASQUEZ</t>
  </si>
  <si>
    <t>LUIS MIGUEL MARIN ARIAS</t>
  </si>
  <si>
    <t>ANGEL DAVID ALVAREZ CORDOBA</t>
  </si>
  <si>
    <t>BRANDON GARRIDO</t>
  </si>
  <si>
    <t>JOSE WALKAR</t>
  </si>
  <si>
    <t xml:space="preserve"> WILFREDO MORALES</t>
  </si>
  <si>
    <t xml:space="preserve"> ISAIR LOZADA</t>
  </si>
  <si>
    <t>JOSE ONORES</t>
  </si>
  <si>
    <t xml:space="preserve"> JOEL DURAN</t>
  </si>
  <si>
    <t>GUSTAVO QUIARO</t>
  </si>
  <si>
    <t>ROYS GUEVARA</t>
  </si>
  <si>
    <t>KEIVER BERROTERAN</t>
  </si>
  <si>
    <t>JESUS ALEXIS MARTINEZ TOVAR</t>
  </si>
  <si>
    <t xml:space="preserve">CESAR AUGUSTO BRICEÑO CASTILLO </t>
  </si>
  <si>
    <t>LUIS ALFONZO HERNANDEZ MOLINA</t>
  </si>
  <si>
    <t xml:space="preserve"> MARK MACGWIRE EDUARDO LOYO MORILLO </t>
  </si>
  <si>
    <t>ESTEBAN ISIDRO COLINA CONTRERAS</t>
  </si>
  <si>
    <t>STEVEN JAVIER CASTILLO BAZAN</t>
  </si>
  <si>
    <t>NEIBER CAMPOS OJEDA</t>
  </si>
  <si>
    <t xml:space="preserve">LUIS GABRIEL SANCHEZ GARCIA </t>
  </si>
  <si>
    <t>ARNOLD DAMIEL ATENCIO OJEDA</t>
  </si>
  <si>
    <t>GABRIEL EFRAIN PARRA RODRIGUEZ</t>
  </si>
  <si>
    <t>BRANDON SHANE ESTRADA SALGUERO</t>
  </si>
  <si>
    <t>CARLOS DANIEL PEROZO INFANTE</t>
  </si>
  <si>
    <t xml:space="preserve"> ACER ANTONIO MUÑOZ SIERRA</t>
  </si>
  <si>
    <t>ERICK CASTILLO CASTILLO</t>
  </si>
  <si>
    <t>DANIEL ALEJANDRO AMAYA LOPEZ</t>
  </si>
  <si>
    <t>JOEL RODRIGUEZ</t>
  </si>
  <si>
    <t>JORGE LUIS GAUNA SUAREZ</t>
  </si>
  <si>
    <t>ROXDUAL ALEJANDRO PEREZ MENDEZ</t>
  </si>
  <si>
    <t>CARLOS EDUARDO NEGRETTE REYES</t>
  </si>
  <si>
    <t>ROBERT ANTONIO VARGAS LINARES</t>
  </si>
  <si>
    <t>PABLO DAVID VALBUENA LOPEZ</t>
  </si>
  <si>
    <t>LUIS JESUS GELVEZ OCHOA</t>
  </si>
  <si>
    <t>LUIS DARIO PIÑANGO BOHORQUEZ</t>
  </si>
  <si>
    <t>JOSÉ LUIS OLIVO SANCHEZ</t>
  </si>
  <si>
    <t>ISRAEL SILOE COLMENARES LOPEZ</t>
  </si>
  <si>
    <t>ARGENIS JOSE NUÑEZ MATOS</t>
  </si>
  <si>
    <t>ANDRY VICENTE FLORES SALAZAR</t>
  </si>
  <si>
    <t>Conector Mecánico</t>
  </si>
  <si>
    <t>Mangas y Cajas</t>
  </si>
  <si>
    <t>Despliegue y Tendido</t>
  </si>
  <si>
    <t>Ozmap, Ozlock, Ozmob</t>
  </si>
  <si>
    <t>x</t>
  </si>
  <si>
    <t>TITO JOSE GARCIA BELLO</t>
  </si>
  <si>
    <t>ROOUSBEL HERNANDEZ</t>
  </si>
  <si>
    <t xml:space="preserve">ALEXIS CASTRO </t>
  </si>
  <si>
    <t>JOHAN RAFAEL APONTE</t>
  </si>
  <si>
    <t xml:space="preserve">PEDRO PABLO RAMIREZ HERNANDEZ </t>
  </si>
  <si>
    <t>JEFFERSON ORLANDO LAREZ MARIN</t>
  </si>
  <si>
    <t>JORGE LUIS JOSE RODRIGUEZ MUÑOZ</t>
  </si>
  <si>
    <t>KEVIN JOSE NAVA VIERAS</t>
  </si>
  <si>
    <t>JESUS ANTONIO AÑEZ GUARACO</t>
  </si>
  <si>
    <t>ALEXANDER JOSE TERAN RAMIREZ</t>
  </si>
  <si>
    <t>EDWIN JOSE SILVA GIMENEZ</t>
  </si>
  <si>
    <t>OSCAR JOSE RIVERO RODRIGUEZ</t>
  </si>
  <si>
    <t>OMAR CAMACARO</t>
  </si>
  <si>
    <t>FERNANDO ANDRES RONDON ARAPE</t>
  </si>
  <si>
    <t>ANDRU DE LOS SANTOS FIGUEROA PEROZO</t>
  </si>
  <si>
    <t>DANIEL ANDRES YAGUAS TORREALBA</t>
  </si>
  <si>
    <t>EDGAR JOSE MUJICA PIÑA</t>
  </si>
  <si>
    <t>KEOMA JESUS EDUARDO HERNANDEZ ROJAS</t>
  </si>
  <si>
    <t>YON ELIMELEC SALAZAR CANELON</t>
  </si>
  <si>
    <t>ENRIQUE ANTONIO COLINA RODRIGUEZ</t>
  </si>
  <si>
    <t>CARLOS ALEXANDER LINAREZ MELENDEZ</t>
  </si>
  <si>
    <t xml:space="preserve">JOSE ARRIECHE </t>
  </si>
  <si>
    <t>CARLOS ALBERTO VERA ZURITA</t>
  </si>
  <si>
    <t>JOSÉ ANGEL WANKLAAR NÚÑEZ</t>
  </si>
  <si>
    <t>JOSE RENEE MACHADO FERREIRO</t>
  </si>
  <si>
    <t>CARLOS ENRIQUE  PEREZ RAMOS</t>
  </si>
  <si>
    <t>BRANDO SEGUNDO GARRIDO GONZALEZ</t>
  </si>
  <si>
    <t>JESUS ELIAS MONTILLA MENDEZ</t>
  </si>
  <si>
    <t>ALEXIS DURÁN</t>
  </si>
  <si>
    <t>ELISAUL BENÍTEZ</t>
  </si>
  <si>
    <t>JOSE ANYER RODRIGUEZ SEGUERI</t>
  </si>
  <si>
    <t>Julio Santamaria</t>
  </si>
  <si>
    <t>Marcos Guaregua</t>
  </si>
  <si>
    <t>Carlos Montilla (Validar)</t>
  </si>
  <si>
    <t>Abelardo Yrobo</t>
  </si>
  <si>
    <t>Luis Pacheco</t>
  </si>
  <si>
    <t>Melvin Rodriguez</t>
  </si>
  <si>
    <t>Jason Graterol</t>
  </si>
  <si>
    <t>Luis Decena</t>
  </si>
  <si>
    <t>Carlos Abad</t>
  </si>
  <si>
    <t>Ronny Garcia</t>
  </si>
  <si>
    <t>Medardo Munoz</t>
  </si>
  <si>
    <t>Kenner Cuba</t>
  </si>
  <si>
    <t>Jose Daniel Salazar</t>
  </si>
  <si>
    <t>Jairo Blanco</t>
  </si>
  <si>
    <t>Franklin Flores</t>
  </si>
  <si>
    <t>Jose Rodriguez</t>
  </si>
  <si>
    <t>Bachir Ajami Chami</t>
  </si>
  <si>
    <t>Pablo Torres</t>
  </si>
  <si>
    <t>Kennys Bastida</t>
  </si>
  <si>
    <t>Mauro Aguilar</t>
  </si>
  <si>
    <t>Jose Brito</t>
  </si>
  <si>
    <t>Marcos Perez</t>
  </si>
  <si>
    <t>Luis Aparicio</t>
  </si>
  <si>
    <t>Jose Mireles</t>
  </si>
  <si>
    <t>Miguel Lopez</t>
  </si>
  <si>
    <t>Eduardo Sandoval</t>
  </si>
  <si>
    <t>Carlos Adames</t>
  </si>
  <si>
    <t>Jose Navas</t>
  </si>
  <si>
    <t>Yohan Peraza</t>
  </si>
  <si>
    <t>Armando Caicedo</t>
  </si>
  <si>
    <t>Luis Franchi</t>
  </si>
  <si>
    <t>Eudimar Aguirre</t>
  </si>
  <si>
    <t>Gustavo Alvarado</t>
  </si>
  <si>
    <t>Domysmer Perez</t>
  </si>
  <si>
    <t>Daniel Parra</t>
  </si>
  <si>
    <t>Andres Castillo</t>
  </si>
  <si>
    <t>Wilson Ponce</t>
  </si>
  <si>
    <t>Luis Farfan</t>
  </si>
  <si>
    <t>Jesus Brito</t>
  </si>
  <si>
    <t>Moises Berenzuela</t>
  </si>
  <si>
    <t>Keyber Davila</t>
  </si>
  <si>
    <t>Alain Garcia</t>
  </si>
  <si>
    <t>Kevin Yablonkis</t>
  </si>
  <si>
    <t>Simon Vegas</t>
  </si>
  <si>
    <t>Hosnel Centeno</t>
  </si>
  <si>
    <t>Rafael Solozarno</t>
  </si>
  <si>
    <t>Mitchel Rivas</t>
  </si>
  <si>
    <t>Javier Ruiz</t>
  </si>
  <si>
    <t>Jean Castillo</t>
  </si>
  <si>
    <t>David Gassette</t>
  </si>
  <si>
    <t>Hugo Martinez</t>
  </si>
  <si>
    <t>Martin Andres Uribe (Promocion)</t>
  </si>
  <si>
    <t>Jhonny Peralta</t>
  </si>
  <si>
    <t>Jose Rangel</t>
  </si>
  <si>
    <t>Wuilman Salvatierra</t>
  </si>
  <si>
    <t>Marlon Utreras</t>
  </si>
  <si>
    <t>Romulo Rincones</t>
  </si>
  <si>
    <t>Alis Arana</t>
  </si>
  <si>
    <t>Francisco Belisario</t>
  </si>
  <si>
    <t>Jose Garrido</t>
  </si>
  <si>
    <t>Jose Flores</t>
  </si>
  <si>
    <t>Eliecer Silva</t>
  </si>
  <si>
    <t>Victor Ortiz</t>
  </si>
  <si>
    <t>Evel Campos</t>
  </si>
  <si>
    <t>Jose Astudillo (cambio)</t>
  </si>
  <si>
    <t>Arnaldo Martinez (promocion)</t>
  </si>
  <si>
    <t>Juan Santaella (promocion)</t>
  </si>
  <si>
    <t>Antonio Cerruto</t>
  </si>
  <si>
    <t>Jhon Chavez</t>
  </si>
  <si>
    <t>Ali Tranquini</t>
  </si>
  <si>
    <t>Endy Gonzalez</t>
  </si>
  <si>
    <t>Eliezer Segovia</t>
  </si>
  <si>
    <t>Sandru Perez</t>
  </si>
  <si>
    <t>Hector Torrealba</t>
  </si>
  <si>
    <t>APURE</t>
  </si>
  <si>
    <t>Supervisor</t>
  </si>
  <si>
    <t>Jhonny Rondon</t>
  </si>
  <si>
    <t>Jose Velsquez</t>
  </si>
  <si>
    <t>MONAGAS</t>
  </si>
  <si>
    <t>Juan Cesin</t>
  </si>
  <si>
    <t>Jean Moussa</t>
  </si>
  <si>
    <t>Candido Estanga</t>
  </si>
  <si>
    <t>Niumar Mata</t>
  </si>
  <si>
    <t>Andres Valdiviezo</t>
  </si>
  <si>
    <t>Ruben Cañas</t>
  </si>
  <si>
    <t>Jorge Nuñez</t>
  </si>
  <si>
    <t>Jesus Ramirez</t>
  </si>
  <si>
    <t>Juan Pablo Lopez</t>
  </si>
  <si>
    <t>Nanyor Abache</t>
  </si>
  <si>
    <t>Jesus Mata</t>
  </si>
  <si>
    <t>Rafael Gutierrez</t>
  </si>
  <si>
    <t>Luis Patiño</t>
  </si>
  <si>
    <t>Daniel Calvo</t>
  </si>
  <si>
    <t>Gabriel Chirinos</t>
  </si>
  <si>
    <t>JeanPiere Malave</t>
  </si>
  <si>
    <t>Jesus Romero</t>
  </si>
  <si>
    <t>Sucre</t>
  </si>
  <si>
    <t>Jose Aparicio</t>
  </si>
  <si>
    <t>Wladimir Rodriguez</t>
  </si>
  <si>
    <t>Eluis Madrid</t>
  </si>
  <si>
    <t>Reynaldo Patiño</t>
  </si>
  <si>
    <t>Juan Cabeza</t>
  </si>
  <si>
    <t>Moises Salazar</t>
  </si>
  <si>
    <t>Manuel Zabala</t>
  </si>
  <si>
    <t>Jesus Aponte</t>
  </si>
  <si>
    <t>Total general</t>
  </si>
  <si>
    <t>Contador</t>
  </si>
  <si>
    <t>Total</t>
  </si>
  <si>
    <t>Proceso</t>
  </si>
  <si>
    <t>Certificado</t>
  </si>
  <si>
    <t>Por Certificar</t>
  </si>
  <si>
    <t>Total Personal</t>
  </si>
  <si>
    <t>Jonathan Alvarado</t>
  </si>
  <si>
    <t>Coordinador Nacional GPON</t>
  </si>
  <si>
    <t>Andres Martinez</t>
  </si>
  <si>
    <t>Supervisor GPON</t>
  </si>
  <si>
    <t>Andres Brito</t>
  </si>
  <si>
    <t>Tecnico II (Fibra)</t>
  </si>
  <si>
    <t>Keiber Rodriguez</t>
  </si>
  <si>
    <t>Auxiliar II (Fibra)</t>
  </si>
  <si>
    <t>WIlmer Ochoa</t>
  </si>
  <si>
    <t>David Villanueva</t>
  </si>
  <si>
    <t>Jesus Milla</t>
  </si>
  <si>
    <t>Diego Valera</t>
  </si>
  <si>
    <t>Felizardo Fabelo</t>
  </si>
  <si>
    <t>Edgar Ojeda</t>
  </si>
  <si>
    <t>Gabriel Silva</t>
  </si>
  <si>
    <t>Rodolfo Escalona</t>
  </si>
  <si>
    <t>ENDRY DIAZ</t>
  </si>
  <si>
    <t>MANUEL ESPITIA</t>
  </si>
  <si>
    <t>GREGORI VILORIA</t>
  </si>
  <si>
    <t>MANUEL MARCHAN</t>
  </si>
  <si>
    <t>GREGORY ZAPATA</t>
  </si>
  <si>
    <t>KELVIN GARCIA</t>
  </si>
  <si>
    <t>RAFAEL OLMOS</t>
  </si>
  <si>
    <t>MAIKER COLMENARES</t>
  </si>
  <si>
    <t>CARLOS NAVEDA</t>
  </si>
  <si>
    <t>RAFAEL ECHEVERRÍA</t>
  </si>
  <si>
    <t>OSCAR HERRERA</t>
  </si>
  <si>
    <t>RAIBER ROJAS</t>
  </si>
  <si>
    <t>ALEXANDER GENTILE</t>
  </si>
  <si>
    <t>JACKSON LINERO</t>
  </si>
  <si>
    <t>RAFAEL MARTINEZ</t>
  </si>
  <si>
    <t>EMMANUEL ZILIANI</t>
  </si>
  <si>
    <t>DANIEL PALENCIA</t>
  </si>
  <si>
    <t>ARGENIS RODRIGUEZ</t>
  </si>
  <si>
    <t>YONATHAN TERÁN</t>
  </si>
  <si>
    <t>JOSÉ ACOSTA</t>
  </si>
  <si>
    <t>ENYER SEMPRUN</t>
  </si>
  <si>
    <t>JESÚS FLORES</t>
  </si>
  <si>
    <t>LENNER ROSARIO</t>
  </si>
  <si>
    <t>DAMASO MONTESINOS</t>
  </si>
  <si>
    <t>ANTONIO MORILLO</t>
  </si>
  <si>
    <t>YOAN TERÁN</t>
  </si>
  <si>
    <t>contador</t>
  </si>
  <si>
    <t>KEVIN PRADO</t>
  </si>
  <si>
    <t>Analista</t>
  </si>
  <si>
    <t>TECNICO II DE IMPLEMENTACION</t>
  </si>
  <si>
    <t>DENNYS MANUEL SANDOVAL  ORELLANA</t>
  </si>
  <si>
    <t xml:space="preserve">LALESKA BRIGGIT PEÑA VELASQUEZ </t>
  </si>
  <si>
    <t>SUPERVISOR DE IMPLEMENTACION</t>
  </si>
  <si>
    <t>Analista de Operaciones</t>
  </si>
  <si>
    <t>HANSIELL PADRON MUÑOZ</t>
  </si>
  <si>
    <t>Tecnico I</t>
  </si>
  <si>
    <t>JUAN RINCON MESA</t>
  </si>
  <si>
    <t>JONIEL PADRON MUÑOZ</t>
  </si>
  <si>
    <t>HERMES PINEDA</t>
  </si>
  <si>
    <t>Supervisor de Operaciones</t>
  </si>
  <si>
    <t>Alex Godoy</t>
  </si>
  <si>
    <t>ARMANDO PADILLA</t>
  </si>
  <si>
    <t>LUIS NAVEDA</t>
  </si>
  <si>
    <t>HANS GUTIERREZ</t>
  </si>
  <si>
    <t>CRISTOPHER GUTIERREZ</t>
  </si>
  <si>
    <t>JOSÉ ARIAS</t>
  </si>
  <si>
    <t>HERZONG GIL</t>
  </si>
  <si>
    <t>HECTOR CARMESA</t>
  </si>
  <si>
    <t>WANDER OCHOA</t>
  </si>
  <si>
    <t>NELSON FLORES</t>
  </si>
  <si>
    <t>DARWIN PEREZ</t>
  </si>
  <si>
    <t>Coordinador</t>
  </si>
  <si>
    <t>VALLESE CORONEL, ARNALDO XAVIER</t>
  </si>
  <si>
    <t>MORENO VARON, JOAN ERNESTO</t>
  </si>
  <si>
    <t>BLANCO CARMONA, WILMER LUIS</t>
  </si>
  <si>
    <t>MARVAL, HUMBERTO JOSE</t>
  </si>
  <si>
    <t>VILCHEZ APARICIO, JAVIER ENRIQUE</t>
  </si>
  <si>
    <t>Dpto.</t>
  </si>
  <si>
    <t>ZONA CARABOBO</t>
  </si>
  <si>
    <r>
      <rPr>
        <b/>
        <sz val="18"/>
        <color theme="1"/>
        <rFont val="Calibri"/>
        <family val="2"/>
        <scheme val="minor"/>
      </rPr>
      <t>Departamento</t>
    </r>
    <r>
      <rPr>
        <sz val="18"/>
        <color theme="1"/>
        <rFont val="Calibri"/>
        <family val="2"/>
        <scheme val="minor"/>
      </rPr>
      <t>: CDR</t>
    </r>
  </si>
  <si>
    <r>
      <rPr>
        <b/>
        <sz val="18"/>
        <color theme="1"/>
        <rFont val="Calibri"/>
        <family val="2"/>
        <scheme val="minor"/>
      </rPr>
      <t>Departamento</t>
    </r>
    <r>
      <rPr>
        <sz val="18"/>
        <color theme="1"/>
        <rFont val="Calibri"/>
        <family val="2"/>
        <scheme val="minor"/>
      </rPr>
      <t>: MDC</t>
    </r>
  </si>
  <si>
    <r>
      <rPr>
        <b/>
        <sz val="18"/>
        <color theme="1"/>
        <rFont val="Calibri"/>
        <family val="2"/>
        <scheme val="minor"/>
      </rPr>
      <t>Departamento</t>
    </r>
    <r>
      <rPr>
        <sz val="18"/>
        <color theme="1"/>
        <rFont val="Calibri"/>
        <family val="2"/>
        <scheme val="minor"/>
      </rPr>
      <t>: O&amp;M</t>
    </r>
  </si>
  <si>
    <t>Grupo A</t>
  </si>
  <si>
    <t>Id.</t>
  </si>
  <si>
    <t>Grupo B</t>
  </si>
  <si>
    <t>Grupo C</t>
  </si>
  <si>
    <t>Seguridad para Instaladores de FTTH</t>
  </si>
  <si>
    <t>Control en Campo</t>
  </si>
  <si>
    <t>Certificación Técnico Medio</t>
  </si>
  <si>
    <t>Certificación Técnico Premiun</t>
  </si>
  <si>
    <t>Si</t>
  </si>
  <si>
    <t>No</t>
  </si>
  <si>
    <t>Etiquetas de fila</t>
  </si>
  <si>
    <t>Total General</t>
  </si>
  <si>
    <t>Estado</t>
  </si>
  <si>
    <t>Supervisor de Implementación</t>
  </si>
  <si>
    <t>Técnico II de Implementación</t>
  </si>
  <si>
    <t>DEPARTAMENTO</t>
  </si>
  <si>
    <t>IMPLEMENTACION</t>
  </si>
  <si>
    <t>CARGO</t>
  </si>
  <si>
    <t>Total General:</t>
  </si>
  <si>
    <t>Total por Cargo:</t>
  </si>
  <si>
    <t>GERMAIN RODOLFO GONZALEZ LOPEZ</t>
  </si>
  <si>
    <t>AUXILIAR II</t>
  </si>
  <si>
    <t>ANDRES RAFAEL VALDIVIEZO TORMES</t>
  </si>
  <si>
    <t>WILLIAMS ELIESER ROMERO BARELA</t>
  </si>
  <si>
    <t>JUAN PABLO LOPEZ MARCANO</t>
  </si>
  <si>
    <t>AUXILIAR I</t>
  </si>
  <si>
    <t>NIUMAR MANUEL MATA VERA</t>
  </si>
  <si>
    <t>TECNICO II</t>
  </si>
  <si>
    <t>RUBEN DAVID CANAS ROSADO</t>
  </si>
  <si>
    <t>JORGE LUIS NUNEZ AGUILERA</t>
  </si>
  <si>
    <t>JESUS RAFAEL MATA MARCANO</t>
  </si>
  <si>
    <t>JESUS ANDRES RAMIREZ ROMERO</t>
  </si>
  <si>
    <t>MANTENIMIENTO DE TRONCALES</t>
  </si>
  <si>
    <t>NANYOR ENRIQUE ABACHE LOZADA</t>
  </si>
  <si>
    <t>AARON RAFAEL CHACON OLIVERO</t>
  </si>
  <si>
    <t>BRAYAN MOISES VALDEZ GARCIA</t>
  </si>
  <si>
    <t>CARLOS JAVIER HAMANA PINO</t>
  </si>
  <si>
    <t>SUPERVISOR</t>
  </si>
  <si>
    <t>FREDDY NICOLAS RAMOS MARCANO</t>
  </si>
  <si>
    <t>JUAN CARLOS PRIETO VASQUEZ</t>
  </si>
  <si>
    <t>ORAMAIKA JOSEFINA VELASQUEZ GOMEZ</t>
  </si>
  <si>
    <t>NUEVOS PROYECTOS</t>
  </si>
  <si>
    <t>BACHIR AJAMI CHAMI</t>
  </si>
  <si>
    <t>WILMER COLINA</t>
  </si>
  <si>
    <t>Auxiliar I</t>
  </si>
  <si>
    <t xml:space="preserve">Auxiliar II </t>
  </si>
  <si>
    <t xml:space="preserve">Tecnico II </t>
  </si>
  <si>
    <t>PEDRO RAMON HADDAD INDRIAGO</t>
  </si>
  <si>
    <t>CARLOS ENRIQUE OCANDO RIOS</t>
  </si>
  <si>
    <t>GABRIEL JOSE MARQUEZ RUIZ</t>
  </si>
  <si>
    <t>JHONNY ALEXANDER VILLAROEL CAMPOS</t>
  </si>
  <si>
    <t>JAROLD EFRAIN MEDINA RUIZ</t>
  </si>
  <si>
    <t>LAMBERTO JOSE MARTINEZ MANRIQUE</t>
  </si>
  <si>
    <t>EDUARD JOSE PARAQUEIMO RUIZ</t>
  </si>
  <si>
    <t>DERVIS DANIEL GARCIA GARCIA</t>
  </si>
  <si>
    <t>WILFREDO ANTONIO MORALES MARTINEZ</t>
  </si>
  <si>
    <t>ISAIR JOSE LOZADA GARCIA</t>
  </si>
  <si>
    <t>JOSE GREGORIO ONORE ZERPA</t>
  </si>
  <si>
    <t>JOEL DARIO DURAN RENGEL</t>
  </si>
  <si>
    <t>GUSTAVO RAFAEL QUIARO CASTILLO</t>
  </si>
  <si>
    <t>ROYS ALEJANDRO GUEVARA MARTINEZ</t>
  </si>
  <si>
    <t>KEIVER JOSE BERROTERAN CORREA</t>
  </si>
  <si>
    <t>JULIO CESAR SANTAMARIA HERNANDEZ</t>
  </si>
  <si>
    <t>MARCOS ELIA GUAREGUA FRANCO</t>
  </si>
  <si>
    <t>CARLOS RAMON MONTILLA RODRIGUEZ</t>
  </si>
  <si>
    <t>ABELARDO ANTONIO YROBO BOROTOCHE</t>
  </si>
  <si>
    <t>LUIS OSCAR PACHECO GARCIA</t>
  </si>
  <si>
    <t>JUAN FRANCISCO ALIZA RODRIGUEZ</t>
  </si>
  <si>
    <t>FRANKLIN JOSE RAMIREZ</t>
  </si>
  <si>
    <t>FERNANDO ISAAC HERNANDEZ TORO</t>
  </si>
  <si>
    <t>MIGUEL EDUARDO SALAZAR ASCANIO</t>
  </si>
  <si>
    <t>ISMAEL EMIRO CASTRO LEON</t>
  </si>
  <si>
    <t>CARLOS ADRIAN RUBIN HERNANDEZ</t>
  </si>
  <si>
    <t>RODRIGO JOSE FLORES ABREU</t>
  </si>
  <si>
    <t>ANGEL DAVID RODRIGUEZ DIAZ</t>
  </si>
  <si>
    <t>KLEIBER ARMANDO COSTE HERNANDEZ</t>
  </si>
  <si>
    <t>JOSE RAFAEL MARTINEZ HENRIQUEZ</t>
  </si>
  <si>
    <t>OSWALDO URBANO SANOJA MUJICA</t>
  </si>
  <si>
    <t>YIMBERT DARIO SANTIAGO PAZ</t>
  </si>
  <si>
    <t>JOSE LUIS OBISPO NARVAEZ</t>
  </si>
  <si>
    <t>MOISES ALEXANDER AMARIS PINTO</t>
  </si>
  <si>
    <t>MERBYS MAGLIMIR MALAVE GUEDEZ</t>
  </si>
  <si>
    <t>DANY JOSE QUINTERO LUCENA</t>
  </si>
  <si>
    <t>CESAR DAVID MORILLO PARRA</t>
  </si>
  <si>
    <t>ROLANDO XAVIER CANELON MUJICA</t>
  </si>
  <si>
    <t>ARNALDO XAVIER VALLESE CORONEL</t>
  </si>
  <si>
    <t>ANDERSON WLADIMIR RIVERO RIVERO</t>
  </si>
  <si>
    <t>WUILLY ALBERTO ESCALONA NAVEDA</t>
  </si>
  <si>
    <t>ANTHONYS RAUL TOVAR GIRALDO</t>
  </si>
  <si>
    <t>KEIVID JOSE OLIVERO LOPEZ</t>
  </si>
  <si>
    <t>JORBER JOSE ROMERO RIVERO</t>
  </si>
  <si>
    <t>CARLOS JOSE IZQUIERDO MUÑOZ</t>
  </si>
  <si>
    <t>JOSE MANUEL RANGEL UZCATEGUI</t>
  </si>
  <si>
    <t>CRISTHIAN JOSE GUEVARA GUEVARA</t>
  </si>
  <si>
    <t>JONATHAN ALEJANDRO ALVARADO MENDOZA</t>
  </si>
  <si>
    <t>ANDRES DAVID MARTINEZ CASTRO</t>
  </si>
  <si>
    <t>ANDRES JOSE BRITO RODRIGUEZ</t>
  </si>
  <si>
    <t>KEIBER JOEL RODRIGUEZ VILLALOBOS</t>
  </si>
  <si>
    <t>WILMER THOMAS OCHOA MARTINEZ</t>
  </si>
  <si>
    <t>DAVID ALEXANDER VILLANUEVA JIMENEZ</t>
  </si>
  <si>
    <t>JESUS ANIBAL MILLA RODRIGUEZ</t>
  </si>
  <si>
    <t>DIEGO ALBERTO VALERA OLIVERA</t>
  </si>
  <si>
    <t>FELIZARDO EWINSON FABELO PEREZ</t>
  </si>
  <si>
    <t>EDGAR ALBERTO OJEDA FLORES</t>
  </si>
  <si>
    <t>JOSE ANTONIO  APARICIO GIL</t>
  </si>
  <si>
    <t>JESUS EMILIO  ROMERO  AGREDA</t>
  </si>
  <si>
    <t>JEANPIERE JESUS MALAVE CEDEÑO</t>
  </si>
  <si>
    <t>GABRIEL ENRIQUE CHIRINOS CHIRINOS</t>
  </si>
  <si>
    <t>DANIEL RAFAEL CALVO VELASQUEZ</t>
  </si>
  <si>
    <t>LUIS DANIEL PATINO PATINO</t>
  </si>
  <si>
    <t>RAFAEL ANTONIO GUTIERREZ VELASQUEZ</t>
  </si>
  <si>
    <t>HASSAN GIOMAR CARVAJAL ZAMORA</t>
  </si>
  <si>
    <t>VICTOR MANUEL FIGUEROA RODRIGUEZ</t>
  </si>
  <si>
    <t>JORGER DAVID RODRIGUEZ SOUSS</t>
  </si>
  <si>
    <t>FIDEL ALEJANDRO FERMIN FEBRES</t>
  </si>
  <si>
    <t>SAMUEL DAVID CURA RIVAS</t>
  </si>
  <si>
    <t>JOSE ALBERTO VELASQUEZ DEPABLOS</t>
  </si>
  <si>
    <t>JHONNY JESUS RONDON CORDOVA</t>
  </si>
  <si>
    <t>JOSE ANGEL WANKLAAR NUÑEZ</t>
  </si>
  <si>
    <t>BRANDON  SEGUNDO GARRIDO  GONZALEZ</t>
  </si>
  <si>
    <t>JHONNY XAVIER JIMENEZ MEZA</t>
  </si>
  <si>
    <t>ABRAHAN JOSE DANIEL MARTINEZ MARTINEZ</t>
  </si>
  <si>
    <t>JOSE ALFREDO MIRELES BENITES</t>
  </si>
  <si>
    <t>LUIS ALEJANDRO APARICIO HERRERA</t>
  </si>
  <si>
    <t>MARCOS MARCEL PEREZ REYES</t>
  </si>
  <si>
    <t>MAURO JOSE AGUILAR SUAREZ</t>
  </si>
  <si>
    <t>JOSETH STALIN FIGUEROA LOPEZ</t>
  </si>
  <si>
    <t>YOSMAR YVAN COBO ORTIZ</t>
  </si>
  <si>
    <t>YOAN ANTONIO TERAN PINTO</t>
  </si>
  <si>
    <t>JERITZON CESAR VANEGAS BERNAL</t>
  </si>
  <si>
    <t>JHONNATA WLADIMIR SALDIVIA</t>
  </si>
  <si>
    <t xml:space="preserve"> JOAN ERNESTO MORENO VARON</t>
  </si>
  <si>
    <t>WILMER LUIS BLANCO CARMONA</t>
  </si>
  <si>
    <t>HUMBERTO JOSE MARVAL</t>
  </si>
  <si>
    <t>JAVIER ENRIQUE VILCHEZ APARICIO</t>
  </si>
  <si>
    <t>HECTOR OMAR CARMESA RODRIGUEZ</t>
  </si>
  <si>
    <t>DARWIN JOSE PEREZ ESPINOZA</t>
  </si>
  <si>
    <t>RAFAEL SEBASTIAN URBINA NUÑEZ</t>
  </si>
  <si>
    <t>DANIEL ENRIQUE CASTELLANOS FIGUEROA</t>
  </si>
  <si>
    <t>MELVIN JAVIER RODRIGUEZ LOPEZ</t>
  </si>
  <si>
    <t>JASON ENRIQUE GRATEROL RIVAS</t>
  </si>
  <si>
    <t>LUIS MANUEL DECENA GUAREGUA</t>
  </si>
  <si>
    <t>CARLOS ANTONIO ABAD OCHOA</t>
  </si>
  <si>
    <t>RONNY RAMON RAFAEL CAGUA HERNANDEZ</t>
  </si>
  <si>
    <t>MEDARDO ALEJANDRO MUNOZ ARMAS</t>
  </si>
  <si>
    <t>KENER JOSE CUBA</t>
  </si>
  <si>
    <t>JOSE DANIEL SALAZAR LÓPEZ</t>
  </si>
  <si>
    <t xml:space="preserve"> ELIEZER JOSE SEGOVIA GRACIA</t>
  </si>
  <si>
    <t xml:space="preserve">SANDRU ASDRUBAL PEREZ CORTEZ </t>
  </si>
  <si>
    <t>HECTOR RAFAEL TORREALBA RATTIA</t>
  </si>
  <si>
    <t>ARGENIS EDUARDO MAREA OVALLES</t>
  </si>
  <si>
    <t>WILLIAN JOSE MENDEZ RODRIGUEZ</t>
  </si>
  <si>
    <t>LEOMAR ANTONIO GODOY ASCANIO</t>
  </si>
  <si>
    <t>JAIRO JOSE BLANCO AGUIRRE</t>
  </si>
  <si>
    <t>FRANKLIN JOSUE FLORES LANDAETA</t>
  </si>
  <si>
    <t>JOSE ANTONIO RODRIGUEZ ANDUEZA</t>
  </si>
  <si>
    <t>PABLO JOSE TORRES HIDALGO</t>
  </si>
  <si>
    <t>KENNYS ADELIS BASTIDAS UZCATEGUI</t>
  </si>
  <si>
    <t>CARABOBO / PTO. CABELLO</t>
  </si>
  <si>
    <t>RODOLFO ALEXANDER ESCALONA PAREDES</t>
  </si>
  <si>
    <t>ENDRY RAFAEL DIAZ NOGUERA</t>
  </si>
  <si>
    <t>GREGORI DE  JESUS VILORIA OLIVO</t>
  </si>
  <si>
    <t>MANUEL JESUS MARCHAN DIAZ</t>
  </si>
  <si>
    <t>GREGORY ALEXANDER ZAPATA OLIVEROS</t>
  </si>
  <si>
    <t>KELVIN ALBERTO GARCIA VILLEGAS</t>
  </si>
  <si>
    <t>RAFAEL OLMOS GAMES</t>
  </si>
  <si>
    <t>MAIKER EDUARDO COLMENARES SANDOVAL</t>
  </si>
  <si>
    <t>CARLOS LUIS NAVEDA LOPEZ</t>
  </si>
  <si>
    <t>RAFAEL EDUARDO ECHEVERRIA MUNOZ</t>
  </si>
  <si>
    <t>OSCAR ALBERTO HERRERA HERNANDEZ</t>
  </si>
  <si>
    <t>RAIBER ERNESTO ROJAS ROJAS</t>
  </si>
  <si>
    <t>JACKSSON RAMON LINERO HERNANDEZ</t>
  </si>
  <si>
    <t>RAFAEL ANDRES MARTINEZ REBOLLEDO</t>
  </si>
  <si>
    <t>EMMANUEL HUMBERTO ZILLIANNI NIÑO</t>
  </si>
  <si>
    <t>DANIEL ENRIQUE PALENCIA ESCALONA</t>
  </si>
  <si>
    <t>ARGENIS ALEXANDER RODRIGUEZ AMAYA</t>
  </si>
  <si>
    <t>YONATHAN RAFAEL TERAN GONZALEZ</t>
  </si>
  <si>
    <t>JOSE MANUEL ACOSTA OSORIO</t>
  </si>
  <si>
    <t>ENYER JOSE SEMPRUN SOLARTE</t>
  </si>
  <si>
    <t>JESUS ABRAHAN FLORES BARRETO</t>
  </si>
  <si>
    <t>LENNER ALBERTO ROSARIO ERA</t>
  </si>
  <si>
    <t>ANTONIO SEGUNDO MORILLO CHIRINOS</t>
  </si>
  <si>
    <t>CESAR ELIAS LEAL GUTIERREZ</t>
  </si>
  <si>
    <t>FERNANDO ADOLFO CASTILLO FRANCO</t>
  </si>
  <si>
    <t>JOEL ARGENIS JIMENEZ CASTILLO</t>
  </si>
  <si>
    <t>LUIS EDUARDO ROJAS SALVATIERRA</t>
  </si>
  <si>
    <t>EDUARDO JESUS RAMOS  TRAVIESO</t>
  </si>
  <si>
    <t>YOSMAN JOSE VEGAS REATIGA</t>
  </si>
  <si>
    <t>ARMANDO JOSE PADILLA FERMIN</t>
  </si>
  <si>
    <t>LUIS ALBERTO NAVEDA BORREGALES</t>
  </si>
  <si>
    <t>HANS SVEIN GUTIERREZ VARGAS</t>
  </si>
  <si>
    <t>CRISTOPHER BILLY GUTIERREZ ARCILA</t>
  </si>
  <si>
    <t>JOSE ANTONIO ARIAS RAMOS</t>
  </si>
  <si>
    <t>NELSON JESUS FLORES ESCORCHA</t>
  </si>
  <si>
    <t>ENRIQUE REINALDO GOTA RONDON</t>
  </si>
  <si>
    <t>DAVID ALEXANDER CADIZ</t>
  </si>
  <si>
    <t>JHOJAN JESUS VILLEGAS VILLAHERMOSA</t>
  </si>
  <si>
    <t>HERNAN ENRIQUE RODRIGUEZ</t>
  </si>
  <si>
    <t>JOSE ANGEL BANDRES ROJAS</t>
  </si>
  <si>
    <t>JEANPIERRE ADRIAN PEÑUELA GUERRERO</t>
  </si>
  <si>
    <t>JARO JOSMAN VILORIA</t>
  </si>
  <si>
    <t>ROOUSBELTH ROSNIEL HERNANDEZ ACOSTA</t>
  </si>
  <si>
    <t>ALEXIS JOSE CASTRO MUÑOZ</t>
  </si>
  <si>
    <t>JOHAN RAFAEL APONTE BLANCO</t>
  </si>
  <si>
    <t>JEAN MANUEL MOUSSA CABELLO</t>
  </si>
  <si>
    <t>JESUS GABRIEL MARQUEZ FUENTES</t>
  </si>
  <si>
    <t>FERNANDO LUIS MEAÑO VEGA</t>
  </si>
  <si>
    <t>JESUS RAFAEL APONTE JIMENEZ</t>
  </si>
  <si>
    <t>MANUEL ALEJANDRO ZABALA ZABALA</t>
  </si>
  <si>
    <t>JUAN JOSE CABEZA MILLAN</t>
  </si>
  <si>
    <t>REINALDO RAMON PATIÑO ESPINOZA</t>
  </si>
  <si>
    <t>ELUIS JOSE MADRID CARVAJA</t>
  </si>
  <si>
    <t>WLADIMIR JOSE RODRIGUEZ CEDEÑO</t>
  </si>
  <si>
    <t>KEVIN ANTONIO PRADO PENA</t>
  </si>
  <si>
    <t>OMAR ABELARDO CAMACARO</t>
  </si>
  <si>
    <t>JOSE PASTOR ARRIECHE PRIMERA</t>
  </si>
  <si>
    <t>ALEXIS LERMIT DURAN HERNANDEZ</t>
  </si>
  <si>
    <t>ESAU ELIEZER BENITEZ</t>
  </si>
  <si>
    <t>AMILCAR ALEJANDRO REYES NATERA</t>
  </si>
  <si>
    <t>FIDEL JOSE ANDRADES SANDOVAL</t>
  </si>
  <si>
    <t>JESUS MANUEL SEQUERA MONTENEGRO</t>
  </si>
  <si>
    <t>ANDERSON BETANIO CANCINES DELGADO</t>
  </si>
  <si>
    <t>MIGUEL ANGEL LOPEZ BLANCO</t>
  </si>
  <si>
    <t>EDUARDO JOSE SANDOVAL DIAZ</t>
  </si>
  <si>
    <t>CARLOS MANUEL ADAMES HERNANDEZ</t>
  </si>
  <si>
    <t>JOSE ANTONIO NAVAS ALVAREZ</t>
  </si>
  <si>
    <t>YOHAN ANTONIO PERAZA CASTEL</t>
  </si>
  <si>
    <t>ARMANDO JESUS CAICEDO ANGARITA</t>
  </si>
  <si>
    <t>LUIS JOSE FRANCHI MORLES</t>
  </si>
  <si>
    <t>EUDIMAR ANTONIO AGUIRRE SALCEDO</t>
  </si>
  <si>
    <t>GUSTAVO JOSE ALVARADO RODRIGUEZ</t>
  </si>
  <si>
    <t>KEVIN ALBERTO YABLONKIS GARCIA</t>
  </si>
  <si>
    <t>DOMYSMER VICTOR PEREZ  MORALES</t>
  </si>
  <si>
    <t>DANIEL HUMBERTO PARRA TORRES</t>
  </si>
  <si>
    <t>ANDRES ANTONIO CASTILLO MEDINA</t>
  </si>
  <si>
    <t>WILSON RAMON PONCE PONCE</t>
  </si>
  <si>
    <t>LUIS DAVID FARFAN PIÑERO</t>
  </si>
  <si>
    <t>JESUS ALFONSO BRITO MONTIEL</t>
  </si>
  <si>
    <t>MOISES DAVID BERENZUELA CONTRERAS</t>
  </si>
  <si>
    <t>ALAIN JOSE GARCIA GUTIERREZ</t>
  </si>
  <si>
    <t>JOSE LUIS GONZALEZ ALSECO</t>
  </si>
  <si>
    <t>BRAULIO SALVADOR CARRILLO  RODRIGUEZ</t>
  </si>
  <si>
    <t>HOLZNER JOSGRE CENTENO RIVAS</t>
  </si>
  <si>
    <t>RAFAEL JOSE SOLORZANO CARRILLO</t>
  </si>
  <si>
    <t>MITCHELL JOSE RIVAS VICENT</t>
  </si>
  <si>
    <t>JAVIER JOSE RUIZ PERDOMO</t>
  </si>
  <si>
    <t>DAVID EMILIO GASSETE REQUENA</t>
  </si>
  <si>
    <t>HUGO RAFAEL MARTINEZ GARCIA</t>
  </si>
  <si>
    <t>MARTIN ANDRES URIBE BARRIOS</t>
  </si>
  <si>
    <t>JHONNY ALCIDES PERALTA MEDINA</t>
  </si>
  <si>
    <t>WUILMAN JOSE SALVATIERRA RODRIGUEZ</t>
  </si>
  <si>
    <t>MARLON ELIEZER UTRERA  YLARRAZA</t>
  </si>
  <si>
    <t xml:space="preserve"> ROMULO APOLO RINCONES  ZAMBRANO</t>
  </si>
  <si>
    <t>ALIS ALEJANDRO ARANA  ROJAS</t>
  </si>
  <si>
    <t>FRANCISCO JAVIER BELISARIO LARA</t>
  </si>
  <si>
    <t>JOSE AGUSTIN GARRIDO UTRERA</t>
  </si>
  <si>
    <t>VICTOR MANUEL ORTIZ FLORES</t>
  </si>
  <si>
    <t>EVEL JOSE CAMPOS MACHADO</t>
  </si>
  <si>
    <t>ARNALDO ANTONIO MARTINEZ</t>
  </si>
  <si>
    <t>JUAN JOSE SANTAELLA ROJAS</t>
  </si>
  <si>
    <t>ANTONIO EDUARDO CERRUTO OCHOA</t>
  </si>
  <si>
    <t>JHON ALEXANDER CHAVEZ RUJANO</t>
  </si>
  <si>
    <t>ALI JOSE TRANQUINI HERNANDEZ</t>
  </si>
  <si>
    <t>Auxiliar II</t>
  </si>
  <si>
    <t/>
  </si>
  <si>
    <t>NVOS PROY.</t>
  </si>
  <si>
    <t>Técnico Básico</t>
  </si>
  <si>
    <t>JOSE ANTONIO MARQUEZ BREA</t>
  </si>
  <si>
    <t>MESAE OSWALDO MILLAN MAZA</t>
  </si>
  <si>
    <t>LA GUAIRA</t>
  </si>
  <si>
    <t>JORDY ALFREDO MC KENZIE TOVAR</t>
  </si>
  <si>
    <t>RICHARTSON ERIMIG GUZMAN BANDRA</t>
  </si>
  <si>
    <t>MIRANDA</t>
  </si>
  <si>
    <t>CRISTHIAN  YSMAEL SALAZAR ANDRADE</t>
  </si>
  <si>
    <t>JORGE LUIS  YANES ACOSTA</t>
  </si>
  <si>
    <t>BEYKER JOSE NIMLIN MORALES</t>
  </si>
  <si>
    <t>CARLOS EDUARDO ROJAS NIEVES</t>
  </si>
  <si>
    <t>ANDRES GIOBERTTY TERAN VALBUENA</t>
  </si>
  <si>
    <t>YENDELBETH ALEXANDER RODRIGUEZ GUTIERREZ</t>
  </si>
  <si>
    <t>ANTONIO JOSE PONCE LINARES</t>
  </si>
  <si>
    <t>VIRGILIO JOSE MARTINEZ OSPIN</t>
  </si>
  <si>
    <t>ROBERTO ANTONIO GUZMAN CANTILLO</t>
  </si>
  <si>
    <t>TOMAS ALEXANDER PERFECTO GONZALEZ</t>
  </si>
  <si>
    <t>WILLIS OBRAYAN OVIEDO RODRIGUEZ</t>
  </si>
  <si>
    <t>GABRIEL ALEJANDRO CursadoLVA HERRERA</t>
  </si>
  <si>
    <t xml:space="preserve"> ACER ANTONIO MUÑOZ CursadoERRA</t>
  </si>
  <si>
    <t>JOIMER ALEXANDER ALVAREZ CursadoLVA</t>
  </si>
  <si>
    <t>EDUIN JOSUE FABIAN SANOJA</t>
  </si>
  <si>
    <t>EDWARD WILFREDO MONTERO VASQUEZ</t>
  </si>
  <si>
    <t>BLADIMIR JOSE TAGLIAFERRO GARRIDO</t>
  </si>
  <si>
    <t>ELVIS LEONARDO RAMOS SALAZAR</t>
  </si>
  <si>
    <t>FERNANDO ANTONIO RAMOS GARCIA</t>
  </si>
  <si>
    <t>DOMINGO RAFAEL MARTINEZ GUZMAN</t>
  </si>
  <si>
    <t>RICARDO AZAEL GIL CASTILLO</t>
  </si>
  <si>
    <t>JOSE ALEJANDRO CASTELLAR PEREDA</t>
  </si>
  <si>
    <t>MANUEL DAVID TORRES SANTIAGO</t>
  </si>
  <si>
    <t>WARLIN EDUARDO GARCIA SANCHEZ</t>
  </si>
  <si>
    <t>SNAIDER LEONARDO ZUNIGA GALINDO</t>
  </si>
  <si>
    <t>LUIS ANTONIO IRIARTE URRIETA</t>
  </si>
  <si>
    <t>ANTHONY VALERA</t>
  </si>
  <si>
    <t>JOSE MANUEL PARRA NAVARRO</t>
  </si>
  <si>
    <t>LEONEL ALEXANDER CEDEÑO RIVAS</t>
  </si>
  <si>
    <t>JUAN EDUARDO CESIN LUCES</t>
  </si>
  <si>
    <t>PEDRO LUIS PEÑA</t>
  </si>
  <si>
    <t>EZEQUIEL BLANCO AGUIRRE</t>
  </si>
  <si>
    <t>ASTRID CAROLINA APONTE ORELLANA</t>
  </si>
  <si>
    <t>GUSTAVO ALONSO PERDOMO  MORENO</t>
  </si>
  <si>
    <t>JIMMI GUILLERMO SALAZAR GARCIA</t>
  </si>
  <si>
    <t>GERALDINE ALEJANDRA BARBERA NAVARRO</t>
  </si>
  <si>
    <t>ISIDER RAFAEL OCTAVIO FERNANDEZ CARPIO</t>
  </si>
  <si>
    <t>GUILLERMO JOSE GUTIERREZ FARIÑA</t>
  </si>
  <si>
    <t>ISRAEL DAVID HERNANDEZ</t>
  </si>
  <si>
    <t>ENRIQUE JOSE VILORIA SALAZAR</t>
  </si>
  <si>
    <t>MANUEL FELIPE ARTEAGA PERALES</t>
  </si>
  <si>
    <t>OSCAR ALEXANDER GALINDO DUN</t>
  </si>
  <si>
    <t>ONIELL JOSE RANGEL CABELLO</t>
  </si>
  <si>
    <t>CRISTHELLYS GRAZZIELA ALVAREZ FANEITE</t>
  </si>
  <si>
    <t>JIM GUIDO TORREALBA  MONTILLA</t>
  </si>
  <si>
    <t>GREY FABIOLA ESCOBAR PEÑA</t>
  </si>
  <si>
    <t>LEONEYDIS ANGELIMAR GARCIA MUJICA</t>
  </si>
  <si>
    <t>FRANCISCO JOSE  SAMBRANO MONTERO</t>
  </si>
  <si>
    <t>RICARDO OSNEIVER GONZALEZ NIERES</t>
  </si>
  <si>
    <t>GERALDINE CAROLINA VELASQUEZ CASTILLO</t>
  </si>
  <si>
    <t>ANTONY HENDERSON QUINTERO FERNANDEZ</t>
  </si>
  <si>
    <t>ANDREA VALENTINA MATUTE CAMACARO</t>
  </si>
  <si>
    <t>MIGUEL ANTONIO LOPEZ YORIS</t>
  </si>
  <si>
    <t>MANUEL ALEJANDRO ESPITIA PULIDO</t>
  </si>
  <si>
    <t>DAMASO JUNIOR MONTECSINOS PINTO</t>
  </si>
  <si>
    <t>DANNY JOSE CARRENO BASTARDO</t>
  </si>
  <si>
    <t>MILAGROS SILVA</t>
  </si>
  <si>
    <t>CLAYRIS TORREALBA</t>
  </si>
  <si>
    <t>ISRAEL  COLMENARES LOPEZ</t>
  </si>
  <si>
    <t>JESUS MANUEL REYES NADAL</t>
  </si>
  <si>
    <t>COORDINADOR</t>
  </si>
  <si>
    <t>ROSO JOSE QUIROZ TORREALBA</t>
  </si>
  <si>
    <t>JOSE MANUEL BRITO MONTIEL</t>
  </si>
  <si>
    <t>KEYBER EDUARDO DA SILVA SULBARAN</t>
  </si>
  <si>
    <t>YNIHEL JOSE REYES VARGAS</t>
  </si>
  <si>
    <t>SIMON ANDRES VEGAS QUIRO</t>
  </si>
  <si>
    <t>RAMON CELESTINO RIOS SALOMON</t>
  </si>
  <si>
    <t>ENDER ARMANDO SIDRAN BELISARIO</t>
  </si>
  <si>
    <t>SAMUEL JOSE PEREZ BELISARIO</t>
  </si>
  <si>
    <t>LUIS GUILLERMO ESTRADA VARGAS</t>
  </si>
  <si>
    <t>JOSE RAFAEL ASTUDILLO</t>
  </si>
  <si>
    <t>JOSE ALBERTO FLORES GONZALEZ</t>
  </si>
  <si>
    <t>ELIECER BLADIMIR SILVA MENDEZ</t>
  </si>
  <si>
    <t>MIGUEL ANGEL RODRIGUEZ SOLORZANO</t>
  </si>
  <si>
    <t>JOSE AMABLE DELGADO CARRILLO</t>
  </si>
  <si>
    <t>HECTOR RAMON FERNANDEZ MUNOZ</t>
  </si>
  <si>
    <t>MARCIAL AGUSTIN RISSO GIL</t>
  </si>
  <si>
    <t>JOSE RAFAEL RANGEL SILVA</t>
  </si>
  <si>
    <t>MIRIALBER ALEJANDRA VASQUEZ VIELMA</t>
  </si>
  <si>
    <t>AUXILIAR</t>
  </si>
  <si>
    <t>FRANCISCO ALBERTO VALDERRAMA SALAZAR</t>
  </si>
  <si>
    <t>EMPALME</t>
  </si>
  <si>
    <t>En Proceso (Diciembre)</t>
  </si>
  <si>
    <t>ANALISTA</t>
  </si>
  <si>
    <t>TECNICO</t>
  </si>
  <si>
    <t>Certificación</t>
  </si>
  <si>
    <t>En Proceso (Noviembre)</t>
  </si>
  <si>
    <t>-</t>
  </si>
  <si>
    <t>MANUEL JOSE FIGUEROA FIGUEROA</t>
  </si>
  <si>
    <t>certificado en abril</t>
  </si>
  <si>
    <t xml:space="preserve">27111205  </t>
  </si>
  <si>
    <t>CARLOS DAVID LINARES HERNANDEZ</t>
  </si>
  <si>
    <t>SAMUEL RAUL GONZALEZ AGUIRRE</t>
  </si>
  <si>
    <t>POR CERTIFICAR</t>
  </si>
  <si>
    <t xml:space="preserve">MARK MACGWIRE EDUARDO LOYO MORILLO </t>
  </si>
  <si>
    <t>Renunció 15-12-2025</t>
  </si>
  <si>
    <t>Renunció 10-12-2025</t>
  </si>
  <si>
    <t>Renunció 17-12-2025</t>
  </si>
  <si>
    <t>Renunció 23-12-2025</t>
  </si>
  <si>
    <t>SIERRA LOPEZ, ARNOL</t>
  </si>
  <si>
    <t>GONZALEZ, CARLOS ALBERTO</t>
  </si>
  <si>
    <t>HERNANDEZ DIAZ, DARWIN ARTURO</t>
  </si>
  <si>
    <t>MENDOZA LEIDNS, PAOLA WALKIRIA</t>
  </si>
  <si>
    <t>GONZALEZ CASTILLO, YANNELYS DEL CARMEN</t>
  </si>
  <si>
    <t>MDA</t>
  </si>
  <si>
    <t>GONZALEZ AGUIRRE, SAMUEL RAUL</t>
  </si>
  <si>
    <t>PLANTA EXTERNA</t>
  </si>
  <si>
    <t>LEON PERNIA, JENIFER LEE</t>
  </si>
  <si>
    <t>SUPERVISOR DE IMPLEMENTACION PI</t>
  </si>
  <si>
    <t>PLANTA INTERNA</t>
  </si>
  <si>
    <t>MARTINEZ TOVAR, GENESIS DEL VALLE</t>
  </si>
  <si>
    <t>VALENTE CONTRERAS, ANGELIMAR</t>
  </si>
  <si>
    <t>YANEZ HERRERA, GREGSON JESUS</t>
  </si>
  <si>
    <t>HERNANDEZ GUEVARA, MAURO ISRAEL</t>
  </si>
  <si>
    <t>GONZALEZ PEREIRA, JAVIER DAVID</t>
  </si>
  <si>
    <t>CARLOS MANUEL GONZALEZ HERRERA</t>
  </si>
  <si>
    <t>EMILY KARLY ABREU ZARRAGA</t>
  </si>
  <si>
    <t>DOCUMENTACIÓN Y DISEÑO</t>
  </si>
  <si>
    <t>PEDRO JAVIER MENDEZ PINTO</t>
  </si>
  <si>
    <t>TALY PACHECO, JESSICA CAROLINA</t>
  </si>
  <si>
    <t>FRANCIS NATHALY PEREZ HERRERA</t>
  </si>
  <si>
    <t>JOSEPH SEBASTIAN SANCHEZ BARRAGAN</t>
  </si>
  <si>
    <t>MAURICIO ANDRES GUERRA CAMACARO</t>
  </si>
  <si>
    <t>GLEDYS SOFIA PORRAS ESCOBAR</t>
  </si>
  <si>
    <t>RICARDO ANDRES TORRES ROSALES</t>
  </si>
  <si>
    <t>ANGEL GABRIEL LOPEZ MORALES</t>
  </si>
  <si>
    <t>NATHALIA JOSE FUENTES PEREZ</t>
  </si>
  <si>
    <t>JOSE LUIS GONZALEZ CATIRE</t>
  </si>
  <si>
    <t>MARIA JOSE TOVAR MORILLO</t>
  </si>
  <si>
    <t>YULVELIN AIDA ACOSTA HERNANDEZ</t>
  </si>
  <si>
    <t>YUANNI DIANETH HUERTA SUAREZ</t>
  </si>
  <si>
    <t>JESUS TORRES</t>
  </si>
  <si>
    <t>YESENIA ANAIS ROJAS MESA</t>
  </si>
  <si>
    <t>FRANCISCO MANUEL CENTENO BARRIOSNUEVOS</t>
  </si>
  <si>
    <t>DAYANA YOBELIN JIMENEZ MENDOZA</t>
  </si>
  <si>
    <t>ELYSMEL DOLORES CANO DELGADO</t>
  </si>
  <si>
    <t>JOSE JAVIER MAYOR MONTIEL</t>
  </si>
  <si>
    <t>KIRMIA KARINA LOPEZ DELGADO</t>
  </si>
  <si>
    <t>BARBARA BETANIA GONZALEZ REYES</t>
  </si>
  <si>
    <t>IGOR JOSE POYER RODRIGUEZ</t>
  </si>
  <si>
    <t>JUAN JOSE TORREYES PARRA</t>
  </si>
  <si>
    <t>LUIS MIGUEL VALERI PLAZA</t>
  </si>
  <si>
    <t>LAURYMAR ELADIA LUQUE PEÑA</t>
  </si>
  <si>
    <t>JHOAN MANUEL AGUILAR RODRIGUEZ</t>
  </si>
  <si>
    <t>MIRELYS MARIELA GALLARDO GUERRA</t>
  </si>
  <si>
    <t>ANGEL EDUARDO AGUILAR URBINA</t>
  </si>
  <si>
    <t>DARWIN JOSE MATUTE LIMA</t>
  </si>
  <si>
    <t>CHRISTOPHER ANTONIO VILLEGAS MELENDEZ</t>
  </si>
  <si>
    <t>VICMELIS LISNEL DELGADO DELGADO</t>
  </si>
  <si>
    <t>MARIA GABRIELA BRITO BRITO</t>
  </si>
  <si>
    <t>ALYISSA TERESA ROSSI MORON</t>
  </si>
  <si>
    <t>KENNY GABRIEL CEDEÑO</t>
  </si>
  <si>
    <t>JOSE MANUEL MARCANO GARCIA</t>
  </si>
  <si>
    <t>WISNAILY  ANDREINA BENCOMO GOMEZ</t>
  </si>
  <si>
    <t>DANIEL ALEJANDRO SALINAS SALAZAR</t>
  </si>
  <si>
    <t>EILA BETZABE AVELLANEDA FERNANDEZ</t>
  </si>
  <si>
    <t>JOSE ANDRES BLANCO GARCIA</t>
  </si>
  <si>
    <t>ODRA IVANA VALENTINA HERRERA MORGADO</t>
  </si>
  <si>
    <t>SOFIA CAMILA CORONA PEÑALVER</t>
  </si>
  <si>
    <t>GABRIEL ADRIAN QUEVEDO RINCON</t>
  </si>
  <si>
    <t>EMILIO JOSE MONTERO GONZALEZ</t>
  </si>
  <si>
    <t>PEDRO ANGEL RONDON ROJAS</t>
  </si>
  <si>
    <t>ANDRES ALFONZO HERNANDEZ SALAS</t>
  </si>
  <si>
    <t>ARLYNA ALEJANDRA FIGUEREDO PIÑERO</t>
  </si>
  <si>
    <t>JORGE DAVID NOGUERA ARAUJO</t>
  </si>
  <si>
    <t>FERNANDO ANTONIO GUERRERO TORRES</t>
  </si>
  <si>
    <t>JOSE RAFAEL GUEVARA HERRERA</t>
  </si>
  <si>
    <t>NANDY GREGORIO MARTINEZ MONASTERIO</t>
  </si>
  <si>
    <t>LEONARDO JOSE RANGEL CARCURIAN</t>
  </si>
  <si>
    <t>BRIAN JAVIER GUERRERO OLIVEROS</t>
  </si>
  <si>
    <t>SERGIO LEANDRO MEDINA MONTILLA</t>
  </si>
  <si>
    <t>CRISTIAN JESUS MEDINA ESTANGA</t>
  </si>
  <si>
    <t>BRIAN DANIEL PALACIOS HERNANDEZ</t>
  </si>
  <si>
    <t>ANTHONY DANIEL SANDOVAL RIVAS</t>
  </si>
  <si>
    <t>JULIO JESUS ROSILLO RAMOS</t>
  </si>
  <si>
    <t>Renunció 05-01-2026</t>
  </si>
  <si>
    <t>Renunció 10-01-2026</t>
  </si>
  <si>
    <t>Renuncio 12-01-2026</t>
  </si>
  <si>
    <t>Renuncio 02-01-2026</t>
  </si>
  <si>
    <t>Renunció 22-12-2025</t>
  </si>
  <si>
    <t>Renunció 09-01-2026</t>
  </si>
  <si>
    <t>SI</t>
  </si>
  <si>
    <t>FOTO</t>
  </si>
  <si>
    <t>NO</t>
  </si>
  <si>
    <t>GRECIA ALEJANDRA, MARCANO MILLAN</t>
  </si>
  <si>
    <t>JOSE ANDRES, OLIVARES ALFONZO</t>
  </si>
  <si>
    <t>RICARDO ALBERTO, PIRONA VIVAS</t>
  </si>
  <si>
    <t>JESUS MARDEN, TIRADO ALCALA</t>
  </si>
  <si>
    <t>MARCOS ALI CHACON MARCANO</t>
  </si>
  <si>
    <t>ALBERT JOSE FARIAS  SIERRA</t>
  </si>
  <si>
    <t>JIMMI SALAZAR</t>
  </si>
  <si>
    <t>JESUS REYES NADAL</t>
  </si>
  <si>
    <t>YNIHEL REYES</t>
  </si>
  <si>
    <t>LALESKA PEÑA</t>
  </si>
  <si>
    <t>HASSAN CARVAJAL</t>
  </si>
  <si>
    <t>ASTRID APONTE</t>
  </si>
  <si>
    <t>KARLINA YERARDINE MICHELENA DURAN</t>
  </si>
  <si>
    <t>Renuncio 16-12-2025</t>
  </si>
  <si>
    <t>CORPORACIÓN FIBEX TELECOM, C.A.</t>
  </si>
  <si>
    <t>NRO. REGISTRO NIL</t>
  </si>
  <si>
    <t>ZONA</t>
  </si>
  <si>
    <t>EMPRESA</t>
  </si>
  <si>
    <t>NOMBRE Y APELLIDO</t>
  </si>
  <si>
    <t>FECHA TECNICO 1</t>
  </si>
  <si>
    <t>FECHA TECNICO BASICO</t>
  </si>
  <si>
    <t>FECHA TECNICO INTEGRAL</t>
  </si>
  <si>
    <t>FECHA TECNICO PREMIUM</t>
  </si>
  <si>
    <t>SUPERVISOR INMEDIATO</t>
  </si>
  <si>
    <t>FRANCISCO VALDERRAMA</t>
  </si>
  <si>
    <t>INSCRIPCION SSO</t>
  </si>
  <si>
    <t>OBSERVACIÓN</t>
  </si>
  <si>
    <t>CIUDAD</t>
  </si>
  <si>
    <t>Cuenta de CERTIFICACION TECNICO 1</t>
  </si>
  <si>
    <t>Etiquetas de columna</t>
  </si>
  <si>
    <t>Cuenta de FECHA TECNICO 1</t>
  </si>
  <si>
    <t>Cuenta de FECHA TECNICO BASICO</t>
  </si>
  <si>
    <t>Cuenta de CERTIFICACION TECNICO BASICO</t>
  </si>
  <si>
    <t>Renunció 19-01-2026</t>
  </si>
  <si>
    <t>Renunció el 19-01-2026</t>
  </si>
  <si>
    <t>Renunció el 23-01-2026</t>
  </si>
  <si>
    <t>Renunció el 29-01-2026</t>
  </si>
  <si>
    <t>Renuncio el 12-01-2026</t>
  </si>
  <si>
    <t>No Cursado</t>
  </si>
  <si>
    <t>No Activo</t>
  </si>
  <si>
    <t>PENDIENTE INFORMACIÓN</t>
  </si>
  <si>
    <t>TECNICO BASICO</t>
  </si>
  <si>
    <t>TECNICO INTEGRAL</t>
  </si>
  <si>
    <t>TECNICO PREMIUM</t>
  </si>
  <si>
    <t>CONTADOR</t>
  </si>
  <si>
    <t>Suma de CONTADOR</t>
  </si>
  <si>
    <t>Técnico Inicial</t>
  </si>
  <si>
    <t>Técnico Integral</t>
  </si>
  <si>
    <t>Técnico Premium</t>
  </si>
  <si>
    <t xml:space="preserve"> TECNICO BASICO</t>
  </si>
  <si>
    <t xml:space="preserve"> TECNICO PREMIUM</t>
  </si>
  <si>
    <t>TECNICO INICIAL</t>
  </si>
  <si>
    <t>FECHA TECNICO INICIAL</t>
  </si>
  <si>
    <t>CARLOS ROJAS</t>
  </si>
  <si>
    <t>0414.285.44.24</t>
  </si>
  <si>
    <t>JOIMER ALEXANDER ALVAREZ SILVA</t>
  </si>
  <si>
    <t>0416.821.93.12</t>
  </si>
  <si>
    <t>0416.318.62.55</t>
  </si>
  <si>
    <t>0412.863.27.66</t>
  </si>
  <si>
    <t>0414.583.44.14</t>
  </si>
  <si>
    <t>0424.832.38.91</t>
  </si>
  <si>
    <t>0412.051.53.42</t>
  </si>
  <si>
    <t>0412.779.66.60</t>
  </si>
  <si>
    <t>0412.405.04.30</t>
  </si>
  <si>
    <t>GREY ESCOBAR</t>
  </si>
  <si>
    <t>0414.034.38.89</t>
  </si>
  <si>
    <t>0412.728.65.27</t>
  </si>
  <si>
    <t>PAOLA MENDOZA</t>
  </si>
  <si>
    <t>CRISTELLYS ALVAREZ</t>
  </si>
  <si>
    <t>KARLINA MICHELENA</t>
  </si>
  <si>
    <t>JONATHAN ALVARADO</t>
  </si>
  <si>
    <t>0412.345.01.67</t>
  </si>
  <si>
    <t>FREDDY BOZCAN</t>
  </si>
  <si>
    <t>0422.634.04.70</t>
  </si>
  <si>
    <t>0424.277.11.04</t>
  </si>
  <si>
    <t>DANNY CARREÑO</t>
  </si>
  <si>
    <t>0412.907.25.43</t>
  </si>
  <si>
    <t>EDWARD CAÑAS</t>
  </si>
  <si>
    <t>0414.803.75.47</t>
  </si>
  <si>
    <t>RAYBERTH DUBIER GONZALES VALDEZ</t>
  </si>
  <si>
    <t>0412.673.02.27</t>
  </si>
  <si>
    <t>Renunció 05-02-2026</t>
  </si>
  <si>
    <t>CARLOS ALFREDO PONCE GUEVARA</t>
  </si>
  <si>
    <t>LUIS ORLANDO GONZALEZ HERNANDEZ</t>
  </si>
  <si>
    <t>Nuevos Ingresos</t>
  </si>
  <si>
    <t>Renuncio 31-01-2026</t>
  </si>
  <si>
    <t>Renunció 10-02-2026</t>
  </si>
  <si>
    <t>TELEFONO</t>
  </si>
  <si>
    <t>Renuncio 21-02-2026</t>
  </si>
  <si>
    <t xml:space="preserve">Renunció 24-02-2026 </t>
  </si>
  <si>
    <t>Renunció el 26-02-2026</t>
  </si>
  <si>
    <t>RONALD PORFIRIO GERDER CASTILLO</t>
  </si>
  <si>
    <t>SAN JUAN DE LOS MORROS</t>
  </si>
  <si>
    <t>LUIS FRANCISCO GARCIA SALAS</t>
  </si>
  <si>
    <t>VILLA DE CURA</t>
  </si>
  <si>
    <t>VALLE LA PASCUA</t>
  </si>
  <si>
    <t>SAN FERNANDO DE APURE</t>
  </si>
  <si>
    <t>CALABOZO</t>
  </si>
  <si>
    <t>PERSONAL</t>
  </si>
  <si>
    <t>ACTIVO</t>
  </si>
  <si>
    <t>TELEFONO SUPERVISOR INMEDIATO</t>
  </si>
  <si>
    <t>INACTIVO</t>
  </si>
  <si>
    <t>Renuncio el 23-03-2026</t>
  </si>
  <si>
    <t>Renuncio el 26-03-2026</t>
  </si>
  <si>
    <t>rEnuncio el 06-04-2026</t>
  </si>
  <si>
    <t>REnuncio el 01-04-2026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</si>
</sst>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;[Red]0"/>
  </numFmts>
  <fonts count="27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4"/>
      <color theme="1"/>
      <name val="Century Gothic"/>
      <family val="2"/>
    </font>
    <font>
      <sz val="16"/>
      <color theme="1"/>
      <name val="Century Gothic"/>
      <family val="2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entury Gothic"/>
      <family val="2"/>
    </font>
    <font>
      <sz val="12"/>
      <color theme="1"/>
      <name val="Century Gothic"/>
      <family val="2"/>
    </font>
    <font>
      <sz val="11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sz val="12"/>
      <color rgb="FF000000"/>
      <name val="Arial"/>
      <family val="2"/>
    </font>
    <font>
      <sz val="12"/>
      <name val="Arial"/>
      <family val="2"/>
    </font>
    <font>
      <sz val="12"/>
      <color rgb="FF000000"/>
      <name val="Calibri"/>
      <family val="2"/>
    </font>
    <font>
      <b/>
      <sz val="12"/>
      <name val="Arial"/>
      <family val="2"/>
    </font>
    <font>
      <b/>
      <sz val="12"/>
      <name val="Calibri"/>
      <family val="2"/>
    </font>
    <font>
      <b/>
      <sz val="11"/>
      <color rgb="FFFFFFFF"/>
      <name val="Calibri"/>
      <family val="2"/>
      <scheme val="minor"/>
    </font>
    <font>
      <sz val="11"/>
      <color theme="4" tint="0.79998168889431442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scheme val="minor"/>
    </font>
    <font>
      <b/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 style="thin">
        <color theme="4" tint="-0.24994659260841701"/>
      </left>
      <right/>
      <top style="thin">
        <color theme="4" tint="-0.24994659260841701"/>
      </top>
      <bottom style="thin">
        <color theme="4" tint="-0.24994659260841701"/>
      </bottom>
      <diagonal/>
    </border>
    <border>
      <left/>
      <right/>
      <top style="thin">
        <color theme="4" tint="-0.24994659260841701"/>
      </top>
      <bottom style="thin">
        <color theme="4" tint="-0.24994659260841701"/>
      </bottom>
      <diagonal/>
    </border>
    <border>
      <left/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/>
      <diagonal/>
    </border>
    <border>
      <left style="thin">
        <color theme="4" tint="-0.24994659260841701"/>
      </left>
      <right style="thin">
        <color theme="4" tint="-0.24994659260841701"/>
      </right>
      <top/>
      <bottom/>
      <diagonal/>
    </border>
    <border>
      <left style="thin">
        <color theme="4" tint="-0.24994659260841701"/>
      </left>
      <right style="thin">
        <color theme="4" tint="-0.24994659260841701"/>
      </right>
      <top/>
      <bottom style="thin">
        <color theme="4" tint="-0.24994659260841701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1454817346722"/>
      </left>
      <right style="thin">
        <color theme="4" tint="0.39991454817346722"/>
      </right>
      <top style="thin">
        <color theme="4" tint="0.39991454817346722"/>
      </top>
      <bottom style="thin">
        <color theme="4" tint="0.39991454817346722"/>
      </bottom>
      <diagonal/>
    </border>
    <border>
      <left style="thin">
        <color theme="8" tint="-0.24994659260841701"/>
      </left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 style="thin">
        <color theme="8" tint="-0.24994659260841701"/>
      </left>
      <right/>
      <top/>
      <bottom/>
      <diagonal/>
    </border>
    <border>
      <left style="thin">
        <color rgb="FF0070C0"/>
      </left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 style="thin">
        <color rgb="FF2F75B5"/>
      </left>
      <right style="thin">
        <color rgb="FF2F75B5"/>
      </right>
      <top style="thin">
        <color rgb="FF2F75B5"/>
      </top>
      <bottom/>
      <diagonal/>
    </border>
    <border>
      <left style="thin">
        <color rgb="FF2F75B5"/>
      </left>
      <right style="thin">
        <color rgb="FF2F75B5"/>
      </right>
      <top/>
      <bottom/>
      <diagonal/>
    </border>
    <border>
      <left style="thin">
        <color rgb="FF2F75B5"/>
      </left>
      <right style="thin">
        <color rgb="FF2F75B5"/>
      </right>
      <top/>
      <bottom style="thin">
        <color rgb="FF305496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79">
    <xf numFmtId="0" fontId="0" fillId="0" borderId="0" xfId="0"/>
    <xf numFmtId="0" fontId="0" fillId="0" borderId="0" xfId="0"/>
    <xf numFmtId="0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left" indent="1"/>
    </xf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wrapText="1"/>
    </xf>
    <xf numFmtId="164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center"/>
    </xf>
    <xf numFmtId="0" fontId="4" fillId="2" borderId="0" xfId="0" applyFont="1" applyFill="1"/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wrapText="1"/>
    </xf>
    <xf numFmtId="0" fontId="5" fillId="3" borderId="1" xfId="0" applyFont="1" applyFill="1" applyBorder="1" applyAlignment="1">
      <alignment horizontal="center" vertical="center"/>
    </xf>
    <xf numFmtId="0" fontId="0" fillId="0" borderId="1" xfId="0" applyBorder="1"/>
    <xf numFmtId="0" fontId="7" fillId="0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0" fillId="0" borderId="0" xfId="0" applyBorder="1"/>
    <xf numFmtId="0" fontId="0" fillId="0" borderId="2" xfId="0" applyFill="1" applyBorder="1"/>
    <xf numFmtId="0" fontId="0" fillId="0" borderId="0" xfId="0" applyNumberFormat="1" applyAlignment="1">
      <alignment horizontal="left"/>
    </xf>
    <xf numFmtId="0" fontId="0" fillId="0" borderId="0" xfId="0" applyNumberFormat="1"/>
    <xf numFmtId="0" fontId="9" fillId="4" borderId="0" xfId="0" applyFont="1" applyFill="1"/>
    <xf numFmtId="0" fontId="9" fillId="0" borderId="0" xfId="0" applyFo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NumberFormat="1" applyBorder="1" applyAlignment="1">
      <alignment horizontal="center"/>
    </xf>
    <xf numFmtId="0" fontId="0" fillId="0" borderId="0" xfId="0" applyNumberFormat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/>
    <xf numFmtId="0" fontId="0" fillId="0" borderId="1" xfId="0" applyBorder="1" applyAlignment="1">
      <alignment horizontal="center" vertical="center" wrapText="1"/>
    </xf>
    <xf numFmtId="0" fontId="0" fillId="0" borderId="0" xfId="0" applyBorder="1" applyAlignment="1">
      <alignment vertical="center"/>
    </xf>
    <xf numFmtId="0" fontId="9" fillId="4" borderId="3" xfId="0" applyNumberFormat="1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 wrapText="1"/>
    </xf>
    <xf numFmtId="0" fontId="11" fillId="0" borderId="12" xfId="0" applyFont="1" applyBorder="1" applyAlignment="1">
      <alignment horizontal="left"/>
    </xf>
    <xf numFmtId="0" fontId="11" fillId="5" borderId="12" xfId="0" applyNumberFormat="1" applyFont="1" applyFill="1" applyBorder="1" applyAlignment="1">
      <alignment horizontal="center" vertical="center"/>
    </xf>
    <xf numFmtId="0" fontId="11" fillId="0" borderId="12" xfId="0" applyNumberFormat="1" applyFont="1" applyBorder="1" applyAlignment="1">
      <alignment horizontal="center" vertical="center"/>
    </xf>
    <xf numFmtId="0" fontId="10" fillId="4" borderId="13" xfId="0" applyFont="1" applyFill="1" applyBorder="1" applyAlignment="1">
      <alignment horizontal="left"/>
    </xf>
    <xf numFmtId="0" fontId="10" fillId="4" borderId="13" xfId="0" applyNumberFormat="1" applyFont="1" applyFill="1" applyBorder="1" applyAlignment="1">
      <alignment horizontal="center" vertical="center"/>
    </xf>
    <xf numFmtId="0" fontId="11" fillId="0" borderId="11" xfId="0" applyFont="1" applyBorder="1" applyAlignment="1">
      <alignment horizontal="left"/>
    </xf>
    <xf numFmtId="0" fontId="11" fillId="5" borderId="11" xfId="0" applyNumberFormat="1" applyFont="1" applyFill="1" applyBorder="1" applyAlignment="1">
      <alignment horizontal="center" vertical="center"/>
    </xf>
    <xf numFmtId="0" fontId="11" fillId="0" borderId="11" xfId="0" applyNumberFormat="1" applyFont="1" applyBorder="1" applyAlignment="1">
      <alignment horizontal="center" vertical="center"/>
    </xf>
    <xf numFmtId="0" fontId="2" fillId="4" borderId="10" xfId="0" applyFont="1" applyFill="1" applyBorder="1" applyAlignment="1"/>
    <xf numFmtId="0" fontId="12" fillId="0" borderId="0" xfId="0" applyNumberFormat="1" applyFont="1" applyFill="1" applyAlignment="1">
      <alignment horizontal="center"/>
    </xf>
    <xf numFmtId="0" fontId="0" fillId="0" borderId="0" xfId="0" applyNumberFormat="1" applyFont="1" applyFill="1" applyAlignment="1">
      <alignment horizontal="center"/>
    </xf>
    <xf numFmtId="0" fontId="0" fillId="0" borderId="0" xfId="0" pivotButton="1" applyAlignment="1">
      <alignment horizontal="center" vertical="center"/>
    </xf>
    <xf numFmtId="0" fontId="0" fillId="0" borderId="14" xfId="0" applyBorder="1" applyAlignment="1">
      <alignment horizontal="left" indent="1"/>
    </xf>
    <xf numFmtId="0" fontId="0" fillId="6" borderId="14" xfId="0" applyFill="1" applyBorder="1" applyAlignment="1">
      <alignment horizontal="left"/>
    </xf>
    <xf numFmtId="0" fontId="0" fillId="0" borderId="0" xfId="0" applyFill="1"/>
    <xf numFmtId="0" fontId="12" fillId="0" borderId="0" xfId="0" applyFont="1" applyFill="1"/>
    <xf numFmtId="0" fontId="12" fillId="0" borderId="0" xfId="0" applyNumberFormat="1" applyFont="1" applyAlignment="1">
      <alignment horizontal="center"/>
    </xf>
    <xf numFmtId="0" fontId="12" fillId="0" borderId="0" xfId="0" applyNumberFormat="1" applyFont="1" applyAlignment="1">
      <alignment horizontal="left"/>
    </xf>
    <xf numFmtId="0" fontId="0" fillId="0" borderId="15" xfId="0" applyBorder="1" applyAlignment="1">
      <alignment horizontal="left" indent="1"/>
    </xf>
    <xf numFmtId="0" fontId="13" fillId="3" borderId="15" xfId="0" applyFont="1" applyFill="1" applyBorder="1" applyAlignment="1">
      <alignment horizontal="left"/>
    </xf>
    <xf numFmtId="0" fontId="0" fillId="0" borderId="0" xfId="0" applyFont="1" applyFill="1"/>
    <xf numFmtId="0" fontId="0" fillId="0" borderId="0" xfId="0" applyFill="1" applyAlignment="1">
      <alignment horizontal="left"/>
    </xf>
    <xf numFmtId="0" fontId="0" fillId="0" borderId="0" xfId="0" applyFill="1" applyAlignment="1">
      <alignment horizontal="center"/>
    </xf>
    <xf numFmtId="0" fontId="0" fillId="0" borderId="0" xfId="0" applyFill="1" applyAlignment="1">
      <alignment horizontal="center" vertical="center" wrapText="1"/>
    </xf>
    <xf numFmtId="0" fontId="0" fillId="0" borderId="16" xfId="0" pivotButton="1" applyBorder="1"/>
    <xf numFmtId="0" fontId="12" fillId="0" borderId="0" xfId="0" applyFont="1" applyAlignment="1">
      <alignment horizontal="center"/>
    </xf>
    <xf numFmtId="0" fontId="0" fillId="0" borderId="18" xfId="0" applyBorder="1" applyAlignment="1">
      <alignment horizontal="left"/>
    </xf>
    <xf numFmtId="0" fontId="12" fillId="0" borderId="0" xfId="0" applyFont="1"/>
    <xf numFmtId="0" fontId="12" fillId="0" borderId="0" xfId="0" applyFont="1" applyAlignment="1">
      <alignment horizontal="left"/>
    </xf>
    <xf numFmtId="0" fontId="12" fillId="0" borderId="0" xfId="0" applyFont="1" applyFill="1" applyAlignment="1">
      <alignment horizontal="center"/>
    </xf>
    <xf numFmtId="17" fontId="12" fillId="0" borderId="0" xfId="0" applyNumberFormat="1" applyFont="1" applyAlignment="1">
      <alignment horizontal="center"/>
    </xf>
    <xf numFmtId="0" fontId="0" fillId="0" borderId="17" xfId="0" applyBorder="1" applyAlignment="1">
      <alignment horizontal="left"/>
    </xf>
    <xf numFmtId="0" fontId="15" fillId="0" borderId="19" xfId="0" applyFont="1" applyBorder="1" applyAlignment="1">
      <alignment horizontal="center" wrapText="1" readingOrder="1"/>
    </xf>
    <xf numFmtId="0" fontId="15" fillId="0" borderId="19" xfId="0" applyFont="1" applyBorder="1" applyAlignment="1">
      <alignment horizontal="center" vertical="center" wrapText="1" readingOrder="1"/>
    </xf>
    <xf numFmtId="0" fontId="15" fillId="0" borderId="20" xfId="0" applyFont="1" applyBorder="1" applyAlignment="1">
      <alignment horizontal="center" wrapText="1" readingOrder="1"/>
    </xf>
    <xf numFmtId="0" fontId="15" fillId="0" borderId="20" xfId="0" applyFont="1" applyBorder="1" applyAlignment="1">
      <alignment horizontal="center" vertical="center" wrapText="1" readingOrder="1"/>
    </xf>
    <xf numFmtId="0" fontId="15" fillId="0" borderId="21" xfId="0" applyFont="1" applyBorder="1" applyAlignment="1">
      <alignment horizontal="center" wrapText="1" readingOrder="1"/>
    </xf>
    <xf numFmtId="0" fontId="15" fillId="0" borderId="21" xfId="0" applyFont="1" applyBorder="1" applyAlignment="1">
      <alignment horizontal="center" vertical="center" wrapText="1" readingOrder="1"/>
    </xf>
    <xf numFmtId="0" fontId="12" fillId="0" borderId="0" xfId="0" applyNumberFormat="1" applyFont="1" applyFill="1" applyAlignment="1">
      <alignment horizontal="left"/>
    </xf>
    <xf numFmtId="0" fontId="14" fillId="0" borderId="0" xfId="0" applyFont="1" applyAlignment="1">
      <alignment horizontal="center"/>
    </xf>
    <xf numFmtId="0" fontId="16" fillId="7" borderId="22" xfId="0" applyFont="1" applyFill="1" applyBorder="1" applyAlignment="1">
      <alignment horizontal="left" vertical="center" wrapText="1"/>
    </xf>
    <xf numFmtId="0" fontId="17" fillId="7" borderId="23" xfId="0" applyFont="1" applyFill="1" applyBorder="1" applyAlignment="1">
      <alignment horizontal="center" vertical="center" wrapText="1"/>
    </xf>
    <xf numFmtId="0" fontId="18" fillId="0" borderId="23" xfId="0" applyFont="1" applyBorder="1" applyAlignment="1">
      <alignment vertical="center"/>
    </xf>
    <xf numFmtId="0" fontId="16" fillId="7" borderId="24" xfId="0" applyFont="1" applyFill="1" applyBorder="1" applyAlignment="1">
      <alignment horizontal="left" vertical="center" wrapText="1"/>
    </xf>
    <xf numFmtId="0" fontId="17" fillId="7" borderId="25" xfId="0" applyFont="1" applyFill="1" applyBorder="1" applyAlignment="1">
      <alignment horizontal="center" vertical="center" wrapText="1"/>
    </xf>
    <xf numFmtId="0" fontId="18" fillId="0" borderId="25" xfId="0" applyFont="1" applyBorder="1" applyAlignment="1">
      <alignment vertical="center"/>
    </xf>
    <xf numFmtId="3" fontId="17" fillId="7" borderId="25" xfId="0" applyNumberFormat="1" applyFont="1" applyFill="1" applyBorder="1" applyAlignment="1">
      <alignment horizontal="center" vertical="center" wrapText="1"/>
    </xf>
    <xf numFmtId="0" fontId="19" fillId="7" borderId="24" xfId="0" applyFont="1" applyFill="1" applyBorder="1" applyAlignment="1">
      <alignment horizontal="left" vertical="center" wrapText="1"/>
    </xf>
    <xf numFmtId="0" fontId="19" fillId="7" borderId="25" xfId="0" applyFont="1" applyFill="1" applyBorder="1" applyAlignment="1">
      <alignment horizontal="center" vertical="center" wrapText="1"/>
    </xf>
    <xf numFmtId="0" fontId="20" fillId="0" borderId="25" xfId="0" applyFont="1" applyBorder="1" applyAlignment="1">
      <alignment vertical="center"/>
    </xf>
    <xf numFmtId="164" fontId="17" fillId="7" borderId="25" xfId="0" applyNumberFormat="1" applyFont="1" applyFill="1" applyBorder="1" applyAlignment="1">
      <alignment horizontal="center" vertical="center" wrapText="1"/>
    </xf>
    <xf numFmtId="0" fontId="12" fillId="2" borderId="0" xfId="0" applyFont="1" applyFill="1"/>
    <xf numFmtId="0" fontId="12" fillId="2" borderId="0" xfId="0" applyNumberFormat="1" applyFont="1" applyFill="1" applyAlignment="1">
      <alignment horizontal="center"/>
    </xf>
    <xf numFmtId="0" fontId="12" fillId="2" borderId="0" xfId="0" applyNumberFormat="1" applyFont="1" applyFill="1" applyAlignment="1">
      <alignment horizontal="left"/>
    </xf>
    <xf numFmtId="0" fontId="12" fillId="2" borderId="0" xfId="0" applyFont="1" applyFill="1" applyAlignment="1">
      <alignment horizontal="left"/>
    </xf>
    <xf numFmtId="0" fontId="12" fillId="2" borderId="0" xfId="0" applyFont="1" applyFill="1" applyAlignment="1">
      <alignment horizontal="center"/>
    </xf>
    <xf numFmtId="17" fontId="12" fillId="2" borderId="0" xfId="0" applyNumberFormat="1" applyFont="1" applyFill="1" applyAlignment="1">
      <alignment horizontal="center"/>
    </xf>
    <xf numFmtId="0" fontId="21" fillId="0" borderId="0" xfId="0" applyFont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4" xfId="0" applyBorder="1"/>
    <xf numFmtId="0" fontId="13" fillId="6" borderId="14" xfId="0" applyFont="1" applyFill="1" applyBorder="1" applyAlignment="1">
      <alignment horizontal="center"/>
    </xf>
    <xf numFmtId="0" fontId="0" fillId="0" borderId="15" xfId="0" applyBorder="1"/>
    <xf numFmtId="0" fontId="13" fillId="3" borderId="15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left" indent="2"/>
    </xf>
    <xf numFmtId="0" fontId="22" fillId="0" borderId="0" xfId="0" pivotButton="1" applyFont="1"/>
    <xf numFmtId="0" fontId="0" fillId="0" borderId="0" xfId="0" applyFont="1"/>
    <xf numFmtId="0" fontId="0" fillId="0" borderId="0" xfId="0" applyFont="1" applyAlignment="1">
      <alignment vertical="center"/>
    </xf>
    <xf numFmtId="0" fontId="0" fillId="0" borderId="0" xfId="0" applyFont="1" applyAlignment="1">
      <alignment horizontal="center"/>
    </xf>
    <xf numFmtId="0" fontId="0" fillId="0" borderId="0" xfId="0" applyNumberFormat="1" applyFont="1" applyAlignment="1">
      <alignment horizontal="center"/>
    </xf>
    <xf numFmtId="0" fontId="0" fillId="0" borderId="0" xfId="0" applyFont="1" applyAlignment="1">
      <alignment horizontal="left"/>
    </xf>
    <xf numFmtId="0" fontId="0" fillId="0" borderId="0" xfId="0" applyFont="1" applyFill="1" applyAlignment="1">
      <alignment horizontal="left"/>
    </xf>
    <xf numFmtId="17" fontId="0" fillId="0" borderId="0" xfId="0" applyNumberFormat="1" applyFont="1" applyAlignment="1">
      <alignment horizontal="left"/>
    </xf>
    <xf numFmtId="0" fontId="0" fillId="0" borderId="0" xfId="0" applyNumberFormat="1" applyFont="1" applyAlignment="1">
      <alignment horizontal="left"/>
    </xf>
    <xf numFmtId="0" fontId="0" fillId="0" borderId="0" xfId="0" applyFont="1" applyFill="1" applyAlignment="1">
      <alignment horizontal="left" vertical="center"/>
    </xf>
    <xf numFmtId="0" fontId="0" fillId="0" borderId="0" xfId="0" applyNumberFormat="1" applyFont="1" applyFill="1" applyAlignment="1">
      <alignment horizontal="left"/>
    </xf>
    <xf numFmtId="0" fontId="0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2" fillId="0" borderId="0" xfId="0" applyFont="1" applyFill="1" applyAlignment="1">
      <alignment horizontal="left"/>
    </xf>
    <xf numFmtId="0" fontId="12" fillId="0" borderId="0" xfId="0" applyFont="1" applyFill="1" applyAlignment="1">
      <alignment horizontal="left" vertical="center"/>
    </xf>
    <xf numFmtId="0" fontId="12" fillId="2" borderId="0" xfId="0" applyFont="1" applyFill="1" applyAlignment="1">
      <alignment vertical="center"/>
    </xf>
    <xf numFmtId="0" fontId="12" fillId="0" borderId="0" xfId="0" applyFont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2" fillId="0" borderId="0" xfId="0" applyFont="1" applyFill="1" applyAlignment="1">
      <alignment vertical="center"/>
    </xf>
    <xf numFmtId="17" fontId="12" fillId="0" borderId="0" xfId="0" applyNumberFormat="1" applyFont="1" applyFill="1" applyAlignment="1">
      <alignment horizontal="center"/>
    </xf>
    <xf numFmtId="17" fontId="12" fillId="0" borderId="0" xfId="0" applyNumberFormat="1" applyFont="1" applyAlignment="1">
      <alignment horizontal="left"/>
    </xf>
    <xf numFmtId="17" fontId="12" fillId="2" borderId="0" xfId="0" applyNumberFormat="1" applyFont="1" applyFill="1" applyAlignment="1">
      <alignment horizontal="left"/>
    </xf>
    <xf numFmtId="0" fontId="12" fillId="2" borderId="0" xfId="0" applyFont="1" applyFill="1" applyAlignment="1"/>
    <xf numFmtId="0" fontId="0" fillId="0" borderId="0" xfId="0" applyAlignment="1"/>
    <xf numFmtId="0" fontId="12" fillId="0" borderId="0" xfId="0" applyFont="1" applyFill="1" applyAlignment="1"/>
    <xf numFmtId="0" fontId="0" fillId="0" borderId="0" xfId="0" applyFill="1" applyAlignment="1"/>
    <xf numFmtId="0" fontId="23" fillId="0" borderId="0" xfId="0" applyFont="1" applyAlignment="1">
      <alignment horizontal="center"/>
    </xf>
    <xf numFmtId="0" fontId="0" fillId="0" borderId="0" xfId="0" applyAlignment="1">
      <alignment vertical="center"/>
    </xf>
    <xf numFmtId="0" fontId="24" fillId="0" borderId="0" xfId="0" applyFont="1" applyAlignment="1">
      <alignment horizontal="left"/>
    </xf>
    <xf numFmtId="0" fontId="24" fillId="0" borderId="0" xfId="0" applyFont="1" applyFill="1" applyAlignment="1">
      <alignment horizontal="left"/>
    </xf>
    <xf numFmtId="17" fontId="24" fillId="0" borderId="0" xfId="0" applyNumberFormat="1" applyFont="1" applyAlignment="1">
      <alignment horizontal="left"/>
    </xf>
    <xf numFmtId="0" fontId="23" fillId="2" borderId="0" xfId="0" applyFont="1" applyFill="1" applyAlignment="1">
      <alignment horizont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horizontal="center"/>
    </xf>
    <xf numFmtId="0" fontId="0" fillId="8" borderId="0" xfId="0" applyFont="1" applyFill="1"/>
    <xf numFmtId="0" fontId="0" fillId="8" borderId="0" xfId="0" applyNumberFormat="1" applyFont="1" applyFill="1" applyAlignment="1">
      <alignment horizontal="center"/>
    </xf>
    <xf numFmtId="0" fontId="0" fillId="8" borderId="0" xfId="0" applyNumberFormat="1" applyFont="1" applyFill="1" applyAlignment="1">
      <alignment horizontal="left"/>
    </xf>
    <xf numFmtId="0" fontId="0" fillId="8" borderId="0" xfId="0" applyFill="1" applyAlignment="1">
      <alignment horizontal="left"/>
    </xf>
    <xf numFmtId="0" fontId="0" fillId="8" borderId="0" xfId="0" applyFont="1" applyFill="1" applyAlignment="1">
      <alignment horizontal="left"/>
    </xf>
    <xf numFmtId="0" fontId="12" fillId="8" borderId="0" xfId="0" applyFont="1" applyFill="1" applyAlignment="1">
      <alignment horizontal="center"/>
    </xf>
    <xf numFmtId="0" fontId="14" fillId="2" borderId="0" xfId="0" applyFont="1" applyFill="1"/>
    <xf numFmtId="0" fontId="14" fillId="2" borderId="0" xfId="0" applyFont="1" applyFill="1" applyAlignment="1">
      <alignment vertical="center"/>
    </xf>
    <xf numFmtId="0" fontId="14" fillId="2" borderId="0" xfId="0" applyFont="1" applyFill="1" applyAlignment="1">
      <alignment horizontal="center"/>
    </xf>
    <xf numFmtId="0" fontId="14" fillId="2" borderId="0" xfId="0" applyNumberFormat="1" applyFont="1" applyFill="1" applyAlignment="1">
      <alignment horizontal="center"/>
    </xf>
    <xf numFmtId="0" fontId="14" fillId="2" borderId="0" xfId="0" applyFont="1" applyFill="1" applyAlignment="1">
      <alignment horizontal="left"/>
    </xf>
    <xf numFmtId="0" fontId="14" fillId="2" borderId="0" xfId="0" applyFont="1" applyFill="1" applyAlignment="1"/>
    <xf numFmtId="17" fontId="14" fillId="2" borderId="0" xfId="0" applyNumberFormat="1" applyFont="1" applyFill="1" applyAlignment="1">
      <alignment horizontal="center"/>
    </xf>
    <xf numFmtId="0" fontId="14" fillId="2" borderId="0" xfId="0" applyNumberFormat="1" applyFont="1" applyFill="1" applyAlignment="1">
      <alignment horizontal="left"/>
    </xf>
    <xf numFmtId="0" fontId="25" fillId="0" borderId="0" xfId="0" applyFont="1"/>
    <xf numFmtId="0" fontId="25" fillId="0" borderId="0" xfId="0" applyFont="1" applyAlignment="1">
      <alignment horizontal="left"/>
    </xf>
    <xf numFmtId="0" fontId="26" fillId="0" borderId="0" xfId="0" applyFont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4" borderId="8" xfId="0" applyFont="1" applyFill="1" applyBorder="1" applyAlignment="1">
      <alignment horizontal="right"/>
    </xf>
    <xf numFmtId="0" fontId="2" fillId="4" borderId="9" xfId="0" applyFont="1" applyFill="1" applyBorder="1" applyAlignment="1">
      <alignment horizontal="right"/>
    </xf>
    <xf numFmtId="0" fontId="2" fillId="4" borderId="11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/>
    </xf>
    <xf numFmtId="0" fontId="2" fillId="4" borderId="13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right"/>
    </xf>
    <xf numFmtId="0" fontId="10" fillId="4" borderId="9" xfId="0" applyFont="1" applyFill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7" fillId="3" borderId="0" xfId="0" applyFont="1" applyFill="1" applyAlignment="1">
      <alignment horizontal="center" vertical="center"/>
    </xf>
  </cellXfs>
  <cellStyles count="2">
    <cellStyle name="Normal" xfId="0" builtinId="0"/>
    <cellStyle name="Normal 2" xfId="1"/>
  </cellStyles>
  <dxfs count="1351">
    <dxf>
      <alignment horizontal="left" readingOrder="0"/>
    </dxf>
    <dxf>
      <alignment horizontal="center" indent="0" readingOrder="0"/>
    </dxf>
    <dxf>
      <alignment horizontal="center" indent="0" readingOrder="0"/>
    </dxf>
    <dxf>
      <border>
        <left style="thin">
          <color theme="4" tint="0.39991454817346722"/>
        </left>
        <right style="thin">
          <color theme="4" tint="0.39991454817346722"/>
        </right>
        <top style="thin">
          <color theme="4" tint="0.39991454817346722"/>
        </top>
        <bottom style="thin">
          <color theme="4" tint="0.39991454817346722"/>
        </bottom>
        <vertical style="thin">
          <color theme="4" tint="0.39991454817346722"/>
        </vertical>
      </border>
    </dxf>
    <dxf>
      <border>
        <left style="thin">
          <color theme="4" tint="0.39991454817346722"/>
        </left>
        <right style="thin">
          <color theme="4" tint="0.39991454817346722"/>
        </right>
        <top style="thin">
          <color theme="4" tint="0.39991454817346722"/>
        </top>
        <bottom style="thin">
          <color theme="4" tint="0.39991454817346722"/>
        </bottom>
        <vertical style="thin">
          <color theme="4" tint="0.39991454817346722"/>
        </vertical>
      </border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color theme="0" tint="-0.14999847407452621"/>
      </font>
    </dxf>
    <dxf>
      <font>
        <color theme="0" tint="-0.14999847407452621"/>
      </font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ont>
        <color theme="0" tint="-0.14999847407452621"/>
      </font>
    </dxf>
    <dxf>
      <fill>
        <patternFill patternType="solid">
          <bgColor theme="0" tint="-0.14999847407452621"/>
        </patternFill>
      </fill>
    </dxf>
    <dxf>
      <border>
        <left style="thin">
          <color theme="4" tint="0.39991454817346722"/>
        </left>
        <right style="thin">
          <color theme="4" tint="0.39991454817346722"/>
        </right>
        <top style="thin">
          <color theme="4" tint="0.39991454817346722"/>
        </top>
        <bottom style="thin">
          <color theme="4" tint="0.39991454817346722"/>
        </bottom>
        <vertical style="thin">
          <color theme="4" tint="0.39991454817346722"/>
        </vertical>
        <horizontal style="thin">
          <color theme="4" tint="0.39991454817346722"/>
        </horizontal>
      </border>
    </dxf>
    <dxf>
      <border>
        <left style="thin">
          <color theme="4" tint="0.39991454817346722"/>
        </left>
        <right style="thin">
          <color theme="4" tint="0.39991454817346722"/>
        </right>
        <top style="thin">
          <color theme="4" tint="0.39991454817346722"/>
        </top>
        <bottom style="thin">
          <color theme="4" tint="0.39991454817346722"/>
        </bottom>
        <vertical style="thin">
          <color theme="4" tint="0.39991454817346722"/>
        </vertical>
        <horizontal style="thin">
          <color theme="4" tint="0.39991454817346722"/>
        </horizontal>
      </border>
    </dxf>
    <dxf>
      <border>
        <left style="thin">
          <color theme="4" tint="0.39991454817346722"/>
        </left>
        <right style="thin">
          <color theme="4" tint="0.39991454817346722"/>
        </right>
        <top style="thin">
          <color theme="4" tint="0.39991454817346722"/>
        </top>
        <bottom style="thin">
          <color theme="4" tint="0.39991454817346722"/>
        </bottom>
        <vertical style="thin">
          <color theme="4" tint="0.39991454817346722"/>
        </vertical>
        <horizontal style="thin">
          <color theme="4" tint="0.39991454817346722"/>
        </horizontal>
      </border>
    </dxf>
    <dxf>
      <border>
        <left style="thin">
          <color theme="4" tint="0.39991454817346722"/>
        </left>
        <right style="thin">
          <color theme="4" tint="0.39991454817346722"/>
        </right>
        <top style="thin">
          <color theme="4" tint="0.39991454817346722"/>
        </top>
        <bottom style="thin">
          <color theme="4" tint="0.39991454817346722"/>
        </bottom>
        <vertical style="thin">
          <color theme="4" tint="0.39991454817346722"/>
        </vertical>
        <horizontal style="thin">
          <color theme="4" tint="0.39991454817346722"/>
        </horizontal>
      </border>
    </dxf>
    <dxf>
      <border>
        <left style="thin">
          <color theme="4" tint="0.39991454817346722"/>
        </left>
        <right style="thin">
          <color theme="4" tint="0.39991454817346722"/>
        </right>
        <top style="thin">
          <color theme="4" tint="0.39991454817346722"/>
        </top>
        <bottom style="thin">
          <color theme="4" tint="0.39991454817346722"/>
        </bottom>
        <vertical style="thin">
          <color theme="4" tint="0.39991454817346722"/>
        </vertical>
        <horizontal style="thin">
          <color theme="4" tint="0.39991454817346722"/>
        </horizontal>
      </border>
    </dxf>
    <dxf>
      <border>
        <left style="thin">
          <color theme="4" tint="0.39991454817346722"/>
        </left>
        <right style="thin">
          <color theme="4" tint="0.39991454817346722"/>
        </right>
        <top style="thin">
          <color theme="4" tint="0.39991454817346722"/>
        </top>
        <bottom style="thin">
          <color theme="4" tint="0.39991454817346722"/>
        </bottom>
        <vertical style="thin">
          <color theme="4" tint="0.39991454817346722"/>
        </vertical>
        <horizontal style="thin">
          <color theme="4" tint="0.39991454817346722"/>
        </horizontal>
      </border>
    </dxf>
    <dxf>
      <border>
        <left style="thin">
          <color theme="4" tint="0.39991454817346722"/>
        </left>
        <right style="thin">
          <color theme="4" tint="0.39991454817346722"/>
        </right>
        <top style="thin">
          <color theme="4" tint="0.39991454817346722"/>
        </top>
        <bottom style="thin">
          <color theme="4" tint="0.39991454817346722"/>
        </bottom>
        <vertical style="thin">
          <color theme="4" tint="0.39991454817346722"/>
        </vertical>
        <horizontal style="thin">
          <color theme="4" tint="0.39991454817346722"/>
        </horizontal>
      </border>
    </dxf>
    <dxf>
      <border>
        <left style="thin">
          <color theme="4" tint="0.39991454817346722"/>
        </left>
        <right style="thin">
          <color theme="4" tint="0.39991454817346722"/>
        </right>
        <top style="thin">
          <color theme="4" tint="0.39991454817346722"/>
        </top>
        <bottom style="thin">
          <color theme="4" tint="0.39991454817346722"/>
        </bottom>
        <vertical style="thin">
          <color theme="4" tint="0.39991454817346722"/>
        </vertical>
        <horizontal style="thin">
          <color theme="4" tint="0.39991454817346722"/>
        </horizontal>
      </border>
    </dxf>
    <dxf>
      <border>
        <left style="thin">
          <color theme="4" tint="0.39991454817346722"/>
        </left>
        <right style="thin">
          <color theme="4" tint="0.39991454817346722"/>
        </right>
        <top style="thin">
          <color theme="4" tint="0.39991454817346722"/>
        </top>
        <bottom style="thin">
          <color theme="4" tint="0.39991454817346722"/>
        </bottom>
        <vertical style="thin">
          <color theme="4" tint="0.39991454817346722"/>
        </vertical>
        <horizontal style="thin">
          <color theme="4" tint="0.39991454817346722"/>
        </horizontal>
      </border>
    </dxf>
    <dxf>
      <font>
        <color theme="0" tint="-0.14999847407452621"/>
      </font>
    </dxf>
    <dxf>
      <font>
        <color theme="0" tint="-0.14999847407452621"/>
      </font>
    </dxf>
    <dxf>
      <font>
        <color theme="0" tint="-0.14999847407452621"/>
      </font>
    </dxf>
    <dxf>
      <font>
        <color theme="0" tint="-0.14999847407452621"/>
      </font>
    </dxf>
    <dxf>
      <font>
        <color theme="0" tint="-0.14999847407452621"/>
      </font>
    </dxf>
    <dxf>
      <font>
        <color theme="0" tint="-0.14999847407452621"/>
      </font>
    </dxf>
    <dxf>
      <font>
        <color theme="0" tint="-0.14999847407452621"/>
      </font>
    </dxf>
    <dxf>
      <font>
        <color theme="0" tint="-0.14999847407452621"/>
      </font>
    </dxf>
    <dxf>
      <font>
        <color theme="0" tint="-0.14999847407452621"/>
      </font>
    </dxf>
    <dxf>
      <font>
        <color theme="0" tint="-0.14999847407452621"/>
      </font>
    </dxf>
    <dxf>
      <font>
        <color theme="0" tint="-0.14999847407452621"/>
      </font>
    </dxf>
    <dxf>
      <font>
        <color theme="0" tint="-0.14999847407452621"/>
      </font>
    </dxf>
    <dxf>
      <font>
        <color theme="0"/>
      </font>
    </dxf>
    <dxf>
      <alignment horizontal="center" readingOrder="0"/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</border>
    </dxf>
    <dxf>
      <border>
        <left style="thin">
          <color theme="4" tint="-0.24994659260841701"/>
        </left>
        <right style="thin">
          <color theme="4" tint="-0.24994659260841701"/>
        </right>
        <top style="thin">
          <color theme="4" tint="-0.24994659260841701"/>
        </top>
        <bottom style="thin">
          <color theme="4" tint="-0.24994659260841701"/>
        </bottom>
        <vertical style="thin">
          <color theme="4" tint="-0.24994659260841701"/>
        </vertical>
      </border>
    </dxf>
    <dxf>
      <border>
        <left style="thin">
          <color theme="4" tint="-0.24994659260841701"/>
        </left>
        <right style="thin">
          <color theme="4" tint="-0.24994659260841701"/>
        </right>
        <top style="thin">
          <color theme="4" tint="-0.24994659260841701"/>
        </top>
        <bottom style="thin">
          <color theme="4" tint="-0.24994659260841701"/>
        </bottom>
        <vertical style="thin">
          <color theme="4" tint="-0.24994659260841701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left" readingOrder="0"/>
    </dxf>
    <dxf>
      <alignment horizontal="center" indent="0" readingOrder="0"/>
    </dxf>
    <dxf>
      <alignment horizontal="center" indent="0" readingOrder="0"/>
    </dxf>
    <dxf>
      <border>
        <left style="thin">
          <color theme="4" tint="0.39991454817346722"/>
        </left>
        <right style="thin">
          <color theme="4" tint="0.39991454817346722"/>
        </right>
        <top style="thin">
          <color theme="4" tint="0.39991454817346722"/>
        </top>
        <bottom style="thin">
          <color theme="4" tint="0.39991454817346722"/>
        </bottom>
        <vertical style="thin">
          <color theme="4" tint="0.39991454817346722"/>
        </vertical>
      </border>
    </dxf>
    <dxf>
      <border>
        <left style="thin">
          <color theme="4" tint="0.39991454817346722"/>
        </left>
        <right style="thin">
          <color theme="4" tint="0.39991454817346722"/>
        </right>
        <top style="thin">
          <color theme="4" tint="0.39991454817346722"/>
        </top>
        <bottom style="thin">
          <color theme="4" tint="0.39991454817346722"/>
        </bottom>
        <vertical style="thin">
          <color theme="4" tint="0.39991454817346722"/>
        </vertical>
      </border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color theme="0" tint="-0.14999847407452621"/>
      </font>
    </dxf>
    <dxf>
      <font>
        <color theme="0" tint="-0.14999847407452621"/>
      </font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ont>
        <color theme="0" tint="-0.14999847407452621"/>
      </font>
    </dxf>
    <dxf>
      <fill>
        <patternFill patternType="solid">
          <bgColor theme="0" tint="-0.14999847407452621"/>
        </patternFill>
      </fill>
    </dxf>
    <dxf>
      <border>
        <left style="thin">
          <color theme="4" tint="0.39991454817346722"/>
        </left>
        <right style="thin">
          <color theme="4" tint="0.39991454817346722"/>
        </right>
        <top style="thin">
          <color theme="4" tint="0.39991454817346722"/>
        </top>
        <bottom style="thin">
          <color theme="4" tint="0.39991454817346722"/>
        </bottom>
        <vertical style="thin">
          <color theme="4" tint="0.39991454817346722"/>
        </vertical>
        <horizontal style="thin">
          <color theme="4" tint="0.39991454817346722"/>
        </horizontal>
      </border>
    </dxf>
    <dxf>
      <border>
        <left style="thin">
          <color theme="4" tint="0.39991454817346722"/>
        </left>
        <right style="thin">
          <color theme="4" tint="0.39991454817346722"/>
        </right>
        <top style="thin">
          <color theme="4" tint="0.39991454817346722"/>
        </top>
        <bottom style="thin">
          <color theme="4" tint="0.39991454817346722"/>
        </bottom>
        <vertical style="thin">
          <color theme="4" tint="0.39991454817346722"/>
        </vertical>
        <horizontal style="thin">
          <color theme="4" tint="0.39991454817346722"/>
        </horizontal>
      </border>
    </dxf>
    <dxf>
      <border>
        <left style="thin">
          <color theme="4" tint="0.39991454817346722"/>
        </left>
        <right style="thin">
          <color theme="4" tint="0.39991454817346722"/>
        </right>
        <top style="thin">
          <color theme="4" tint="0.39991454817346722"/>
        </top>
        <bottom style="thin">
          <color theme="4" tint="0.39991454817346722"/>
        </bottom>
        <vertical style="thin">
          <color theme="4" tint="0.39991454817346722"/>
        </vertical>
        <horizontal style="thin">
          <color theme="4" tint="0.39991454817346722"/>
        </horizontal>
      </border>
    </dxf>
    <dxf>
      <border>
        <left style="thin">
          <color theme="4" tint="0.39991454817346722"/>
        </left>
        <right style="thin">
          <color theme="4" tint="0.39991454817346722"/>
        </right>
        <top style="thin">
          <color theme="4" tint="0.39991454817346722"/>
        </top>
        <bottom style="thin">
          <color theme="4" tint="0.39991454817346722"/>
        </bottom>
        <vertical style="thin">
          <color theme="4" tint="0.39991454817346722"/>
        </vertical>
        <horizontal style="thin">
          <color theme="4" tint="0.39991454817346722"/>
        </horizontal>
      </border>
    </dxf>
    <dxf>
      <border>
        <left style="thin">
          <color theme="4" tint="0.39991454817346722"/>
        </left>
        <right style="thin">
          <color theme="4" tint="0.39991454817346722"/>
        </right>
        <top style="thin">
          <color theme="4" tint="0.39991454817346722"/>
        </top>
        <bottom style="thin">
          <color theme="4" tint="0.39991454817346722"/>
        </bottom>
        <vertical style="thin">
          <color theme="4" tint="0.39991454817346722"/>
        </vertical>
        <horizontal style="thin">
          <color theme="4" tint="0.39991454817346722"/>
        </horizontal>
      </border>
    </dxf>
    <dxf>
      <border>
        <left style="thin">
          <color theme="4" tint="0.39991454817346722"/>
        </left>
        <right style="thin">
          <color theme="4" tint="0.39991454817346722"/>
        </right>
        <top style="thin">
          <color theme="4" tint="0.39991454817346722"/>
        </top>
        <bottom style="thin">
          <color theme="4" tint="0.39991454817346722"/>
        </bottom>
        <vertical style="thin">
          <color theme="4" tint="0.39991454817346722"/>
        </vertical>
        <horizontal style="thin">
          <color theme="4" tint="0.39991454817346722"/>
        </horizontal>
      </border>
    </dxf>
    <dxf>
      <border>
        <left style="thin">
          <color theme="4" tint="0.39991454817346722"/>
        </left>
        <right style="thin">
          <color theme="4" tint="0.39991454817346722"/>
        </right>
        <top style="thin">
          <color theme="4" tint="0.39991454817346722"/>
        </top>
        <bottom style="thin">
          <color theme="4" tint="0.39991454817346722"/>
        </bottom>
        <vertical style="thin">
          <color theme="4" tint="0.39991454817346722"/>
        </vertical>
        <horizontal style="thin">
          <color theme="4" tint="0.39991454817346722"/>
        </horizontal>
      </border>
    </dxf>
    <dxf>
      <border>
        <left style="thin">
          <color theme="4" tint="0.39991454817346722"/>
        </left>
        <right style="thin">
          <color theme="4" tint="0.39991454817346722"/>
        </right>
        <top style="thin">
          <color theme="4" tint="0.39991454817346722"/>
        </top>
        <bottom style="thin">
          <color theme="4" tint="0.39991454817346722"/>
        </bottom>
        <vertical style="thin">
          <color theme="4" tint="0.39991454817346722"/>
        </vertical>
        <horizontal style="thin">
          <color theme="4" tint="0.39991454817346722"/>
        </horizontal>
      </border>
    </dxf>
    <dxf>
      <border>
        <left style="thin">
          <color theme="4" tint="0.39991454817346722"/>
        </left>
        <right style="thin">
          <color theme="4" tint="0.39991454817346722"/>
        </right>
        <top style="thin">
          <color theme="4" tint="0.39991454817346722"/>
        </top>
        <bottom style="thin">
          <color theme="4" tint="0.39991454817346722"/>
        </bottom>
        <vertical style="thin">
          <color theme="4" tint="0.39991454817346722"/>
        </vertical>
        <horizontal style="thin">
          <color theme="4" tint="0.39991454817346722"/>
        </horizontal>
      </border>
    </dxf>
    <dxf>
      <font>
        <color theme="0" tint="-0.14999847407452621"/>
      </font>
    </dxf>
    <dxf>
      <font>
        <color theme="0" tint="-0.14999847407452621"/>
      </font>
    </dxf>
    <dxf>
      <font>
        <color theme="0" tint="-0.14999847407452621"/>
      </font>
    </dxf>
    <dxf>
      <font>
        <color theme="0" tint="-0.14999847407452621"/>
      </font>
    </dxf>
    <dxf>
      <font>
        <color theme="0" tint="-0.14999847407452621"/>
      </font>
    </dxf>
    <dxf>
      <font>
        <color theme="0" tint="-0.14999847407452621"/>
      </font>
    </dxf>
    <dxf>
      <font>
        <color theme="0" tint="-0.14999847407452621"/>
      </font>
    </dxf>
    <dxf>
      <font>
        <color theme="0" tint="-0.14999847407452621"/>
      </font>
    </dxf>
    <dxf>
      <font>
        <color theme="0" tint="-0.14999847407452621"/>
      </font>
    </dxf>
    <dxf>
      <font>
        <color theme="0" tint="-0.14999847407452621"/>
      </font>
    </dxf>
    <dxf>
      <font>
        <color theme="0" tint="-0.14999847407452621"/>
      </font>
    </dxf>
    <dxf>
      <font>
        <color theme="0" tint="-0.14999847407452621"/>
      </font>
    </dxf>
    <dxf>
      <font>
        <color theme="0"/>
      </font>
    </dxf>
    <dxf>
      <alignment horizontal="center" readingOrder="0"/>
    </dxf>
    <dxf>
      <alignment horizontal="center" readingOrder="0"/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</border>
    </dxf>
    <dxf>
      <border>
        <left style="thin">
          <color theme="4" tint="-0.24994659260841701"/>
        </left>
        <right style="thin">
          <color theme="4" tint="-0.24994659260841701"/>
        </right>
        <top style="thin">
          <color theme="4" tint="-0.24994659260841701"/>
        </top>
        <bottom style="thin">
          <color theme="4" tint="-0.24994659260841701"/>
        </bottom>
        <vertical style="thin">
          <color theme="4" tint="-0.24994659260841701"/>
        </vertical>
      </border>
    </dxf>
    <dxf>
      <border>
        <left style="thin">
          <color theme="4" tint="-0.24994659260841701"/>
        </left>
        <right style="thin">
          <color theme="4" tint="-0.24994659260841701"/>
        </right>
        <top style="thin">
          <color theme="4" tint="-0.24994659260841701"/>
        </top>
        <bottom style="thin">
          <color theme="4" tint="-0.24994659260841701"/>
        </bottom>
        <vertical style="thin">
          <color theme="4" tint="-0.24994659260841701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left" readingOrder="0"/>
    </dxf>
    <dxf>
      <alignment horizontal="center" indent="0" readingOrder="0"/>
    </dxf>
    <dxf>
      <alignment horizontal="center" indent="0" readingOrder="0"/>
    </dxf>
    <dxf>
      <border>
        <left style="thin">
          <color theme="4" tint="0.39991454817346722"/>
        </left>
        <right style="thin">
          <color theme="4" tint="0.39991454817346722"/>
        </right>
        <top style="thin">
          <color theme="4" tint="0.39991454817346722"/>
        </top>
        <bottom style="thin">
          <color theme="4" tint="0.39991454817346722"/>
        </bottom>
        <vertical style="thin">
          <color theme="4" tint="0.39991454817346722"/>
        </vertical>
      </border>
    </dxf>
    <dxf>
      <border>
        <left style="thin">
          <color theme="4" tint="0.39991454817346722"/>
        </left>
        <right style="thin">
          <color theme="4" tint="0.39991454817346722"/>
        </right>
        <top style="thin">
          <color theme="4" tint="0.39991454817346722"/>
        </top>
        <bottom style="thin">
          <color theme="4" tint="0.39991454817346722"/>
        </bottom>
        <vertical style="thin">
          <color theme="4" tint="0.39991454817346722"/>
        </vertical>
      </border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color theme="0" tint="-0.14999847407452621"/>
      </font>
    </dxf>
    <dxf>
      <font>
        <color theme="0" tint="-0.14999847407452621"/>
      </font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ont>
        <color theme="0" tint="-0.14999847407452621"/>
      </font>
    </dxf>
    <dxf>
      <fill>
        <patternFill patternType="solid">
          <bgColor theme="0" tint="-0.14999847407452621"/>
        </patternFill>
      </fill>
    </dxf>
    <dxf>
      <border>
        <left style="thin">
          <color theme="4" tint="0.39991454817346722"/>
        </left>
        <right style="thin">
          <color theme="4" tint="0.39991454817346722"/>
        </right>
        <top style="thin">
          <color theme="4" tint="0.39991454817346722"/>
        </top>
        <bottom style="thin">
          <color theme="4" tint="0.39991454817346722"/>
        </bottom>
        <vertical style="thin">
          <color theme="4" tint="0.39991454817346722"/>
        </vertical>
        <horizontal style="thin">
          <color theme="4" tint="0.39991454817346722"/>
        </horizontal>
      </border>
    </dxf>
    <dxf>
      <border>
        <left style="thin">
          <color theme="4" tint="0.39991454817346722"/>
        </left>
        <right style="thin">
          <color theme="4" tint="0.39991454817346722"/>
        </right>
        <top style="thin">
          <color theme="4" tint="0.39991454817346722"/>
        </top>
        <bottom style="thin">
          <color theme="4" tint="0.39991454817346722"/>
        </bottom>
        <vertical style="thin">
          <color theme="4" tint="0.39991454817346722"/>
        </vertical>
        <horizontal style="thin">
          <color theme="4" tint="0.39991454817346722"/>
        </horizontal>
      </border>
    </dxf>
    <dxf>
      <border>
        <left style="thin">
          <color theme="4" tint="0.39991454817346722"/>
        </left>
        <right style="thin">
          <color theme="4" tint="0.39991454817346722"/>
        </right>
        <top style="thin">
          <color theme="4" tint="0.39991454817346722"/>
        </top>
        <bottom style="thin">
          <color theme="4" tint="0.39991454817346722"/>
        </bottom>
        <vertical style="thin">
          <color theme="4" tint="0.39991454817346722"/>
        </vertical>
        <horizontal style="thin">
          <color theme="4" tint="0.39991454817346722"/>
        </horizontal>
      </border>
    </dxf>
    <dxf>
      <border>
        <left style="thin">
          <color theme="4" tint="0.39991454817346722"/>
        </left>
        <right style="thin">
          <color theme="4" tint="0.39991454817346722"/>
        </right>
        <top style="thin">
          <color theme="4" tint="0.39991454817346722"/>
        </top>
        <bottom style="thin">
          <color theme="4" tint="0.39991454817346722"/>
        </bottom>
        <vertical style="thin">
          <color theme="4" tint="0.39991454817346722"/>
        </vertical>
        <horizontal style="thin">
          <color theme="4" tint="0.39991454817346722"/>
        </horizontal>
      </border>
    </dxf>
    <dxf>
      <border>
        <left style="thin">
          <color theme="4" tint="0.39991454817346722"/>
        </left>
        <right style="thin">
          <color theme="4" tint="0.39991454817346722"/>
        </right>
        <top style="thin">
          <color theme="4" tint="0.39991454817346722"/>
        </top>
        <bottom style="thin">
          <color theme="4" tint="0.39991454817346722"/>
        </bottom>
        <vertical style="thin">
          <color theme="4" tint="0.39991454817346722"/>
        </vertical>
        <horizontal style="thin">
          <color theme="4" tint="0.39991454817346722"/>
        </horizontal>
      </border>
    </dxf>
    <dxf>
      <border>
        <left style="thin">
          <color theme="4" tint="0.39991454817346722"/>
        </left>
        <right style="thin">
          <color theme="4" tint="0.39991454817346722"/>
        </right>
        <top style="thin">
          <color theme="4" tint="0.39991454817346722"/>
        </top>
        <bottom style="thin">
          <color theme="4" tint="0.39991454817346722"/>
        </bottom>
        <vertical style="thin">
          <color theme="4" tint="0.39991454817346722"/>
        </vertical>
        <horizontal style="thin">
          <color theme="4" tint="0.39991454817346722"/>
        </horizontal>
      </border>
    </dxf>
    <dxf>
      <border>
        <left style="thin">
          <color theme="4" tint="0.39991454817346722"/>
        </left>
        <right style="thin">
          <color theme="4" tint="0.39991454817346722"/>
        </right>
        <top style="thin">
          <color theme="4" tint="0.39991454817346722"/>
        </top>
        <bottom style="thin">
          <color theme="4" tint="0.39991454817346722"/>
        </bottom>
        <vertical style="thin">
          <color theme="4" tint="0.39991454817346722"/>
        </vertical>
        <horizontal style="thin">
          <color theme="4" tint="0.39991454817346722"/>
        </horizontal>
      </border>
    </dxf>
    <dxf>
      <border>
        <left style="thin">
          <color theme="4" tint="0.39991454817346722"/>
        </left>
        <right style="thin">
          <color theme="4" tint="0.39991454817346722"/>
        </right>
        <top style="thin">
          <color theme="4" tint="0.39991454817346722"/>
        </top>
        <bottom style="thin">
          <color theme="4" tint="0.39991454817346722"/>
        </bottom>
        <vertical style="thin">
          <color theme="4" tint="0.39991454817346722"/>
        </vertical>
        <horizontal style="thin">
          <color theme="4" tint="0.39991454817346722"/>
        </horizontal>
      </border>
    </dxf>
    <dxf>
      <border>
        <left style="thin">
          <color theme="4" tint="0.39991454817346722"/>
        </left>
        <right style="thin">
          <color theme="4" tint="0.39991454817346722"/>
        </right>
        <top style="thin">
          <color theme="4" tint="0.39991454817346722"/>
        </top>
        <bottom style="thin">
          <color theme="4" tint="0.39991454817346722"/>
        </bottom>
        <vertical style="thin">
          <color theme="4" tint="0.39991454817346722"/>
        </vertical>
        <horizontal style="thin">
          <color theme="4" tint="0.39991454817346722"/>
        </horizontal>
      </border>
    </dxf>
    <dxf>
      <font>
        <color theme="0" tint="-0.14999847407452621"/>
      </font>
    </dxf>
    <dxf>
      <font>
        <color theme="0" tint="-0.14999847407452621"/>
      </font>
    </dxf>
    <dxf>
      <font>
        <color theme="0" tint="-0.14999847407452621"/>
      </font>
    </dxf>
    <dxf>
      <font>
        <color theme="0" tint="-0.14999847407452621"/>
      </font>
    </dxf>
    <dxf>
      <font>
        <color theme="0" tint="-0.14999847407452621"/>
      </font>
    </dxf>
    <dxf>
      <font>
        <color theme="0" tint="-0.14999847407452621"/>
      </font>
    </dxf>
    <dxf>
      <font>
        <color theme="0" tint="-0.14999847407452621"/>
      </font>
    </dxf>
    <dxf>
      <font>
        <color theme="0" tint="-0.14999847407452621"/>
      </font>
    </dxf>
    <dxf>
      <font>
        <color theme="0" tint="-0.14999847407452621"/>
      </font>
    </dxf>
    <dxf>
      <font>
        <color theme="0" tint="-0.14999847407452621"/>
      </font>
    </dxf>
    <dxf>
      <font>
        <color theme="0" tint="-0.14999847407452621"/>
      </font>
    </dxf>
    <dxf>
      <font>
        <color theme="0" tint="-0.14999847407452621"/>
      </font>
    </dxf>
    <dxf>
      <font>
        <color theme="0"/>
      </font>
    </dxf>
    <dxf>
      <alignment horizontal="center" readingOrder="0"/>
    </dxf>
    <dxf>
      <alignment horizontal="center" readingOrder="0"/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</border>
    </dxf>
    <dxf>
      <border>
        <left style="thin">
          <color theme="4" tint="-0.24994659260841701"/>
        </left>
        <right style="thin">
          <color theme="4" tint="-0.24994659260841701"/>
        </right>
        <top style="thin">
          <color theme="4" tint="-0.24994659260841701"/>
        </top>
        <bottom style="thin">
          <color theme="4" tint="-0.24994659260841701"/>
        </bottom>
        <vertical style="thin">
          <color theme="4" tint="-0.24994659260841701"/>
        </vertical>
      </border>
    </dxf>
    <dxf>
      <border>
        <left style="thin">
          <color theme="4" tint="-0.24994659260841701"/>
        </left>
        <right style="thin">
          <color theme="4" tint="-0.24994659260841701"/>
        </right>
        <top style="thin">
          <color theme="4" tint="-0.24994659260841701"/>
        </top>
        <bottom style="thin">
          <color theme="4" tint="-0.24994659260841701"/>
        </bottom>
        <vertical style="thin">
          <color theme="4" tint="-0.24994659260841701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left" readingOrder="0"/>
    </dxf>
    <dxf>
      <alignment horizontal="center" indent="0" readingOrder="0"/>
    </dxf>
    <dxf>
      <alignment horizontal="center" indent="0" readingOrder="0"/>
    </dxf>
    <dxf>
      <border>
        <left style="thin">
          <color theme="4" tint="0.39991454817346722"/>
        </left>
        <right style="thin">
          <color theme="4" tint="0.39991454817346722"/>
        </right>
        <top style="thin">
          <color theme="4" tint="0.39991454817346722"/>
        </top>
        <bottom style="thin">
          <color theme="4" tint="0.39991454817346722"/>
        </bottom>
        <vertical style="thin">
          <color theme="4" tint="0.39991454817346722"/>
        </vertical>
      </border>
    </dxf>
    <dxf>
      <border>
        <left style="thin">
          <color theme="4" tint="0.39991454817346722"/>
        </left>
        <right style="thin">
          <color theme="4" tint="0.39991454817346722"/>
        </right>
        <top style="thin">
          <color theme="4" tint="0.39991454817346722"/>
        </top>
        <bottom style="thin">
          <color theme="4" tint="0.39991454817346722"/>
        </bottom>
        <vertical style="thin">
          <color theme="4" tint="0.39991454817346722"/>
        </vertical>
      </border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color theme="0" tint="-0.14999847407452621"/>
      </font>
    </dxf>
    <dxf>
      <font>
        <color theme="0" tint="-0.14999847407452621"/>
      </font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ont>
        <color theme="0" tint="-0.14999847407452621"/>
      </font>
    </dxf>
    <dxf>
      <fill>
        <patternFill patternType="solid">
          <bgColor theme="0" tint="-0.14999847407452621"/>
        </patternFill>
      </fill>
    </dxf>
    <dxf>
      <border>
        <left style="thin">
          <color theme="4" tint="0.39991454817346722"/>
        </left>
        <right style="thin">
          <color theme="4" tint="0.39991454817346722"/>
        </right>
        <top style="thin">
          <color theme="4" tint="0.39991454817346722"/>
        </top>
        <bottom style="thin">
          <color theme="4" tint="0.39991454817346722"/>
        </bottom>
        <vertical style="thin">
          <color theme="4" tint="0.39991454817346722"/>
        </vertical>
        <horizontal style="thin">
          <color theme="4" tint="0.39991454817346722"/>
        </horizontal>
      </border>
    </dxf>
    <dxf>
      <border>
        <left style="thin">
          <color theme="4" tint="0.39991454817346722"/>
        </left>
        <right style="thin">
          <color theme="4" tint="0.39991454817346722"/>
        </right>
        <top style="thin">
          <color theme="4" tint="0.39991454817346722"/>
        </top>
        <bottom style="thin">
          <color theme="4" tint="0.39991454817346722"/>
        </bottom>
        <vertical style="thin">
          <color theme="4" tint="0.39991454817346722"/>
        </vertical>
        <horizontal style="thin">
          <color theme="4" tint="0.39991454817346722"/>
        </horizontal>
      </border>
    </dxf>
    <dxf>
      <border>
        <left style="thin">
          <color theme="4" tint="0.39991454817346722"/>
        </left>
        <right style="thin">
          <color theme="4" tint="0.39991454817346722"/>
        </right>
        <top style="thin">
          <color theme="4" tint="0.39991454817346722"/>
        </top>
        <bottom style="thin">
          <color theme="4" tint="0.39991454817346722"/>
        </bottom>
        <vertical style="thin">
          <color theme="4" tint="0.39991454817346722"/>
        </vertical>
        <horizontal style="thin">
          <color theme="4" tint="0.39991454817346722"/>
        </horizontal>
      </border>
    </dxf>
    <dxf>
      <border>
        <left style="thin">
          <color theme="4" tint="0.39991454817346722"/>
        </left>
        <right style="thin">
          <color theme="4" tint="0.39991454817346722"/>
        </right>
        <top style="thin">
          <color theme="4" tint="0.39991454817346722"/>
        </top>
        <bottom style="thin">
          <color theme="4" tint="0.39991454817346722"/>
        </bottom>
        <vertical style="thin">
          <color theme="4" tint="0.39991454817346722"/>
        </vertical>
        <horizontal style="thin">
          <color theme="4" tint="0.39991454817346722"/>
        </horizontal>
      </border>
    </dxf>
    <dxf>
      <border>
        <left style="thin">
          <color theme="4" tint="0.39991454817346722"/>
        </left>
        <right style="thin">
          <color theme="4" tint="0.39991454817346722"/>
        </right>
        <top style="thin">
          <color theme="4" tint="0.39991454817346722"/>
        </top>
        <bottom style="thin">
          <color theme="4" tint="0.39991454817346722"/>
        </bottom>
        <vertical style="thin">
          <color theme="4" tint="0.39991454817346722"/>
        </vertical>
        <horizontal style="thin">
          <color theme="4" tint="0.39991454817346722"/>
        </horizontal>
      </border>
    </dxf>
    <dxf>
      <border>
        <left style="thin">
          <color theme="4" tint="0.39991454817346722"/>
        </left>
        <right style="thin">
          <color theme="4" tint="0.39991454817346722"/>
        </right>
        <top style="thin">
          <color theme="4" tint="0.39991454817346722"/>
        </top>
        <bottom style="thin">
          <color theme="4" tint="0.39991454817346722"/>
        </bottom>
        <vertical style="thin">
          <color theme="4" tint="0.39991454817346722"/>
        </vertical>
        <horizontal style="thin">
          <color theme="4" tint="0.39991454817346722"/>
        </horizontal>
      </border>
    </dxf>
    <dxf>
      <border>
        <left style="thin">
          <color theme="4" tint="0.39991454817346722"/>
        </left>
        <right style="thin">
          <color theme="4" tint="0.39991454817346722"/>
        </right>
        <top style="thin">
          <color theme="4" tint="0.39991454817346722"/>
        </top>
        <bottom style="thin">
          <color theme="4" tint="0.39991454817346722"/>
        </bottom>
        <vertical style="thin">
          <color theme="4" tint="0.39991454817346722"/>
        </vertical>
        <horizontal style="thin">
          <color theme="4" tint="0.39991454817346722"/>
        </horizontal>
      </border>
    </dxf>
    <dxf>
      <border>
        <left style="thin">
          <color theme="4" tint="0.39991454817346722"/>
        </left>
        <right style="thin">
          <color theme="4" tint="0.39991454817346722"/>
        </right>
        <top style="thin">
          <color theme="4" tint="0.39991454817346722"/>
        </top>
        <bottom style="thin">
          <color theme="4" tint="0.39991454817346722"/>
        </bottom>
        <vertical style="thin">
          <color theme="4" tint="0.39991454817346722"/>
        </vertical>
        <horizontal style="thin">
          <color theme="4" tint="0.39991454817346722"/>
        </horizontal>
      </border>
    </dxf>
    <dxf>
      <border>
        <left style="thin">
          <color theme="4" tint="0.39991454817346722"/>
        </left>
        <right style="thin">
          <color theme="4" tint="0.39991454817346722"/>
        </right>
        <top style="thin">
          <color theme="4" tint="0.39991454817346722"/>
        </top>
        <bottom style="thin">
          <color theme="4" tint="0.39991454817346722"/>
        </bottom>
        <vertical style="thin">
          <color theme="4" tint="0.39991454817346722"/>
        </vertical>
        <horizontal style="thin">
          <color theme="4" tint="0.39991454817346722"/>
        </horizontal>
      </border>
    </dxf>
    <dxf>
      <font>
        <color theme="0" tint="-0.14999847407452621"/>
      </font>
    </dxf>
    <dxf>
      <font>
        <color theme="0" tint="-0.14999847407452621"/>
      </font>
    </dxf>
    <dxf>
      <font>
        <color theme="0" tint="-0.14999847407452621"/>
      </font>
    </dxf>
    <dxf>
      <font>
        <color theme="0" tint="-0.14999847407452621"/>
      </font>
    </dxf>
    <dxf>
      <font>
        <color theme="0" tint="-0.14999847407452621"/>
      </font>
    </dxf>
    <dxf>
      <font>
        <color theme="0" tint="-0.14999847407452621"/>
      </font>
    </dxf>
    <dxf>
      <font>
        <color theme="0" tint="-0.14999847407452621"/>
      </font>
    </dxf>
    <dxf>
      <font>
        <color theme="0" tint="-0.14999847407452621"/>
      </font>
    </dxf>
    <dxf>
      <font>
        <color theme="0" tint="-0.14999847407452621"/>
      </font>
    </dxf>
    <dxf>
      <font>
        <color theme="0" tint="-0.14999847407452621"/>
      </font>
    </dxf>
    <dxf>
      <font>
        <color theme="0" tint="-0.14999847407452621"/>
      </font>
    </dxf>
    <dxf>
      <font>
        <color theme="0" tint="-0.14999847407452621"/>
      </font>
    </dxf>
    <dxf>
      <font>
        <color theme="0"/>
      </font>
    </dxf>
    <dxf>
      <alignment horizontal="center" readingOrder="0"/>
    </dxf>
    <dxf>
      <alignment horizontal="center" readingOrder="0"/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</border>
    </dxf>
    <dxf>
      <border>
        <left style="thin">
          <color theme="4" tint="-0.24994659260841701"/>
        </left>
        <right style="thin">
          <color theme="4" tint="-0.24994659260841701"/>
        </right>
        <top style="thin">
          <color theme="4" tint="-0.24994659260841701"/>
        </top>
        <bottom style="thin">
          <color theme="4" tint="-0.24994659260841701"/>
        </bottom>
        <vertical style="thin">
          <color theme="4" tint="-0.24994659260841701"/>
        </vertical>
      </border>
    </dxf>
    <dxf>
      <border>
        <left style="thin">
          <color theme="4" tint="-0.24994659260841701"/>
        </left>
        <right style="thin">
          <color theme="4" tint="-0.24994659260841701"/>
        </right>
        <top style="thin">
          <color theme="4" tint="-0.24994659260841701"/>
        </top>
        <bottom style="thin">
          <color theme="4" tint="-0.24994659260841701"/>
        </bottom>
        <vertical style="thin">
          <color theme="4" tint="-0.24994659260841701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border>
        <left style="thin">
          <color rgb="FF0070C0"/>
        </left>
      </border>
    </dxf>
    <dxf>
      <border>
        <left style="thin">
          <color rgb="FF0070C0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theme="8" tint="-0.24994659260841701"/>
        </left>
      </border>
    </dxf>
    <dxf>
      <border>
        <left style="thin">
          <color theme="8" tint="-0.24994659260841701"/>
        </left>
      </border>
    </dxf>
    <dxf>
      <border>
        <left style="thin">
          <color theme="8" tint="-0.24994659260841701"/>
        </left>
      </border>
    </dxf>
    <dxf>
      <border>
        <left style="thin">
          <color theme="8" tint="-0.24994659260841701"/>
        </left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  <vertical style="thin">
          <color theme="8" tint="-0.24994659260841701"/>
        </vertical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  <vertical style="thin">
          <color theme="8" tint="-0.24994659260841701"/>
        </vertical>
      </border>
    </dxf>
    <dxf>
      <border>
        <right style="thin">
          <color theme="8" tint="-0.24994659260841701"/>
        </right>
        <top style="thin">
          <color theme="8" tint="-0.24994659260841701"/>
        </top>
        <vertical style="thin">
          <color theme="8" tint="-0.24994659260841701"/>
        </vertical>
      </border>
    </dxf>
    <dxf>
      <border>
        <right style="thin">
          <color theme="8" tint="-0.24994659260841701"/>
        </right>
        <top style="thin">
          <color theme="8" tint="-0.24994659260841701"/>
        </top>
        <vertical style="thin">
          <color theme="8" tint="-0.24994659260841701"/>
        </vertical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left style="thin">
          <color theme="8" tint="-0.24994659260841701"/>
        </left>
        <right style="thin">
          <color theme="8" tint="-0.24994659260841701"/>
        </right>
        <top style="thin">
          <color theme="8" tint="-0.24994659260841701"/>
        </top>
        <bottom style="thin">
          <color theme="8" tint="-0.24994659260841701"/>
        </bottom>
      </border>
    </dxf>
    <dxf>
      <border>
        <right style="thin">
          <color theme="4" tint="-0.24994659260841701"/>
        </right>
      </border>
    </dxf>
    <dxf>
      <alignment vertical="center" readingOrder="0"/>
    </dxf>
    <dxf>
      <alignment horizontal="center" readingOrder="0"/>
    </dxf>
    <dxf>
      <border>
        <right style="thin">
          <color theme="4" tint="-0.24994659260841701"/>
        </right>
        <top style="thin">
          <color theme="4" tint="-0.24994659260841701"/>
        </top>
        <bottom style="thin">
          <color theme="4" tint="-0.24994659260841701"/>
        </bottom>
      </border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left" readingOrder="0"/>
    </dxf>
    <dxf>
      <alignment horizontal="center" indent="0" readingOrder="0"/>
    </dxf>
    <dxf>
      <alignment horizontal="center" indent="0" readingOrder="0"/>
    </dxf>
    <dxf>
      <border>
        <left style="thin">
          <color theme="4" tint="0.39991454817346722"/>
        </left>
        <right style="thin">
          <color theme="4" tint="0.39991454817346722"/>
        </right>
        <top style="thin">
          <color theme="4" tint="0.39991454817346722"/>
        </top>
        <bottom style="thin">
          <color theme="4" tint="0.39991454817346722"/>
        </bottom>
        <vertical style="thin">
          <color theme="4" tint="0.39991454817346722"/>
        </vertical>
      </border>
    </dxf>
    <dxf>
      <border>
        <left style="thin">
          <color theme="4" tint="0.39991454817346722"/>
        </left>
        <right style="thin">
          <color theme="4" tint="0.39991454817346722"/>
        </right>
        <top style="thin">
          <color theme="4" tint="0.39991454817346722"/>
        </top>
        <bottom style="thin">
          <color theme="4" tint="0.39991454817346722"/>
        </bottom>
        <vertical style="thin">
          <color theme="4" tint="0.39991454817346722"/>
        </vertical>
      </border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color theme="0" tint="-0.14999847407452621"/>
      </font>
    </dxf>
    <dxf>
      <font>
        <color theme="0" tint="-0.14999847407452621"/>
      </font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ont>
        <color theme="0" tint="-0.14999847407452621"/>
      </font>
    </dxf>
    <dxf>
      <fill>
        <patternFill patternType="solid">
          <bgColor theme="0" tint="-0.14999847407452621"/>
        </patternFill>
      </fill>
    </dxf>
    <dxf>
      <border>
        <left style="thin">
          <color theme="4" tint="0.39991454817346722"/>
        </left>
        <right style="thin">
          <color theme="4" tint="0.39991454817346722"/>
        </right>
        <top style="thin">
          <color theme="4" tint="0.39991454817346722"/>
        </top>
        <bottom style="thin">
          <color theme="4" tint="0.39991454817346722"/>
        </bottom>
        <vertical style="thin">
          <color theme="4" tint="0.39991454817346722"/>
        </vertical>
        <horizontal style="thin">
          <color theme="4" tint="0.39991454817346722"/>
        </horizontal>
      </border>
    </dxf>
    <dxf>
      <border>
        <left style="thin">
          <color theme="4" tint="0.39991454817346722"/>
        </left>
        <right style="thin">
          <color theme="4" tint="0.39991454817346722"/>
        </right>
        <top style="thin">
          <color theme="4" tint="0.39991454817346722"/>
        </top>
        <bottom style="thin">
          <color theme="4" tint="0.39991454817346722"/>
        </bottom>
        <vertical style="thin">
          <color theme="4" tint="0.39991454817346722"/>
        </vertical>
        <horizontal style="thin">
          <color theme="4" tint="0.39991454817346722"/>
        </horizontal>
      </border>
    </dxf>
    <dxf>
      <border>
        <left style="thin">
          <color theme="4" tint="0.39991454817346722"/>
        </left>
        <right style="thin">
          <color theme="4" tint="0.39991454817346722"/>
        </right>
        <top style="thin">
          <color theme="4" tint="0.39991454817346722"/>
        </top>
        <bottom style="thin">
          <color theme="4" tint="0.39991454817346722"/>
        </bottom>
        <vertical style="thin">
          <color theme="4" tint="0.39991454817346722"/>
        </vertical>
        <horizontal style="thin">
          <color theme="4" tint="0.39991454817346722"/>
        </horizontal>
      </border>
    </dxf>
    <dxf>
      <border>
        <left style="thin">
          <color theme="4" tint="0.39991454817346722"/>
        </left>
        <right style="thin">
          <color theme="4" tint="0.39991454817346722"/>
        </right>
        <top style="thin">
          <color theme="4" tint="0.39991454817346722"/>
        </top>
        <bottom style="thin">
          <color theme="4" tint="0.39991454817346722"/>
        </bottom>
        <vertical style="thin">
          <color theme="4" tint="0.39991454817346722"/>
        </vertical>
        <horizontal style="thin">
          <color theme="4" tint="0.39991454817346722"/>
        </horizontal>
      </border>
    </dxf>
    <dxf>
      <border>
        <left style="thin">
          <color theme="4" tint="0.39991454817346722"/>
        </left>
        <right style="thin">
          <color theme="4" tint="0.39991454817346722"/>
        </right>
        <top style="thin">
          <color theme="4" tint="0.39991454817346722"/>
        </top>
        <bottom style="thin">
          <color theme="4" tint="0.39991454817346722"/>
        </bottom>
        <vertical style="thin">
          <color theme="4" tint="0.39991454817346722"/>
        </vertical>
        <horizontal style="thin">
          <color theme="4" tint="0.39991454817346722"/>
        </horizontal>
      </border>
    </dxf>
    <dxf>
      <border>
        <left style="thin">
          <color theme="4" tint="0.39991454817346722"/>
        </left>
        <right style="thin">
          <color theme="4" tint="0.39991454817346722"/>
        </right>
        <top style="thin">
          <color theme="4" tint="0.39991454817346722"/>
        </top>
        <bottom style="thin">
          <color theme="4" tint="0.39991454817346722"/>
        </bottom>
        <vertical style="thin">
          <color theme="4" tint="0.39991454817346722"/>
        </vertical>
        <horizontal style="thin">
          <color theme="4" tint="0.39991454817346722"/>
        </horizontal>
      </border>
    </dxf>
    <dxf>
      <border>
        <left style="thin">
          <color theme="4" tint="0.39991454817346722"/>
        </left>
        <right style="thin">
          <color theme="4" tint="0.39991454817346722"/>
        </right>
        <top style="thin">
          <color theme="4" tint="0.39991454817346722"/>
        </top>
        <bottom style="thin">
          <color theme="4" tint="0.39991454817346722"/>
        </bottom>
        <vertical style="thin">
          <color theme="4" tint="0.39991454817346722"/>
        </vertical>
        <horizontal style="thin">
          <color theme="4" tint="0.39991454817346722"/>
        </horizontal>
      </border>
    </dxf>
    <dxf>
      <border>
        <left style="thin">
          <color theme="4" tint="0.39991454817346722"/>
        </left>
        <right style="thin">
          <color theme="4" tint="0.39991454817346722"/>
        </right>
        <top style="thin">
          <color theme="4" tint="0.39991454817346722"/>
        </top>
        <bottom style="thin">
          <color theme="4" tint="0.39991454817346722"/>
        </bottom>
        <vertical style="thin">
          <color theme="4" tint="0.39991454817346722"/>
        </vertical>
        <horizontal style="thin">
          <color theme="4" tint="0.39991454817346722"/>
        </horizontal>
      </border>
    </dxf>
    <dxf>
      <border>
        <left style="thin">
          <color theme="4" tint="0.39991454817346722"/>
        </left>
        <right style="thin">
          <color theme="4" tint="0.39991454817346722"/>
        </right>
        <top style="thin">
          <color theme="4" tint="0.39991454817346722"/>
        </top>
        <bottom style="thin">
          <color theme="4" tint="0.39991454817346722"/>
        </bottom>
        <vertical style="thin">
          <color theme="4" tint="0.39991454817346722"/>
        </vertical>
        <horizontal style="thin">
          <color theme="4" tint="0.39991454817346722"/>
        </horizontal>
      </border>
    </dxf>
    <dxf>
      <font>
        <color theme="0" tint="-0.14999847407452621"/>
      </font>
    </dxf>
    <dxf>
      <font>
        <color theme="0" tint="-0.14999847407452621"/>
      </font>
    </dxf>
    <dxf>
      <font>
        <color theme="0" tint="-0.14999847407452621"/>
      </font>
    </dxf>
    <dxf>
      <font>
        <color theme="0" tint="-0.14999847407452621"/>
      </font>
    </dxf>
    <dxf>
      <font>
        <color theme="0" tint="-0.14999847407452621"/>
      </font>
    </dxf>
    <dxf>
      <font>
        <color theme="0" tint="-0.14999847407452621"/>
      </font>
    </dxf>
    <dxf>
      <font>
        <color theme="0" tint="-0.14999847407452621"/>
      </font>
    </dxf>
    <dxf>
      <font>
        <color theme="0" tint="-0.14999847407452621"/>
      </font>
    </dxf>
    <dxf>
      <font>
        <color theme="0" tint="-0.14999847407452621"/>
      </font>
    </dxf>
    <dxf>
      <font>
        <color theme="0" tint="-0.14999847407452621"/>
      </font>
    </dxf>
    <dxf>
      <font>
        <color theme="0" tint="-0.14999847407452621"/>
      </font>
    </dxf>
    <dxf>
      <font>
        <color theme="0" tint="-0.14999847407452621"/>
      </font>
    </dxf>
    <dxf>
      <font>
        <color theme="0"/>
      </font>
    </dxf>
    <dxf>
      <alignment horizontal="center" readingOrder="0"/>
    </dxf>
    <dxf>
      <alignment horizontal="center" readingOrder="0"/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</border>
    </dxf>
    <dxf>
      <border>
        <left style="thin">
          <color theme="4" tint="-0.24994659260841701"/>
        </left>
        <right style="thin">
          <color theme="4" tint="-0.24994659260841701"/>
        </right>
        <top style="thin">
          <color theme="4" tint="-0.24994659260841701"/>
        </top>
        <bottom style="thin">
          <color theme="4" tint="-0.24994659260841701"/>
        </bottom>
        <vertical style="thin">
          <color theme="4" tint="-0.24994659260841701"/>
        </vertical>
      </border>
    </dxf>
    <dxf>
      <border>
        <left style="thin">
          <color theme="4" tint="-0.24994659260841701"/>
        </left>
        <right style="thin">
          <color theme="4" tint="-0.24994659260841701"/>
        </right>
        <top style="thin">
          <color theme="4" tint="-0.24994659260841701"/>
        </top>
        <bottom style="thin">
          <color theme="4" tint="-0.24994659260841701"/>
        </bottom>
        <vertical style="thin">
          <color theme="4" tint="-0.24994659260841701"/>
        </vertic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theme="4" tint="0.39994506668294322"/>
        </left>
        <right style="thin">
          <color theme="4" tint="0.39994506668294322"/>
        </right>
        <top style="thin">
          <color theme="4" tint="0.39994506668294322"/>
        </top>
        <bottom style="thin">
          <color theme="4" tint="0.39994506668294322"/>
        </bottom>
        <vertical style="thin">
          <color theme="4" tint="0.39994506668294322"/>
        </vertical>
        <horizontal style="thin">
          <color theme="4" tint="0.39994506668294322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entury Gothic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entury Gothic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entury Gothic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entury Gothic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entury Gothic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entury Gothic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entury Gothic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entury Gothic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entury Gothic"/>
        <scheme val="none"/>
      </font>
      <alignment horizontal="center" vertical="center" textRotation="0" wrapText="0" indent="0" justifyLastLine="0" shrinkToFit="0" readingOrder="0"/>
    </dxf>
    <dxf>
      <font>
        <color theme="4" tint="0.79998168889431442"/>
      </font>
    </dxf>
    <dxf>
      <font>
        <color theme="4" tint="0.79998168889431442"/>
      </font>
    </dxf>
    <dxf>
      <alignment vertical="center" readingOrder="0"/>
    </dxf>
    <dxf>
      <alignment horizontal="center" readingOrder="0"/>
    </dxf>
    <dxf>
      <alignment vertical="center" readingOrder="0"/>
    </dxf>
    <dxf>
      <alignment horizontal="center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color auto="1"/>
      </font>
      <fill>
        <patternFill>
          <bgColor theme="7" tint="0.39994506668294322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horizontal="center" readingOrder="0"/>
    </dxf>
    <dxf>
      <alignment vertical="center" readingOrder="0"/>
    </dxf>
    <dxf>
      <alignment horizontal="center" readingOrder="0"/>
    </dxf>
    <dxf>
      <alignment vertic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2" formatCode="mmm\-yy"/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alignment horizontal="center" vertical="center" textRotation="0" indent="0" justifyLastLine="0" shrinkToFit="0" readingOrder="0"/>
    </dxf>
    <dxf>
      <fill>
        <patternFill>
          <bgColor theme="7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7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7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rgb="FF7030A0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rgb="FF7030A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left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left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left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left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general" textRotation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left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left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left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general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alignment horizontal="center" vertical="center" textRotation="0" indent="0" justifyLastLine="0" shrinkToFit="0" readingOrder="0"/>
    </dxf>
    <dxf>
      <fill>
        <patternFill>
          <bgColor theme="7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7" tint="-0.24994659260841701"/>
        </patternFill>
      </fill>
    </dxf>
    <dxf>
      <fill>
        <patternFill>
          <bgColor theme="7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rgb="FF7030A0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 defaultTableStyle="TableStyleMedium2" defaultPivotStyle="PivotStyleLight16">
    <tableStyle name="ARNES Y ESLINGA S.I-style" pivot="0" count="3">
      <tableStyleElement type="headerRow" dxfId="1350"/>
      <tableStyleElement type="firstRowStripe" dxfId="1349"/>
      <tableStyleElement type="secondRowStripe" dxfId="1348"/>
    </tableStyle>
  </tableStyles>
  <colors>
    <mruColors>
      <color rgb="FF322BC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2.xml"/><Relationship Id="rId27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[07042026-Listado de Técnicos Interno Certificados y no certificados.xlsx]No Certificados x Dpto.!TablaDinámica1</c:name>
    <c:fmtId val="3"/>
  </c:pivotSource>
  <c:chart>
    <c:autoTitleDeleted val="1"/>
    <c:pivotFmts>
      <c:pivotFmt>
        <c:idx val="0"/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layout>
            <c:manualLayout>
              <c:x val="9.1131537428114376E-2"/>
              <c:y val="0.11675486785082097"/>
            </c:manualLayout>
          </c:layout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layout>
            <c:manualLayout>
              <c:x val="-2.6082869348444414E-2"/>
              <c:y val="-7.8582982359763159E-2"/>
            </c:manualLayout>
          </c:layout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rgbClr val="FFFF00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layout>
            <c:manualLayout>
              <c:x val="9.5238764610490634E-2"/>
              <c:y val="3.5435512421412442E-2"/>
            </c:manualLayout>
          </c:layout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rgbClr val="0070C0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dLbl>
          <c:idx val="0"/>
          <c:layout>
            <c:manualLayout>
              <c:x val="-6.9241700435981074E-2"/>
              <c:y val="-8.2533723982176649E-2"/>
            </c:manualLayout>
          </c:layout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</c:pivotFmt>
      <c:pivotFmt>
        <c:idx val="3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</c:pivotFmt>
      <c:pivotFmt>
        <c:idx val="4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1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1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1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1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</c:pivotFmt>
      <c:pivotFmt>
        <c:idx val="11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</c:pivotFmt>
      <c:pivotFmt>
        <c:idx val="11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</c:pivotFmt>
      <c:pivotFmt>
        <c:idx val="11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</c:pivotFmt>
      <c:pivotFmt>
        <c:idx val="11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</c:pivotFmt>
      <c:pivotFmt>
        <c:idx val="11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</c:pivotFmt>
      <c:pivotFmt>
        <c:idx val="12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</c:pivotFmt>
      <c:pivotFmt>
        <c:idx val="15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5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5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5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5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5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5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5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5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6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6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6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6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6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6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6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6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6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6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7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7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7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7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7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7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7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7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7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7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8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8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8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8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8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8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8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8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8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8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9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9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9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9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9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9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9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9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9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9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0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0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0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0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0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</c:pivotFmt>
      <c:pivotFmt>
        <c:idx val="20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0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0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0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0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1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1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1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1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1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1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1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1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1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2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2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2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2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2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2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2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2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2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2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3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3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3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3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3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3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3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3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3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3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4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4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4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4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4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4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4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4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4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4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5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5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5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5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5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5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5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5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5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</c:pivotFmt>
      <c:pivotFmt>
        <c:idx val="25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6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6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6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6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6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6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6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6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6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6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7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7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7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7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7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7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7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7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7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7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8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8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8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8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8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8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8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8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8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8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9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9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9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9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9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9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9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9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9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9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0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0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0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0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0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0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0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0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0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0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1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1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1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1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1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1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1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1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1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2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2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2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2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2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2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2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2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2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2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3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3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3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3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3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3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3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3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3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3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4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4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4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4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4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4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4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4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4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4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5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5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5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5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5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5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5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5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5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5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6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6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6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6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6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6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6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6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6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6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7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7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7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7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7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7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7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7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7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7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8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8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8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8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8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8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8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8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8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8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9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9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9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9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9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9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9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9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9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39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0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0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0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0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0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0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0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0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0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0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1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1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1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1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1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1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1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1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1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2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2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2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2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2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2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2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2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2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2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3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3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3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3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3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3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3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3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3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3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4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4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4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4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4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4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4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4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4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4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5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5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5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5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5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5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5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5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5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5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6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6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6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6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6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6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6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6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6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6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7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7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</c:pivotFmt>
      <c:pivotFmt>
        <c:idx val="47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7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7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7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7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7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7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8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8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8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8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8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8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8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8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8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8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9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9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9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9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9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9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9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9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9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49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0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0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0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0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0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0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0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0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0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0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1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1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1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1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1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1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1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1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1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2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2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2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2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2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</c:pivotFmt>
      <c:pivotFmt>
        <c:idx val="52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2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2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2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2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3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3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3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3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3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3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3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3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3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3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4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4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4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4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4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4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4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4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4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4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5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5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5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5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5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5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5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5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5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5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6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6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6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6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6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6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6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6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6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6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7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7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7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7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7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7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7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</c:pivotFmt>
      <c:pivotFmt>
        <c:idx val="57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7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7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8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8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8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8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8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8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8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8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8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8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9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9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9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9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9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9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9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9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9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59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0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0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0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0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0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0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0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0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0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0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1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1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1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1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1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1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1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1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1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2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2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2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2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2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2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2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2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2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</c:pivotFmt>
      <c:pivotFmt>
        <c:idx val="62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3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3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3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3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3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3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3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3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3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3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4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4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4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4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4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4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4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4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4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4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5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5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5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5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5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5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5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5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5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5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6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6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6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6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6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6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6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6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6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6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7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7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7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7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7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7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7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7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7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7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8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8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8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8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8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8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8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8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8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8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9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9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9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9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9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9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9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9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9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69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0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0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0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0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0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0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0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0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0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0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1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1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1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1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1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1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1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1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1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2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2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2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2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2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2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2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2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2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2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3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3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</c:pivotFmt>
      <c:pivotFmt>
        <c:idx val="73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3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3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3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3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3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3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3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4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4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4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4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4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4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4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4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4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4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5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5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5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5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5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5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5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5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5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5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6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6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6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6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6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6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6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6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6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6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7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7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7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7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7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7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7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7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7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7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8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8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8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8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</c:pivotFmt>
      <c:pivotFmt>
        <c:idx val="78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8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8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8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8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8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9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9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9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9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9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9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9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9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9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79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0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0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0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0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0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0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0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0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0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0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1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1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1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1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1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1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1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1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1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2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2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2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2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2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2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2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2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2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2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3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3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3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3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3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3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</c:pivotFmt>
      <c:pivotFmt>
        <c:idx val="83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3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3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3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4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4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4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4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4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4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4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4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4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4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5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5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5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5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5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5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5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5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5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5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6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6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6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6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6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6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6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6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6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6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7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7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7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7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7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7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7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7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7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7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8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8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8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8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8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8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8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8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</c:pivotFmt>
      <c:pivotFmt>
        <c:idx val="88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8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9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9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9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9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9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9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9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9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9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89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0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0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0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0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0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0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0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0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0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0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1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1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1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1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1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1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1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1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1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2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2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2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2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2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2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2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2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2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2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3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3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3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3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3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3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3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3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3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3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4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4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4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4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4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4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4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4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4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4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5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5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5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5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5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5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5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5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5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5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6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6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6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6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6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6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6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6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6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6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7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7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7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7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7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7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7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7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7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7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8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8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8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8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8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8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8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8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8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8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9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</c:pivotFmt>
      <c:pivotFmt>
        <c:idx val="99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9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9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9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9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9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9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99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0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0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0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0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0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0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0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0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0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0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1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1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1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1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1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1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1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1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1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2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2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2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2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2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2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2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2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2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2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3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3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3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3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3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3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3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3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3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3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4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4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4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4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4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4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4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</c:pivotFmt>
      <c:pivotFmt>
        <c:idx val="104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4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4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5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5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5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5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5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5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5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5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5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5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6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6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6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6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6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6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6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6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6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6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7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7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7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7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7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7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7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7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7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7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8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8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8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8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8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8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8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8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8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8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9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9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9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9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9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9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9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9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9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09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10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10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</c:pivotFmt>
      <c:pivotFmt>
        <c:idx val="110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10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10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10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10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10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10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10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1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11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11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11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11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11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11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11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11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11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12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12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12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12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12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12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12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12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12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12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13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13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13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13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13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13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13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13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13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13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14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14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14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14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14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14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14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14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14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14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15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15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15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15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15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15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15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</c:pivotFmt>
      <c:pivotFmt>
        <c:idx val="115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15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15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16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16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16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16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16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16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16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16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16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16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17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17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17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17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17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17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17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17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17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17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18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18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18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18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18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18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18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18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18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18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19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19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19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19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19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19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19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19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19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19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20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20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20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20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20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20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20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20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20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20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2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21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21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21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21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21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21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21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21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22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22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22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22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22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22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22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22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22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22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23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23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23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23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23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23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23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23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23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23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24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24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24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24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24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24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24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24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24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24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25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25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25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25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25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25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25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25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25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25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26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26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26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26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26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26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26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26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26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27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27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27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27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27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27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27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27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27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27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28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28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28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28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28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28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28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28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28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28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29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29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29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29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29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29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29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29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29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29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30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30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30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30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30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30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30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30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30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30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3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31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31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31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31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31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31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31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31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31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32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32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</c:pivotFmt>
      <c:pivotFmt>
        <c:idx val="132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</c:pivotFmt>
      <c:pivotFmt>
        <c:idx val="132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</c:pivotFmt>
      <c:pivotFmt>
        <c:idx val="132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</c:pivotFmt>
      <c:pivotFmt>
        <c:idx val="133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</c:pivotFmt>
      <c:pivotFmt>
        <c:idx val="133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</c:pivotFmt>
      <c:pivotFmt>
        <c:idx val="133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s-VE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</c:pivotFmt>
      <c:pivotFmt>
        <c:idx val="133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</c:pivotFmt>
      <c:pivotFmt>
        <c:idx val="133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</c:pivotFmt>
      <c:pivotFmt>
        <c:idx val="134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</c:pivotFmt>
      <c:pivotFmt>
        <c:idx val="134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</c:pivotFmt>
      <c:pivotFmt>
        <c:idx val="134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  <c:marker>
          <c:symbol val="none"/>
        </c:marker>
      </c:pivotFmt>
      <c:pivotFmt>
        <c:idx val="134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34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34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34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34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34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34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35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35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35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35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35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35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35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35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35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35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36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36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36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36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36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36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36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36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36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36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37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37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37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37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37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37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37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37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37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37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38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38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38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38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38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38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38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38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38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38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39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39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39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39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39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39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39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39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39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39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40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40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40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40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40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40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40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40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40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40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4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41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41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41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41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41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41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41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41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41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42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42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42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42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42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42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42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42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42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42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43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43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43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43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43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43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43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43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43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43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44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44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44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44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44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44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44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44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44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44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45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45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45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45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45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45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45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45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45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45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46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46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46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46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46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46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46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46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46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46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47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47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47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47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47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47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47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47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47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47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48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48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48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48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48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48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48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48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48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48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49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49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49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49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49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49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49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49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49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49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50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50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50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50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50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50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50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50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50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50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5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51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51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51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51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51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51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51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51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51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52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52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52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52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52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52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52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52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52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52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53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53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53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53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53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53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53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53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53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53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54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54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54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54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54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54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54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54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54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54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55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55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55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55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55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55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55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55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55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55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56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56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56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56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56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56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56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56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56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56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57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57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57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57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57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57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57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57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57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57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58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58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58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58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58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58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58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58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58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58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59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59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59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59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59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59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59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59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59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59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60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60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60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60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60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60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60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60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60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60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6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61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61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61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61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61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61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61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61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61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62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62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62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62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62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62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62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62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62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62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63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63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63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63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63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63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63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63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63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63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64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64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64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64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64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64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64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64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64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64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65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65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65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65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65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65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65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65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65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65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66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66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66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66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66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66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66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66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66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66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67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67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67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67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67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67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67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67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67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67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68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68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68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68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68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68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68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68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68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68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69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69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69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69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69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69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69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69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69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69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70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70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70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70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70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70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70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70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70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70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7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71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71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71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71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71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71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71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71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71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72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72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72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72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72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72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72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72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72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72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73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73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73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73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73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73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73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73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73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73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74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74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74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74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74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74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74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74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74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74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75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75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75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75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75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75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75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75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75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75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76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76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76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76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76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76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76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76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76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76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77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77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77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77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77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77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77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77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77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77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78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78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78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78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78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78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78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78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78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78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79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79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79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79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79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79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79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79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79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79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80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80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80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80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80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80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80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80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80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80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8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81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81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81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81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81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81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81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81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81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82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82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82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82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82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82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82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82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82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82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83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83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83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83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83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83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83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83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83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83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84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84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84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84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84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84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84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84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84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84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85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85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85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85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85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85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85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85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85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85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86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86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86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86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86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86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86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86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86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86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87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87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87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87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87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87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87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87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87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87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88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88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88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88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88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88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88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88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88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88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89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89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89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89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89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89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89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89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89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89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90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90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90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90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90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90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90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90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90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90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9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91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91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91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91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91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91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91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91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91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92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92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92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92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92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92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92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92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92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92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93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93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93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93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93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93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93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93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93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93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94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94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94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94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94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94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94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94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94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94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95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95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95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95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95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95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95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95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95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95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96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96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96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96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96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96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96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96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96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96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97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97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97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97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97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97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97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97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97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97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98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98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98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98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98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98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98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98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98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98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99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99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99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99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99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99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99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99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99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199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00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00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00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00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00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00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00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00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00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00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0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01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01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  <c:pivotFmt>
        <c:idx val="201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  <a:sp3d/>
        </c:spPr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1648079306071871"/>
          <c:y val="0.10879844961240311"/>
          <c:w val="0.68007864258603368"/>
          <c:h val="0.72065891472868215"/>
        </c:manualLayout>
      </c:layout>
      <c:pie3DChart>
        <c:varyColors val="1"/>
        <c:ser>
          <c:idx val="0"/>
          <c:order val="0"/>
          <c:tx>
            <c:strRef>
              <c:f>'No Certificados x Dpto.'!$B$3:$B$4</c:f>
              <c:strCache>
                <c:ptCount val="1"/>
                <c:pt idx="0">
                  <c:v>CDR</c:v>
                </c:pt>
              </c:strCache>
            </c:strRef>
          </c:tx>
          <c:explosion val="2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D-EFBB-4353-B53D-6CB6FC3912F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E-EFBB-4353-B53D-6CB6FC3912F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3097-4B13-92AD-76A67F5C152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3097-4B13-92AD-76A67F5C152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3097-4B13-92AD-76A67F5C152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3097-4B13-92AD-76A67F5C152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D-3097-4B13-92AD-76A67F5C152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F-3097-4B13-92AD-76A67F5C152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1-3097-4B13-92AD-76A67F5C152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3-3097-4B13-92AD-76A67F5C152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5-3097-4B13-92AD-76A67F5C152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7-3097-4B13-92AD-76A67F5C1525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9-D0BF-4A82-A828-6E993C54D0AF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B-D0BF-4A82-A828-6E993C54D0AF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D-D0BF-4A82-A828-6E993C54D0AF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F-D0BF-4A82-A828-6E993C54D0AF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1-D0BF-4A82-A828-6E993C54D0AF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3-D0BF-4A82-A828-6E993C54D0AF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5-D0BF-4A82-A828-6E993C54D0AF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7-D0BF-4A82-A828-6E993C54D0AF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9-D0BF-4A82-A828-6E993C54D0AF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B-D0BF-4A82-A828-6E993C54D0AF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D-D0BF-4A82-A828-6E993C54D0AF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F-D0BF-4A82-A828-6E993C54D0AF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1-D0BF-4A82-A828-6E993C54D0AF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3-D0BF-4A82-A828-6E993C54D0AF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5-D0BF-4A82-A828-6E993C54D0AF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7-D0BF-4A82-A828-6E993C54D0AF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9-D0BF-4A82-A828-6E993C54D0AF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B-D0BF-4A82-A828-6E993C54D0AF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D-D0BF-4A82-A828-6E993C54D0AF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F-D0BF-4A82-A828-6E993C54D0AF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41-D0BF-4A82-A828-6E993C54D0AF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43-D0BF-4A82-A828-6E993C54D0AF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45-D0BF-4A82-A828-6E993C54D0AF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47-D0BF-4A82-A828-6E993C54D0AF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49-D0BF-4A82-A828-6E993C54D0AF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4B-D0BF-4A82-A828-6E993C54D0AF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4D-D0BF-4A82-A828-6E993C54D0AF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4F-D0BF-4A82-A828-6E993C54D0AF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51-D0BF-4A82-A828-6E993C54D0AF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53-D0BF-4A82-A828-6E993C54D0AF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55-D0BF-4A82-A828-6E993C54D0AF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57-D0BF-4A82-A828-6E993C54D0AF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59-D0BF-4A82-A828-6E993C54D0AF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5B-D0BF-4A82-A828-6E993C54D0AF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5D-D0BF-4A82-A828-6E993C54D0AF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5F-D0BF-4A82-A828-6E993C54D0AF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61-D0BF-4A82-A828-6E993C54D0AF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63-D0BF-4A82-A828-6E993C54D0AF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65-D0BF-4A82-A828-6E993C54D0AF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67-D0BF-4A82-A828-6E993C54D0AF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69-D0BF-4A82-A828-6E993C54D0AF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6B-649F-4D52-BF3F-17E29A684876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6D-40FE-4618-BBF0-4E4B31DC6205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6F-40FE-4618-BBF0-4E4B31DC6205}"/>
              </c:ext>
            </c:extLst>
          </c:dPt>
          <c:dPt>
            <c:idx val="56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71-40FE-4618-BBF0-4E4B31DC6205}"/>
              </c:ext>
            </c:extLst>
          </c:dPt>
          <c:dPt>
            <c:idx val="57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73-40FE-4618-BBF0-4E4B31DC6205}"/>
              </c:ext>
            </c:extLst>
          </c:dPt>
          <c:dPt>
            <c:idx val="58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75-40FE-4618-BBF0-4E4B31DC6205}"/>
              </c:ext>
            </c:extLst>
          </c:dPt>
          <c:dPt>
            <c:idx val="59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77-40FE-4618-BBF0-4E4B31DC6205}"/>
              </c:ext>
            </c:extLst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79-40FE-4618-BBF0-4E4B31DC6205}"/>
              </c:ext>
            </c:extLst>
          </c:dPt>
          <c:dLbls>
            <c:delete val="1"/>
          </c:dLbls>
          <c:cat>
            <c:multiLvlStrRef>
              <c:f>'No Certificados x Dpto.'!$A$5:$A$80</c:f>
              <c:multiLvlStrCache>
                <c:ptCount val="61"/>
                <c:lvl>
                  <c:pt idx="0">
                    <c:v>ANALISTA</c:v>
                  </c:pt>
                  <c:pt idx="1">
                    <c:v>AUXILIAR</c:v>
                  </c:pt>
                  <c:pt idx="2">
                    <c:v>SUPERVISOR</c:v>
                  </c:pt>
                  <c:pt idx="3">
                    <c:v>TECNICO</c:v>
                  </c:pt>
                  <c:pt idx="4">
                    <c:v>COORDINADOR</c:v>
                  </c:pt>
                  <c:pt idx="5">
                    <c:v>AUXILIAR</c:v>
                  </c:pt>
                  <c:pt idx="6">
                    <c:v>SUPERVISOR</c:v>
                  </c:pt>
                  <c:pt idx="7">
                    <c:v>TECNICO</c:v>
                  </c:pt>
                  <c:pt idx="8">
                    <c:v>ANALISTA</c:v>
                  </c:pt>
                  <c:pt idx="9">
                    <c:v>AUXILIAR</c:v>
                  </c:pt>
                  <c:pt idx="10">
                    <c:v>SUPERVISOR</c:v>
                  </c:pt>
                  <c:pt idx="11">
                    <c:v>TECNICO</c:v>
                  </c:pt>
                  <c:pt idx="12">
                    <c:v>COORDINADOR</c:v>
                  </c:pt>
                  <c:pt idx="13">
                    <c:v>ANALISTA</c:v>
                  </c:pt>
                  <c:pt idx="14">
                    <c:v>AUXILIAR</c:v>
                  </c:pt>
                  <c:pt idx="15">
                    <c:v>SUPERVISOR</c:v>
                  </c:pt>
                  <c:pt idx="16">
                    <c:v>TECNICO</c:v>
                  </c:pt>
                  <c:pt idx="17">
                    <c:v>COORDINADOR</c:v>
                  </c:pt>
                  <c:pt idx="18">
                    <c:v>ANALISTA</c:v>
                  </c:pt>
                  <c:pt idx="19">
                    <c:v>AUXILIAR</c:v>
                  </c:pt>
                  <c:pt idx="20">
                    <c:v>SUPERVISOR</c:v>
                  </c:pt>
                  <c:pt idx="21">
                    <c:v>TECNICO</c:v>
                  </c:pt>
                  <c:pt idx="22">
                    <c:v>COORDINADOR</c:v>
                  </c:pt>
                  <c:pt idx="23">
                    <c:v>SUPERVISOR DE IMPLEMENTACION PI</c:v>
                  </c:pt>
                  <c:pt idx="24">
                    <c:v>ANALISTA</c:v>
                  </c:pt>
                  <c:pt idx="25">
                    <c:v>AUXILIAR</c:v>
                  </c:pt>
                  <c:pt idx="26">
                    <c:v>SUPERVISOR</c:v>
                  </c:pt>
                  <c:pt idx="27">
                    <c:v>TECNICO</c:v>
                  </c:pt>
                  <c:pt idx="28">
                    <c:v>COORDINADOR</c:v>
                  </c:pt>
                  <c:pt idx="29">
                    <c:v>ANALISTA</c:v>
                  </c:pt>
                  <c:pt idx="30">
                    <c:v>AUXILIAR</c:v>
                  </c:pt>
                  <c:pt idx="31">
                    <c:v>SUPERVISOR</c:v>
                  </c:pt>
                  <c:pt idx="32">
                    <c:v>TECNICO</c:v>
                  </c:pt>
                  <c:pt idx="33">
                    <c:v>COORDINADOR</c:v>
                  </c:pt>
                  <c:pt idx="34">
                    <c:v>ANALISTA</c:v>
                  </c:pt>
                  <c:pt idx="35">
                    <c:v>AUXILIAR</c:v>
                  </c:pt>
                  <c:pt idx="36">
                    <c:v>SUPERVISOR</c:v>
                  </c:pt>
                  <c:pt idx="37">
                    <c:v>TECNICO</c:v>
                  </c:pt>
                  <c:pt idx="38">
                    <c:v>COORDINADOR</c:v>
                  </c:pt>
                  <c:pt idx="39">
                    <c:v>AUXILIAR</c:v>
                  </c:pt>
                  <c:pt idx="40">
                    <c:v>TECNICO</c:v>
                  </c:pt>
                  <c:pt idx="41">
                    <c:v>ANALISTA</c:v>
                  </c:pt>
                  <c:pt idx="42">
                    <c:v>AUXILIAR</c:v>
                  </c:pt>
                  <c:pt idx="43">
                    <c:v>SUPERVISOR</c:v>
                  </c:pt>
                  <c:pt idx="44">
                    <c:v>TECNICO</c:v>
                  </c:pt>
                  <c:pt idx="45">
                    <c:v>COORDINADOR</c:v>
                  </c:pt>
                  <c:pt idx="46">
                    <c:v>ANALISTA</c:v>
                  </c:pt>
                  <c:pt idx="47">
                    <c:v>AUXILIAR</c:v>
                  </c:pt>
                  <c:pt idx="48">
                    <c:v>SUPERVISOR</c:v>
                  </c:pt>
                  <c:pt idx="49">
                    <c:v>TECNICO</c:v>
                  </c:pt>
                  <c:pt idx="50">
                    <c:v>COORDINADOR</c:v>
                  </c:pt>
                  <c:pt idx="51">
                    <c:v>ANALISTA</c:v>
                  </c:pt>
                  <c:pt idx="52">
                    <c:v>AUXILIAR</c:v>
                  </c:pt>
                  <c:pt idx="53">
                    <c:v>SUPERVISOR</c:v>
                  </c:pt>
                  <c:pt idx="54">
                    <c:v>TECNICO</c:v>
                  </c:pt>
                  <c:pt idx="55">
                    <c:v>COORDINADOR</c:v>
                  </c:pt>
                  <c:pt idx="56">
                    <c:v>AUXILIAR</c:v>
                  </c:pt>
                  <c:pt idx="57">
                    <c:v>TECNICO</c:v>
                  </c:pt>
                  <c:pt idx="58">
                    <c:v>AUXILIAR</c:v>
                  </c:pt>
                  <c:pt idx="59">
                    <c:v>SUPERVISOR</c:v>
                  </c:pt>
                  <c:pt idx="60">
                    <c:v>TECNICO</c:v>
                  </c:pt>
                </c:lvl>
                <c:lvl>
                  <c:pt idx="0">
                    <c:v>ANZOATEGUI</c:v>
                  </c:pt>
                  <c:pt idx="5">
                    <c:v>APURE</c:v>
                  </c:pt>
                  <c:pt idx="8">
                    <c:v>BARINAS</c:v>
                  </c:pt>
                  <c:pt idx="13">
                    <c:v>CARABOBO</c:v>
                  </c:pt>
                  <c:pt idx="18">
                    <c:v>CARACAS</c:v>
                  </c:pt>
                  <c:pt idx="24">
                    <c:v>COJEDES</c:v>
                  </c:pt>
                  <c:pt idx="29">
                    <c:v>GUARICO</c:v>
                  </c:pt>
                  <c:pt idx="34">
                    <c:v>LARA</c:v>
                  </c:pt>
                  <c:pt idx="39">
                    <c:v>MONAGAS</c:v>
                  </c:pt>
                  <c:pt idx="41">
                    <c:v>NUEVA ESPARTA</c:v>
                  </c:pt>
                  <c:pt idx="46">
                    <c:v>SUCRE</c:v>
                  </c:pt>
                  <c:pt idx="51">
                    <c:v>CARABOBO / PTO. CABELLO</c:v>
                  </c:pt>
                  <c:pt idx="56">
                    <c:v>LA GUAIRA</c:v>
                  </c:pt>
                  <c:pt idx="58">
                    <c:v>MIRANDA</c:v>
                  </c:pt>
                </c:lvl>
              </c:multiLvlStrCache>
            </c:multiLvlStrRef>
          </c:cat>
          <c:val>
            <c:numRef>
              <c:f>'No Certificados x Dpto.'!$B$5:$B$80</c:f>
              <c:numCache>
                <c:formatCode>General</c:formatCode>
                <c:ptCount val="61"/>
              </c:numCache>
            </c:numRef>
          </c:val>
          <c:extLst>
            <c:ext xmlns:c16="http://schemas.microsoft.com/office/drawing/2014/chart" uri="{C3380CC4-5D6E-409C-BE32-E72D297353CC}">
              <c16:uniqueId val="{00000005-EFBB-4353-B53D-6CB6FC3912F3}"/>
            </c:ext>
          </c:extLst>
        </c:ser>
        <c:ser>
          <c:idx val="1"/>
          <c:order val="1"/>
          <c:tx>
            <c:strRef>
              <c:f>'No Certificados x Dpto.'!$C$3:$C$4</c:f>
              <c:strCache>
                <c:ptCount val="1"/>
                <c:pt idx="0">
                  <c:v>IMPLEMENTACION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9-3097-4B13-92AD-76A67F5C152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B-3097-4B13-92AD-76A67F5C152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D-3097-4B13-92AD-76A67F5C152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F-3097-4B13-92AD-76A67F5C152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1-3097-4B13-92AD-76A67F5C152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3-3097-4B13-92AD-76A67F5C152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5-3097-4B13-92AD-76A67F5C152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7-3097-4B13-92AD-76A67F5C152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9-3097-4B13-92AD-76A67F5C152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B-3097-4B13-92AD-76A67F5C152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D-3097-4B13-92AD-76A67F5C152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F-3097-4B13-92AD-76A67F5C1525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83-D0BF-4A82-A828-6E993C54D0AF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85-D0BF-4A82-A828-6E993C54D0AF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87-D0BF-4A82-A828-6E993C54D0AF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89-D0BF-4A82-A828-6E993C54D0AF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8B-D0BF-4A82-A828-6E993C54D0AF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8D-D0BF-4A82-A828-6E993C54D0AF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8F-D0BF-4A82-A828-6E993C54D0AF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91-D0BF-4A82-A828-6E993C54D0AF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93-D0BF-4A82-A828-6E993C54D0AF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95-D0BF-4A82-A828-6E993C54D0AF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97-D0BF-4A82-A828-6E993C54D0AF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99-D0BF-4A82-A828-6E993C54D0AF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9B-D0BF-4A82-A828-6E993C54D0AF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9D-D0BF-4A82-A828-6E993C54D0AF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9F-D0BF-4A82-A828-6E993C54D0AF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A1-D0BF-4A82-A828-6E993C54D0AF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A3-D0BF-4A82-A828-6E993C54D0AF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A5-D0BF-4A82-A828-6E993C54D0AF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A7-D0BF-4A82-A828-6E993C54D0AF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A9-D0BF-4A82-A828-6E993C54D0AF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AB-D0BF-4A82-A828-6E993C54D0AF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AD-D0BF-4A82-A828-6E993C54D0AF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AF-D0BF-4A82-A828-6E993C54D0AF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B1-D0BF-4A82-A828-6E993C54D0AF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B3-D0BF-4A82-A828-6E993C54D0AF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B5-D0BF-4A82-A828-6E993C54D0AF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B7-D0BF-4A82-A828-6E993C54D0AF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B9-D0BF-4A82-A828-6E993C54D0AF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BB-D0BF-4A82-A828-6E993C54D0AF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BD-D0BF-4A82-A828-6E993C54D0AF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BF-D0BF-4A82-A828-6E993C54D0AF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C1-D0BF-4A82-A828-6E993C54D0AF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C3-D0BF-4A82-A828-6E993C54D0AF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C5-D0BF-4A82-A828-6E993C54D0AF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C7-D0BF-4A82-A828-6E993C54D0AF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C9-D0BF-4A82-A828-6E993C54D0AF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CB-D0BF-4A82-A828-6E993C54D0AF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CD-D0BF-4A82-A828-6E993C54D0AF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CF-D0BF-4A82-A828-6E993C54D0AF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D1-D0BF-4A82-A828-6E993C54D0AF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D3-D0BF-4A82-A828-6E993C54D0AF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D7-649F-4D52-BF3F-17E29A684876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E7-40FE-4618-BBF0-4E4B31DC6205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E9-40FE-4618-BBF0-4E4B31DC6205}"/>
              </c:ext>
            </c:extLst>
          </c:dPt>
          <c:dPt>
            <c:idx val="56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EB-40FE-4618-BBF0-4E4B31DC6205}"/>
              </c:ext>
            </c:extLst>
          </c:dPt>
          <c:dPt>
            <c:idx val="57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ED-40FE-4618-BBF0-4E4B31DC6205}"/>
              </c:ext>
            </c:extLst>
          </c:dPt>
          <c:dPt>
            <c:idx val="58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EF-40FE-4618-BBF0-4E4B31DC6205}"/>
              </c:ext>
            </c:extLst>
          </c:dPt>
          <c:dPt>
            <c:idx val="59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F1-40FE-4618-BBF0-4E4B31DC6205}"/>
              </c:ext>
            </c:extLst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F3-40FE-4618-BBF0-4E4B31DC6205}"/>
              </c:ext>
            </c:extLst>
          </c:dPt>
          <c:dLbls>
            <c:delete val="1"/>
          </c:dLbls>
          <c:cat>
            <c:multiLvlStrRef>
              <c:f>'No Certificados x Dpto.'!$A$5:$A$80</c:f>
              <c:multiLvlStrCache>
                <c:ptCount val="61"/>
                <c:lvl>
                  <c:pt idx="0">
                    <c:v>ANALISTA</c:v>
                  </c:pt>
                  <c:pt idx="1">
                    <c:v>AUXILIAR</c:v>
                  </c:pt>
                  <c:pt idx="2">
                    <c:v>SUPERVISOR</c:v>
                  </c:pt>
                  <c:pt idx="3">
                    <c:v>TECNICO</c:v>
                  </c:pt>
                  <c:pt idx="4">
                    <c:v>COORDINADOR</c:v>
                  </c:pt>
                  <c:pt idx="5">
                    <c:v>AUXILIAR</c:v>
                  </c:pt>
                  <c:pt idx="6">
                    <c:v>SUPERVISOR</c:v>
                  </c:pt>
                  <c:pt idx="7">
                    <c:v>TECNICO</c:v>
                  </c:pt>
                  <c:pt idx="8">
                    <c:v>ANALISTA</c:v>
                  </c:pt>
                  <c:pt idx="9">
                    <c:v>AUXILIAR</c:v>
                  </c:pt>
                  <c:pt idx="10">
                    <c:v>SUPERVISOR</c:v>
                  </c:pt>
                  <c:pt idx="11">
                    <c:v>TECNICO</c:v>
                  </c:pt>
                  <c:pt idx="12">
                    <c:v>COORDINADOR</c:v>
                  </c:pt>
                  <c:pt idx="13">
                    <c:v>ANALISTA</c:v>
                  </c:pt>
                  <c:pt idx="14">
                    <c:v>AUXILIAR</c:v>
                  </c:pt>
                  <c:pt idx="15">
                    <c:v>SUPERVISOR</c:v>
                  </c:pt>
                  <c:pt idx="16">
                    <c:v>TECNICO</c:v>
                  </c:pt>
                  <c:pt idx="17">
                    <c:v>COORDINADOR</c:v>
                  </c:pt>
                  <c:pt idx="18">
                    <c:v>ANALISTA</c:v>
                  </c:pt>
                  <c:pt idx="19">
                    <c:v>AUXILIAR</c:v>
                  </c:pt>
                  <c:pt idx="20">
                    <c:v>SUPERVISOR</c:v>
                  </c:pt>
                  <c:pt idx="21">
                    <c:v>TECNICO</c:v>
                  </c:pt>
                  <c:pt idx="22">
                    <c:v>COORDINADOR</c:v>
                  </c:pt>
                  <c:pt idx="23">
                    <c:v>SUPERVISOR DE IMPLEMENTACION PI</c:v>
                  </c:pt>
                  <c:pt idx="24">
                    <c:v>ANALISTA</c:v>
                  </c:pt>
                  <c:pt idx="25">
                    <c:v>AUXILIAR</c:v>
                  </c:pt>
                  <c:pt idx="26">
                    <c:v>SUPERVISOR</c:v>
                  </c:pt>
                  <c:pt idx="27">
                    <c:v>TECNICO</c:v>
                  </c:pt>
                  <c:pt idx="28">
                    <c:v>COORDINADOR</c:v>
                  </c:pt>
                  <c:pt idx="29">
                    <c:v>ANALISTA</c:v>
                  </c:pt>
                  <c:pt idx="30">
                    <c:v>AUXILIAR</c:v>
                  </c:pt>
                  <c:pt idx="31">
                    <c:v>SUPERVISOR</c:v>
                  </c:pt>
                  <c:pt idx="32">
                    <c:v>TECNICO</c:v>
                  </c:pt>
                  <c:pt idx="33">
                    <c:v>COORDINADOR</c:v>
                  </c:pt>
                  <c:pt idx="34">
                    <c:v>ANALISTA</c:v>
                  </c:pt>
                  <c:pt idx="35">
                    <c:v>AUXILIAR</c:v>
                  </c:pt>
                  <c:pt idx="36">
                    <c:v>SUPERVISOR</c:v>
                  </c:pt>
                  <c:pt idx="37">
                    <c:v>TECNICO</c:v>
                  </c:pt>
                  <c:pt idx="38">
                    <c:v>COORDINADOR</c:v>
                  </c:pt>
                  <c:pt idx="39">
                    <c:v>AUXILIAR</c:v>
                  </c:pt>
                  <c:pt idx="40">
                    <c:v>TECNICO</c:v>
                  </c:pt>
                  <c:pt idx="41">
                    <c:v>ANALISTA</c:v>
                  </c:pt>
                  <c:pt idx="42">
                    <c:v>AUXILIAR</c:v>
                  </c:pt>
                  <c:pt idx="43">
                    <c:v>SUPERVISOR</c:v>
                  </c:pt>
                  <c:pt idx="44">
                    <c:v>TECNICO</c:v>
                  </c:pt>
                  <c:pt idx="45">
                    <c:v>COORDINADOR</c:v>
                  </c:pt>
                  <c:pt idx="46">
                    <c:v>ANALISTA</c:v>
                  </c:pt>
                  <c:pt idx="47">
                    <c:v>AUXILIAR</c:v>
                  </c:pt>
                  <c:pt idx="48">
                    <c:v>SUPERVISOR</c:v>
                  </c:pt>
                  <c:pt idx="49">
                    <c:v>TECNICO</c:v>
                  </c:pt>
                  <c:pt idx="50">
                    <c:v>COORDINADOR</c:v>
                  </c:pt>
                  <c:pt idx="51">
                    <c:v>ANALISTA</c:v>
                  </c:pt>
                  <c:pt idx="52">
                    <c:v>AUXILIAR</c:v>
                  </c:pt>
                  <c:pt idx="53">
                    <c:v>SUPERVISOR</c:v>
                  </c:pt>
                  <c:pt idx="54">
                    <c:v>TECNICO</c:v>
                  </c:pt>
                  <c:pt idx="55">
                    <c:v>COORDINADOR</c:v>
                  </c:pt>
                  <c:pt idx="56">
                    <c:v>AUXILIAR</c:v>
                  </c:pt>
                  <c:pt idx="57">
                    <c:v>TECNICO</c:v>
                  </c:pt>
                  <c:pt idx="58">
                    <c:v>AUXILIAR</c:v>
                  </c:pt>
                  <c:pt idx="59">
                    <c:v>SUPERVISOR</c:v>
                  </c:pt>
                  <c:pt idx="60">
                    <c:v>TECNICO</c:v>
                  </c:pt>
                </c:lvl>
                <c:lvl>
                  <c:pt idx="0">
                    <c:v>ANZOATEGUI</c:v>
                  </c:pt>
                  <c:pt idx="5">
                    <c:v>APURE</c:v>
                  </c:pt>
                  <c:pt idx="8">
                    <c:v>BARINAS</c:v>
                  </c:pt>
                  <c:pt idx="13">
                    <c:v>CARABOBO</c:v>
                  </c:pt>
                  <c:pt idx="18">
                    <c:v>CARACAS</c:v>
                  </c:pt>
                  <c:pt idx="24">
                    <c:v>COJEDES</c:v>
                  </c:pt>
                  <c:pt idx="29">
                    <c:v>GUARICO</c:v>
                  </c:pt>
                  <c:pt idx="34">
                    <c:v>LARA</c:v>
                  </c:pt>
                  <c:pt idx="39">
                    <c:v>MONAGAS</c:v>
                  </c:pt>
                  <c:pt idx="41">
                    <c:v>NUEVA ESPARTA</c:v>
                  </c:pt>
                  <c:pt idx="46">
                    <c:v>SUCRE</c:v>
                  </c:pt>
                  <c:pt idx="51">
                    <c:v>CARABOBO / PTO. CABELLO</c:v>
                  </c:pt>
                  <c:pt idx="56">
                    <c:v>LA GUAIRA</c:v>
                  </c:pt>
                  <c:pt idx="58">
                    <c:v>MIRANDA</c:v>
                  </c:pt>
                </c:lvl>
              </c:multiLvlStrCache>
            </c:multiLvlStrRef>
          </c:cat>
          <c:val>
            <c:numRef>
              <c:f>'No Certificados x Dpto.'!$C$5:$C$80</c:f>
              <c:numCache>
                <c:formatCode>General</c:formatCode>
                <c:ptCount val="61"/>
              </c:numCache>
            </c:numRef>
          </c:val>
          <c:extLst>
            <c:ext xmlns:c16="http://schemas.microsoft.com/office/drawing/2014/chart" uri="{C3380CC4-5D6E-409C-BE32-E72D297353CC}">
              <c16:uniqueId val="{0000002B-EFBB-4353-B53D-6CB6FC3912F3}"/>
            </c:ext>
          </c:extLst>
        </c:ser>
        <c:ser>
          <c:idx val="2"/>
          <c:order val="2"/>
          <c:tx>
            <c:strRef>
              <c:f>'No Certificados x Dpto.'!$D$3:$D$4</c:f>
              <c:strCache>
                <c:ptCount val="1"/>
                <c:pt idx="0">
                  <c:v>MDA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1-3097-4B13-92AD-76A67F5C152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3-3097-4B13-92AD-76A67F5C152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5-3097-4B13-92AD-76A67F5C152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7-3097-4B13-92AD-76A67F5C152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9-3097-4B13-92AD-76A67F5C152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B-3097-4B13-92AD-76A67F5C152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D-3097-4B13-92AD-76A67F5C152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3F-3097-4B13-92AD-76A67F5C152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41-3097-4B13-92AD-76A67F5C152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43-3097-4B13-92AD-76A67F5C152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45-3097-4B13-92AD-76A67F5C152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47-3097-4B13-92AD-76A67F5C1525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ED-D0BF-4A82-A828-6E993C54D0AF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EF-D0BF-4A82-A828-6E993C54D0AF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F1-D0BF-4A82-A828-6E993C54D0AF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F3-D0BF-4A82-A828-6E993C54D0AF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F5-D0BF-4A82-A828-6E993C54D0AF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F7-D0BF-4A82-A828-6E993C54D0AF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F9-D0BF-4A82-A828-6E993C54D0AF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FB-D0BF-4A82-A828-6E993C54D0AF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FD-D0BF-4A82-A828-6E993C54D0AF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FF-D0BF-4A82-A828-6E993C54D0AF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01-D0BF-4A82-A828-6E993C54D0AF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03-D0BF-4A82-A828-6E993C54D0AF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05-D0BF-4A82-A828-6E993C54D0AF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07-D0BF-4A82-A828-6E993C54D0AF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09-D0BF-4A82-A828-6E993C54D0AF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0B-D0BF-4A82-A828-6E993C54D0AF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0D-D0BF-4A82-A828-6E993C54D0AF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0F-D0BF-4A82-A828-6E993C54D0AF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11-D0BF-4A82-A828-6E993C54D0AF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13-D0BF-4A82-A828-6E993C54D0AF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15-D0BF-4A82-A828-6E993C54D0AF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17-D0BF-4A82-A828-6E993C54D0AF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19-D0BF-4A82-A828-6E993C54D0AF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1B-D0BF-4A82-A828-6E993C54D0AF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1D-D0BF-4A82-A828-6E993C54D0AF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1F-D0BF-4A82-A828-6E993C54D0AF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21-D0BF-4A82-A828-6E993C54D0AF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23-D0BF-4A82-A828-6E993C54D0AF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25-D0BF-4A82-A828-6E993C54D0AF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27-D0BF-4A82-A828-6E993C54D0AF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29-D0BF-4A82-A828-6E993C54D0AF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2B-D0BF-4A82-A828-6E993C54D0AF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2D-D0BF-4A82-A828-6E993C54D0AF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2F-D0BF-4A82-A828-6E993C54D0AF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31-D0BF-4A82-A828-6E993C54D0AF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33-D0BF-4A82-A828-6E993C54D0AF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35-D0BF-4A82-A828-6E993C54D0AF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37-D0BF-4A82-A828-6E993C54D0AF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39-D0BF-4A82-A828-6E993C54D0AF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3B-D0BF-4A82-A828-6E993C54D0AF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3D-D0BF-4A82-A828-6E993C54D0AF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43-649F-4D52-BF3F-17E29A684876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61-40FE-4618-BBF0-4E4B31DC6205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63-40FE-4618-BBF0-4E4B31DC6205}"/>
              </c:ext>
            </c:extLst>
          </c:dPt>
          <c:dPt>
            <c:idx val="56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65-40FE-4618-BBF0-4E4B31DC6205}"/>
              </c:ext>
            </c:extLst>
          </c:dPt>
          <c:dPt>
            <c:idx val="57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67-40FE-4618-BBF0-4E4B31DC6205}"/>
              </c:ext>
            </c:extLst>
          </c:dPt>
          <c:dPt>
            <c:idx val="58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69-40FE-4618-BBF0-4E4B31DC6205}"/>
              </c:ext>
            </c:extLst>
          </c:dPt>
          <c:dPt>
            <c:idx val="59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6B-40FE-4618-BBF0-4E4B31DC6205}"/>
              </c:ext>
            </c:extLst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6D-40FE-4618-BBF0-4E4B31DC6205}"/>
              </c:ext>
            </c:extLst>
          </c:dPt>
          <c:dLbls>
            <c:delete val="1"/>
          </c:dLbls>
          <c:cat>
            <c:multiLvlStrRef>
              <c:f>'No Certificados x Dpto.'!$A$5:$A$80</c:f>
              <c:multiLvlStrCache>
                <c:ptCount val="61"/>
                <c:lvl>
                  <c:pt idx="0">
                    <c:v>ANALISTA</c:v>
                  </c:pt>
                  <c:pt idx="1">
                    <c:v>AUXILIAR</c:v>
                  </c:pt>
                  <c:pt idx="2">
                    <c:v>SUPERVISOR</c:v>
                  </c:pt>
                  <c:pt idx="3">
                    <c:v>TECNICO</c:v>
                  </c:pt>
                  <c:pt idx="4">
                    <c:v>COORDINADOR</c:v>
                  </c:pt>
                  <c:pt idx="5">
                    <c:v>AUXILIAR</c:v>
                  </c:pt>
                  <c:pt idx="6">
                    <c:v>SUPERVISOR</c:v>
                  </c:pt>
                  <c:pt idx="7">
                    <c:v>TECNICO</c:v>
                  </c:pt>
                  <c:pt idx="8">
                    <c:v>ANALISTA</c:v>
                  </c:pt>
                  <c:pt idx="9">
                    <c:v>AUXILIAR</c:v>
                  </c:pt>
                  <c:pt idx="10">
                    <c:v>SUPERVISOR</c:v>
                  </c:pt>
                  <c:pt idx="11">
                    <c:v>TECNICO</c:v>
                  </c:pt>
                  <c:pt idx="12">
                    <c:v>COORDINADOR</c:v>
                  </c:pt>
                  <c:pt idx="13">
                    <c:v>ANALISTA</c:v>
                  </c:pt>
                  <c:pt idx="14">
                    <c:v>AUXILIAR</c:v>
                  </c:pt>
                  <c:pt idx="15">
                    <c:v>SUPERVISOR</c:v>
                  </c:pt>
                  <c:pt idx="16">
                    <c:v>TECNICO</c:v>
                  </c:pt>
                  <c:pt idx="17">
                    <c:v>COORDINADOR</c:v>
                  </c:pt>
                  <c:pt idx="18">
                    <c:v>ANALISTA</c:v>
                  </c:pt>
                  <c:pt idx="19">
                    <c:v>AUXILIAR</c:v>
                  </c:pt>
                  <c:pt idx="20">
                    <c:v>SUPERVISOR</c:v>
                  </c:pt>
                  <c:pt idx="21">
                    <c:v>TECNICO</c:v>
                  </c:pt>
                  <c:pt idx="22">
                    <c:v>COORDINADOR</c:v>
                  </c:pt>
                  <c:pt idx="23">
                    <c:v>SUPERVISOR DE IMPLEMENTACION PI</c:v>
                  </c:pt>
                  <c:pt idx="24">
                    <c:v>ANALISTA</c:v>
                  </c:pt>
                  <c:pt idx="25">
                    <c:v>AUXILIAR</c:v>
                  </c:pt>
                  <c:pt idx="26">
                    <c:v>SUPERVISOR</c:v>
                  </c:pt>
                  <c:pt idx="27">
                    <c:v>TECNICO</c:v>
                  </c:pt>
                  <c:pt idx="28">
                    <c:v>COORDINADOR</c:v>
                  </c:pt>
                  <c:pt idx="29">
                    <c:v>ANALISTA</c:v>
                  </c:pt>
                  <c:pt idx="30">
                    <c:v>AUXILIAR</c:v>
                  </c:pt>
                  <c:pt idx="31">
                    <c:v>SUPERVISOR</c:v>
                  </c:pt>
                  <c:pt idx="32">
                    <c:v>TECNICO</c:v>
                  </c:pt>
                  <c:pt idx="33">
                    <c:v>COORDINADOR</c:v>
                  </c:pt>
                  <c:pt idx="34">
                    <c:v>ANALISTA</c:v>
                  </c:pt>
                  <c:pt idx="35">
                    <c:v>AUXILIAR</c:v>
                  </c:pt>
                  <c:pt idx="36">
                    <c:v>SUPERVISOR</c:v>
                  </c:pt>
                  <c:pt idx="37">
                    <c:v>TECNICO</c:v>
                  </c:pt>
                  <c:pt idx="38">
                    <c:v>COORDINADOR</c:v>
                  </c:pt>
                  <c:pt idx="39">
                    <c:v>AUXILIAR</c:v>
                  </c:pt>
                  <c:pt idx="40">
                    <c:v>TECNICO</c:v>
                  </c:pt>
                  <c:pt idx="41">
                    <c:v>ANALISTA</c:v>
                  </c:pt>
                  <c:pt idx="42">
                    <c:v>AUXILIAR</c:v>
                  </c:pt>
                  <c:pt idx="43">
                    <c:v>SUPERVISOR</c:v>
                  </c:pt>
                  <c:pt idx="44">
                    <c:v>TECNICO</c:v>
                  </c:pt>
                  <c:pt idx="45">
                    <c:v>COORDINADOR</c:v>
                  </c:pt>
                  <c:pt idx="46">
                    <c:v>ANALISTA</c:v>
                  </c:pt>
                  <c:pt idx="47">
                    <c:v>AUXILIAR</c:v>
                  </c:pt>
                  <c:pt idx="48">
                    <c:v>SUPERVISOR</c:v>
                  </c:pt>
                  <c:pt idx="49">
                    <c:v>TECNICO</c:v>
                  </c:pt>
                  <c:pt idx="50">
                    <c:v>COORDINADOR</c:v>
                  </c:pt>
                  <c:pt idx="51">
                    <c:v>ANALISTA</c:v>
                  </c:pt>
                  <c:pt idx="52">
                    <c:v>AUXILIAR</c:v>
                  </c:pt>
                  <c:pt idx="53">
                    <c:v>SUPERVISOR</c:v>
                  </c:pt>
                  <c:pt idx="54">
                    <c:v>TECNICO</c:v>
                  </c:pt>
                  <c:pt idx="55">
                    <c:v>COORDINADOR</c:v>
                  </c:pt>
                  <c:pt idx="56">
                    <c:v>AUXILIAR</c:v>
                  </c:pt>
                  <c:pt idx="57">
                    <c:v>TECNICO</c:v>
                  </c:pt>
                  <c:pt idx="58">
                    <c:v>AUXILIAR</c:v>
                  </c:pt>
                  <c:pt idx="59">
                    <c:v>SUPERVISOR</c:v>
                  </c:pt>
                  <c:pt idx="60">
                    <c:v>TECNICO</c:v>
                  </c:pt>
                </c:lvl>
                <c:lvl>
                  <c:pt idx="0">
                    <c:v>ANZOATEGUI</c:v>
                  </c:pt>
                  <c:pt idx="5">
                    <c:v>APURE</c:v>
                  </c:pt>
                  <c:pt idx="8">
                    <c:v>BARINAS</c:v>
                  </c:pt>
                  <c:pt idx="13">
                    <c:v>CARABOBO</c:v>
                  </c:pt>
                  <c:pt idx="18">
                    <c:v>CARACAS</c:v>
                  </c:pt>
                  <c:pt idx="24">
                    <c:v>COJEDES</c:v>
                  </c:pt>
                  <c:pt idx="29">
                    <c:v>GUARICO</c:v>
                  </c:pt>
                  <c:pt idx="34">
                    <c:v>LARA</c:v>
                  </c:pt>
                  <c:pt idx="39">
                    <c:v>MONAGAS</c:v>
                  </c:pt>
                  <c:pt idx="41">
                    <c:v>NUEVA ESPARTA</c:v>
                  </c:pt>
                  <c:pt idx="46">
                    <c:v>SUCRE</c:v>
                  </c:pt>
                  <c:pt idx="51">
                    <c:v>CARABOBO / PTO. CABELLO</c:v>
                  </c:pt>
                  <c:pt idx="56">
                    <c:v>LA GUAIRA</c:v>
                  </c:pt>
                  <c:pt idx="58">
                    <c:v>MIRANDA</c:v>
                  </c:pt>
                </c:lvl>
              </c:multiLvlStrCache>
            </c:multiLvlStrRef>
          </c:cat>
          <c:val>
            <c:numRef>
              <c:f>'No Certificados x Dpto.'!$D$5:$D$80</c:f>
              <c:numCache>
                <c:formatCode>General</c:formatCode>
                <c:ptCount val="61"/>
              </c:numCache>
            </c:numRef>
          </c:val>
          <c:extLst>
            <c:ext xmlns:c16="http://schemas.microsoft.com/office/drawing/2014/chart" uri="{C3380CC4-5D6E-409C-BE32-E72D297353CC}">
              <c16:uniqueId val="{0000002C-EFBB-4353-B53D-6CB6FC3912F3}"/>
            </c:ext>
          </c:extLst>
        </c:ser>
        <c:ser>
          <c:idx val="3"/>
          <c:order val="3"/>
          <c:tx>
            <c:strRef>
              <c:f>'No Certificados x Dpto.'!$E$3:$E$4</c:f>
              <c:strCache>
                <c:ptCount val="1"/>
                <c:pt idx="0">
                  <c:v>MDC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49-3097-4B13-92AD-76A67F5C152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4B-3097-4B13-92AD-76A67F5C152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4D-3097-4B13-92AD-76A67F5C152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4F-3097-4B13-92AD-76A67F5C152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51-3097-4B13-92AD-76A67F5C152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53-3097-4B13-92AD-76A67F5C152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55-3097-4B13-92AD-76A67F5C152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57-3097-4B13-92AD-76A67F5C152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59-3097-4B13-92AD-76A67F5C152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5B-3097-4B13-92AD-76A67F5C152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5D-3097-4B13-92AD-76A67F5C152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5F-3097-4B13-92AD-76A67F5C1525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57-D0BF-4A82-A828-6E993C54D0AF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59-D0BF-4A82-A828-6E993C54D0AF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5B-D0BF-4A82-A828-6E993C54D0AF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5D-D0BF-4A82-A828-6E993C54D0AF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5F-D0BF-4A82-A828-6E993C54D0AF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61-D0BF-4A82-A828-6E993C54D0AF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63-D0BF-4A82-A828-6E993C54D0AF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65-D0BF-4A82-A828-6E993C54D0AF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67-D0BF-4A82-A828-6E993C54D0AF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69-D0BF-4A82-A828-6E993C54D0AF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6B-D0BF-4A82-A828-6E993C54D0AF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6D-D0BF-4A82-A828-6E993C54D0AF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6F-D0BF-4A82-A828-6E993C54D0AF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71-D0BF-4A82-A828-6E993C54D0AF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73-D0BF-4A82-A828-6E993C54D0AF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75-D0BF-4A82-A828-6E993C54D0AF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77-D0BF-4A82-A828-6E993C54D0AF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79-D0BF-4A82-A828-6E993C54D0AF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7B-D0BF-4A82-A828-6E993C54D0AF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7D-D0BF-4A82-A828-6E993C54D0AF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7F-D0BF-4A82-A828-6E993C54D0AF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81-D0BF-4A82-A828-6E993C54D0AF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83-D0BF-4A82-A828-6E993C54D0AF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85-D0BF-4A82-A828-6E993C54D0AF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87-D0BF-4A82-A828-6E993C54D0AF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89-D0BF-4A82-A828-6E993C54D0AF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8B-D0BF-4A82-A828-6E993C54D0AF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8D-D0BF-4A82-A828-6E993C54D0AF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8F-D0BF-4A82-A828-6E993C54D0AF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91-D0BF-4A82-A828-6E993C54D0AF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93-D0BF-4A82-A828-6E993C54D0AF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95-D0BF-4A82-A828-6E993C54D0AF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97-D0BF-4A82-A828-6E993C54D0AF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99-D0BF-4A82-A828-6E993C54D0AF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9B-D0BF-4A82-A828-6E993C54D0AF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9D-D0BF-4A82-A828-6E993C54D0AF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9F-D0BF-4A82-A828-6E993C54D0AF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A1-D0BF-4A82-A828-6E993C54D0AF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A3-D0BF-4A82-A828-6E993C54D0AF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A5-D0BF-4A82-A828-6E993C54D0AF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A7-D0BF-4A82-A828-6E993C54D0AF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AF-649F-4D52-BF3F-17E29A684876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DB-40FE-4618-BBF0-4E4B31DC6205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DD-40FE-4618-BBF0-4E4B31DC6205}"/>
              </c:ext>
            </c:extLst>
          </c:dPt>
          <c:dPt>
            <c:idx val="56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DF-40FE-4618-BBF0-4E4B31DC6205}"/>
              </c:ext>
            </c:extLst>
          </c:dPt>
          <c:dPt>
            <c:idx val="57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E1-40FE-4618-BBF0-4E4B31DC6205}"/>
              </c:ext>
            </c:extLst>
          </c:dPt>
          <c:dPt>
            <c:idx val="58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E3-40FE-4618-BBF0-4E4B31DC6205}"/>
              </c:ext>
            </c:extLst>
          </c:dPt>
          <c:dPt>
            <c:idx val="59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E5-40FE-4618-BBF0-4E4B31DC6205}"/>
              </c:ext>
            </c:extLst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E7-40FE-4618-BBF0-4E4B31DC6205}"/>
              </c:ext>
            </c:extLst>
          </c:dPt>
          <c:dLbls>
            <c:delete val="1"/>
          </c:dLbls>
          <c:cat>
            <c:multiLvlStrRef>
              <c:f>'No Certificados x Dpto.'!$A$5:$A$80</c:f>
              <c:multiLvlStrCache>
                <c:ptCount val="61"/>
                <c:lvl>
                  <c:pt idx="0">
                    <c:v>ANALISTA</c:v>
                  </c:pt>
                  <c:pt idx="1">
                    <c:v>AUXILIAR</c:v>
                  </c:pt>
                  <c:pt idx="2">
                    <c:v>SUPERVISOR</c:v>
                  </c:pt>
                  <c:pt idx="3">
                    <c:v>TECNICO</c:v>
                  </c:pt>
                  <c:pt idx="4">
                    <c:v>COORDINADOR</c:v>
                  </c:pt>
                  <c:pt idx="5">
                    <c:v>AUXILIAR</c:v>
                  </c:pt>
                  <c:pt idx="6">
                    <c:v>SUPERVISOR</c:v>
                  </c:pt>
                  <c:pt idx="7">
                    <c:v>TECNICO</c:v>
                  </c:pt>
                  <c:pt idx="8">
                    <c:v>ANALISTA</c:v>
                  </c:pt>
                  <c:pt idx="9">
                    <c:v>AUXILIAR</c:v>
                  </c:pt>
                  <c:pt idx="10">
                    <c:v>SUPERVISOR</c:v>
                  </c:pt>
                  <c:pt idx="11">
                    <c:v>TECNICO</c:v>
                  </c:pt>
                  <c:pt idx="12">
                    <c:v>COORDINADOR</c:v>
                  </c:pt>
                  <c:pt idx="13">
                    <c:v>ANALISTA</c:v>
                  </c:pt>
                  <c:pt idx="14">
                    <c:v>AUXILIAR</c:v>
                  </c:pt>
                  <c:pt idx="15">
                    <c:v>SUPERVISOR</c:v>
                  </c:pt>
                  <c:pt idx="16">
                    <c:v>TECNICO</c:v>
                  </c:pt>
                  <c:pt idx="17">
                    <c:v>COORDINADOR</c:v>
                  </c:pt>
                  <c:pt idx="18">
                    <c:v>ANALISTA</c:v>
                  </c:pt>
                  <c:pt idx="19">
                    <c:v>AUXILIAR</c:v>
                  </c:pt>
                  <c:pt idx="20">
                    <c:v>SUPERVISOR</c:v>
                  </c:pt>
                  <c:pt idx="21">
                    <c:v>TECNICO</c:v>
                  </c:pt>
                  <c:pt idx="22">
                    <c:v>COORDINADOR</c:v>
                  </c:pt>
                  <c:pt idx="23">
                    <c:v>SUPERVISOR DE IMPLEMENTACION PI</c:v>
                  </c:pt>
                  <c:pt idx="24">
                    <c:v>ANALISTA</c:v>
                  </c:pt>
                  <c:pt idx="25">
                    <c:v>AUXILIAR</c:v>
                  </c:pt>
                  <c:pt idx="26">
                    <c:v>SUPERVISOR</c:v>
                  </c:pt>
                  <c:pt idx="27">
                    <c:v>TECNICO</c:v>
                  </c:pt>
                  <c:pt idx="28">
                    <c:v>COORDINADOR</c:v>
                  </c:pt>
                  <c:pt idx="29">
                    <c:v>ANALISTA</c:v>
                  </c:pt>
                  <c:pt idx="30">
                    <c:v>AUXILIAR</c:v>
                  </c:pt>
                  <c:pt idx="31">
                    <c:v>SUPERVISOR</c:v>
                  </c:pt>
                  <c:pt idx="32">
                    <c:v>TECNICO</c:v>
                  </c:pt>
                  <c:pt idx="33">
                    <c:v>COORDINADOR</c:v>
                  </c:pt>
                  <c:pt idx="34">
                    <c:v>ANALISTA</c:v>
                  </c:pt>
                  <c:pt idx="35">
                    <c:v>AUXILIAR</c:v>
                  </c:pt>
                  <c:pt idx="36">
                    <c:v>SUPERVISOR</c:v>
                  </c:pt>
                  <c:pt idx="37">
                    <c:v>TECNICO</c:v>
                  </c:pt>
                  <c:pt idx="38">
                    <c:v>COORDINADOR</c:v>
                  </c:pt>
                  <c:pt idx="39">
                    <c:v>AUXILIAR</c:v>
                  </c:pt>
                  <c:pt idx="40">
                    <c:v>TECNICO</c:v>
                  </c:pt>
                  <c:pt idx="41">
                    <c:v>ANALISTA</c:v>
                  </c:pt>
                  <c:pt idx="42">
                    <c:v>AUXILIAR</c:v>
                  </c:pt>
                  <c:pt idx="43">
                    <c:v>SUPERVISOR</c:v>
                  </c:pt>
                  <c:pt idx="44">
                    <c:v>TECNICO</c:v>
                  </c:pt>
                  <c:pt idx="45">
                    <c:v>COORDINADOR</c:v>
                  </c:pt>
                  <c:pt idx="46">
                    <c:v>ANALISTA</c:v>
                  </c:pt>
                  <c:pt idx="47">
                    <c:v>AUXILIAR</c:v>
                  </c:pt>
                  <c:pt idx="48">
                    <c:v>SUPERVISOR</c:v>
                  </c:pt>
                  <c:pt idx="49">
                    <c:v>TECNICO</c:v>
                  </c:pt>
                  <c:pt idx="50">
                    <c:v>COORDINADOR</c:v>
                  </c:pt>
                  <c:pt idx="51">
                    <c:v>ANALISTA</c:v>
                  </c:pt>
                  <c:pt idx="52">
                    <c:v>AUXILIAR</c:v>
                  </c:pt>
                  <c:pt idx="53">
                    <c:v>SUPERVISOR</c:v>
                  </c:pt>
                  <c:pt idx="54">
                    <c:v>TECNICO</c:v>
                  </c:pt>
                  <c:pt idx="55">
                    <c:v>COORDINADOR</c:v>
                  </c:pt>
                  <c:pt idx="56">
                    <c:v>AUXILIAR</c:v>
                  </c:pt>
                  <c:pt idx="57">
                    <c:v>TECNICO</c:v>
                  </c:pt>
                  <c:pt idx="58">
                    <c:v>AUXILIAR</c:v>
                  </c:pt>
                  <c:pt idx="59">
                    <c:v>SUPERVISOR</c:v>
                  </c:pt>
                  <c:pt idx="60">
                    <c:v>TECNICO</c:v>
                  </c:pt>
                </c:lvl>
                <c:lvl>
                  <c:pt idx="0">
                    <c:v>ANZOATEGUI</c:v>
                  </c:pt>
                  <c:pt idx="5">
                    <c:v>APURE</c:v>
                  </c:pt>
                  <c:pt idx="8">
                    <c:v>BARINAS</c:v>
                  </c:pt>
                  <c:pt idx="13">
                    <c:v>CARABOBO</c:v>
                  </c:pt>
                  <c:pt idx="18">
                    <c:v>CARACAS</c:v>
                  </c:pt>
                  <c:pt idx="24">
                    <c:v>COJEDES</c:v>
                  </c:pt>
                  <c:pt idx="29">
                    <c:v>GUARICO</c:v>
                  </c:pt>
                  <c:pt idx="34">
                    <c:v>LARA</c:v>
                  </c:pt>
                  <c:pt idx="39">
                    <c:v>MONAGAS</c:v>
                  </c:pt>
                  <c:pt idx="41">
                    <c:v>NUEVA ESPARTA</c:v>
                  </c:pt>
                  <c:pt idx="46">
                    <c:v>SUCRE</c:v>
                  </c:pt>
                  <c:pt idx="51">
                    <c:v>CARABOBO / PTO. CABELLO</c:v>
                  </c:pt>
                  <c:pt idx="56">
                    <c:v>LA GUAIRA</c:v>
                  </c:pt>
                  <c:pt idx="58">
                    <c:v>MIRANDA</c:v>
                  </c:pt>
                </c:lvl>
              </c:multiLvlStrCache>
            </c:multiLvlStrRef>
          </c:cat>
          <c:val>
            <c:numRef>
              <c:f>'No Certificados x Dpto.'!$E$5:$E$80</c:f>
              <c:numCache>
                <c:formatCode>General</c:formatCode>
                <c:ptCount val="61"/>
              </c:numCache>
            </c:numRef>
          </c:val>
          <c:extLst>
            <c:ext xmlns:c16="http://schemas.microsoft.com/office/drawing/2014/chart" uri="{C3380CC4-5D6E-409C-BE32-E72D297353CC}">
              <c16:uniqueId val="{0000002D-EFBB-4353-B53D-6CB6FC3912F3}"/>
            </c:ext>
          </c:extLst>
        </c:ser>
        <c:ser>
          <c:idx val="4"/>
          <c:order val="4"/>
          <c:tx>
            <c:strRef>
              <c:f>'No Certificados x Dpto.'!$F$3:$F$4</c:f>
              <c:strCache>
                <c:ptCount val="1"/>
                <c:pt idx="0">
                  <c:v>NVOS PROY.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B1-649F-4D52-BF3F-17E29A68487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B3-649F-4D52-BF3F-17E29A68487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B5-649F-4D52-BF3F-17E29A68487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B7-649F-4D52-BF3F-17E29A68487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B9-649F-4D52-BF3F-17E29A68487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BB-649F-4D52-BF3F-17E29A68487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BD-649F-4D52-BF3F-17E29A68487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BF-649F-4D52-BF3F-17E29A68487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C1-649F-4D52-BF3F-17E29A68487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C3-649F-4D52-BF3F-17E29A684876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C5-649F-4D52-BF3F-17E29A684876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C7-649F-4D52-BF3F-17E29A684876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C9-649F-4D52-BF3F-17E29A684876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CB-649F-4D52-BF3F-17E29A684876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CD-649F-4D52-BF3F-17E29A684876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CF-649F-4D52-BF3F-17E29A684876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D1-649F-4D52-BF3F-17E29A684876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D3-649F-4D52-BF3F-17E29A684876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D5-649F-4D52-BF3F-17E29A684876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D7-649F-4D52-BF3F-17E29A684876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D9-649F-4D52-BF3F-17E29A684876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DB-649F-4D52-BF3F-17E29A684876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DD-649F-4D52-BF3F-17E29A684876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DF-649F-4D52-BF3F-17E29A684876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E1-649F-4D52-BF3F-17E29A684876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E3-649F-4D52-BF3F-17E29A684876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E5-649F-4D52-BF3F-17E29A684876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E7-649F-4D52-BF3F-17E29A684876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E9-649F-4D52-BF3F-17E29A684876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EB-649F-4D52-BF3F-17E29A684876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ED-649F-4D52-BF3F-17E29A684876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EF-649F-4D52-BF3F-17E29A684876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F1-649F-4D52-BF3F-17E29A684876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F3-649F-4D52-BF3F-17E29A684876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F5-649F-4D52-BF3F-17E29A684876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F7-649F-4D52-BF3F-17E29A684876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F9-649F-4D52-BF3F-17E29A684876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FB-649F-4D52-BF3F-17E29A684876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FD-649F-4D52-BF3F-17E29A684876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1FF-649F-4D52-BF3F-17E29A684876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01-649F-4D52-BF3F-17E29A684876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03-649F-4D52-BF3F-17E29A684876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05-649F-4D52-BF3F-17E29A684876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07-649F-4D52-BF3F-17E29A684876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09-649F-4D52-BF3F-17E29A684876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0B-649F-4D52-BF3F-17E29A684876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0D-649F-4D52-BF3F-17E29A684876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0F-649F-4D52-BF3F-17E29A684876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11-649F-4D52-BF3F-17E29A684876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13-649F-4D52-BF3F-17E29A684876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15-649F-4D52-BF3F-17E29A684876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17-649F-4D52-BF3F-17E29A684876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19-649F-4D52-BF3F-17E29A684876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1B-649F-4D52-BF3F-17E29A684876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55-40FE-4618-BBF0-4E4B31DC6205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57-40FE-4618-BBF0-4E4B31DC6205}"/>
              </c:ext>
            </c:extLst>
          </c:dPt>
          <c:dPt>
            <c:idx val="56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59-40FE-4618-BBF0-4E4B31DC6205}"/>
              </c:ext>
            </c:extLst>
          </c:dPt>
          <c:dPt>
            <c:idx val="57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5B-40FE-4618-BBF0-4E4B31DC6205}"/>
              </c:ext>
            </c:extLst>
          </c:dPt>
          <c:dPt>
            <c:idx val="58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5D-40FE-4618-BBF0-4E4B31DC6205}"/>
              </c:ext>
            </c:extLst>
          </c:dPt>
          <c:dPt>
            <c:idx val="59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5F-40FE-4618-BBF0-4E4B31DC6205}"/>
              </c:ext>
            </c:extLst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61-40FE-4618-BBF0-4E4B31DC6205}"/>
              </c:ext>
            </c:extLst>
          </c:dPt>
          <c:dLbls>
            <c:delete val="1"/>
          </c:dLbls>
          <c:cat>
            <c:multiLvlStrRef>
              <c:f>'No Certificados x Dpto.'!$A$5:$A$80</c:f>
              <c:multiLvlStrCache>
                <c:ptCount val="61"/>
                <c:lvl>
                  <c:pt idx="0">
                    <c:v>ANALISTA</c:v>
                  </c:pt>
                  <c:pt idx="1">
                    <c:v>AUXILIAR</c:v>
                  </c:pt>
                  <c:pt idx="2">
                    <c:v>SUPERVISOR</c:v>
                  </c:pt>
                  <c:pt idx="3">
                    <c:v>TECNICO</c:v>
                  </c:pt>
                  <c:pt idx="4">
                    <c:v>COORDINADOR</c:v>
                  </c:pt>
                  <c:pt idx="5">
                    <c:v>AUXILIAR</c:v>
                  </c:pt>
                  <c:pt idx="6">
                    <c:v>SUPERVISOR</c:v>
                  </c:pt>
                  <c:pt idx="7">
                    <c:v>TECNICO</c:v>
                  </c:pt>
                  <c:pt idx="8">
                    <c:v>ANALISTA</c:v>
                  </c:pt>
                  <c:pt idx="9">
                    <c:v>AUXILIAR</c:v>
                  </c:pt>
                  <c:pt idx="10">
                    <c:v>SUPERVISOR</c:v>
                  </c:pt>
                  <c:pt idx="11">
                    <c:v>TECNICO</c:v>
                  </c:pt>
                  <c:pt idx="12">
                    <c:v>COORDINADOR</c:v>
                  </c:pt>
                  <c:pt idx="13">
                    <c:v>ANALISTA</c:v>
                  </c:pt>
                  <c:pt idx="14">
                    <c:v>AUXILIAR</c:v>
                  </c:pt>
                  <c:pt idx="15">
                    <c:v>SUPERVISOR</c:v>
                  </c:pt>
                  <c:pt idx="16">
                    <c:v>TECNICO</c:v>
                  </c:pt>
                  <c:pt idx="17">
                    <c:v>COORDINADOR</c:v>
                  </c:pt>
                  <c:pt idx="18">
                    <c:v>ANALISTA</c:v>
                  </c:pt>
                  <c:pt idx="19">
                    <c:v>AUXILIAR</c:v>
                  </c:pt>
                  <c:pt idx="20">
                    <c:v>SUPERVISOR</c:v>
                  </c:pt>
                  <c:pt idx="21">
                    <c:v>TECNICO</c:v>
                  </c:pt>
                  <c:pt idx="22">
                    <c:v>COORDINADOR</c:v>
                  </c:pt>
                  <c:pt idx="23">
                    <c:v>SUPERVISOR DE IMPLEMENTACION PI</c:v>
                  </c:pt>
                  <c:pt idx="24">
                    <c:v>ANALISTA</c:v>
                  </c:pt>
                  <c:pt idx="25">
                    <c:v>AUXILIAR</c:v>
                  </c:pt>
                  <c:pt idx="26">
                    <c:v>SUPERVISOR</c:v>
                  </c:pt>
                  <c:pt idx="27">
                    <c:v>TECNICO</c:v>
                  </c:pt>
                  <c:pt idx="28">
                    <c:v>COORDINADOR</c:v>
                  </c:pt>
                  <c:pt idx="29">
                    <c:v>ANALISTA</c:v>
                  </c:pt>
                  <c:pt idx="30">
                    <c:v>AUXILIAR</c:v>
                  </c:pt>
                  <c:pt idx="31">
                    <c:v>SUPERVISOR</c:v>
                  </c:pt>
                  <c:pt idx="32">
                    <c:v>TECNICO</c:v>
                  </c:pt>
                  <c:pt idx="33">
                    <c:v>COORDINADOR</c:v>
                  </c:pt>
                  <c:pt idx="34">
                    <c:v>ANALISTA</c:v>
                  </c:pt>
                  <c:pt idx="35">
                    <c:v>AUXILIAR</c:v>
                  </c:pt>
                  <c:pt idx="36">
                    <c:v>SUPERVISOR</c:v>
                  </c:pt>
                  <c:pt idx="37">
                    <c:v>TECNICO</c:v>
                  </c:pt>
                  <c:pt idx="38">
                    <c:v>COORDINADOR</c:v>
                  </c:pt>
                  <c:pt idx="39">
                    <c:v>AUXILIAR</c:v>
                  </c:pt>
                  <c:pt idx="40">
                    <c:v>TECNICO</c:v>
                  </c:pt>
                  <c:pt idx="41">
                    <c:v>ANALISTA</c:v>
                  </c:pt>
                  <c:pt idx="42">
                    <c:v>AUXILIAR</c:v>
                  </c:pt>
                  <c:pt idx="43">
                    <c:v>SUPERVISOR</c:v>
                  </c:pt>
                  <c:pt idx="44">
                    <c:v>TECNICO</c:v>
                  </c:pt>
                  <c:pt idx="45">
                    <c:v>COORDINADOR</c:v>
                  </c:pt>
                  <c:pt idx="46">
                    <c:v>ANALISTA</c:v>
                  </c:pt>
                  <c:pt idx="47">
                    <c:v>AUXILIAR</c:v>
                  </c:pt>
                  <c:pt idx="48">
                    <c:v>SUPERVISOR</c:v>
                  </c:pt>
                  <c:pt idx="49">
                    <c:v>TECNICO</c:v>
                  </c:pt>
                  <c:pt idx="50">
                    <c:v>COORDINADOR</c:v>
                  </c:pt>
                  <c:pt idx="51">
                    <c:v>ANALISTA</c:v>
                  </c:pt>
                  <c:pt idx="52">
                    <c:v>AUXILIAR</c:v>
                  </c:pt>
                  <c:pt idx="53">
                    <c:v>SUPERVISOR</c:v>
                  </c:pt>
                  <c:pt idx="54">
                    <c:v>TECNICO</c:v>
                  </c:pt>
                  <c:pt idx="55">
                    <c:v>COORDINADOR</c:v>
                  </c:pt>
                  <c:pt idx="56">
                    <c:v>AUXILIAR</c:v>
                  </c:pt>
                  <c:pt idx="57">
                    <c:v>TECNICO</c:v>
                  </c:pt>
                  <c:pt idx="58">
                    <c:v>AUXILIAR</c:v>
                  </c:pt>
                  <c:pt idx="59">
                    <c:v>SUPERVISOR</c:v>
                  </c:pt>
                  <c:pt idx="60">
                    <c:v>TECNICO</c:v>
                  </c:pt>
                </c:lvl>
                <c:lvl>
                  <c:pt idx="0">
                    <c:v>ANZOATEGUI</c:v>
                  </c:pt>
                  <c:pt idx="5">
                    <c:v>APURE</c:v>
                  </c:pt>
                  <c:pt idx="8">
                    <c:v>BARINAS</c:v>
                  </c:pt>
                  <c:pt idx="13">
                    <c:v>CARABOBO</c:v>
                  </c:pt>
                  <c:pt idx="18">
                    <c:v>CARACAS</c:v>
                  </c:pt>
                  <c:pt idx="24">
                    <c:v>COJEDES</c:v>
                  </c:pt>
                  <c:pt idx="29">
                    <c:v>GUARICO</c:v>
                  </c:pt>
                  <c:pt idx="34">
                    <c:v>LARA</c:v>
                  </c:pt>
                  <c:pt idx="39">
                    <c:v>MONAGAS</c:v>
                  </c:pt>
                  <c:pt idx="41">
                    <c:v>NUEVA ESPARTA</c:v>
                  </c:pt>
                  <c:pt idx="46">
                    <c:v>SUCRE</c:v>
                  </c:pt>
                  <c:pt idx="51">
                    <c:v>CARABOBO / PTO. CABELLO</c:v>
                  </c:pt>
                  <c:pt idx="56">
                    <c:v>LA GUAIRA</c:v>
                  </c:pt>
                  <c:pt idx="58">
                    <c:v>MIRANDA</c:v>
                  </c:pt>
                </c:lvl>
              </c:multiLvlStrCache>
            </c:multiLvlStrRef>
          </c:cat>
          <c:val>
            <c:numRef>
              <c:f>'No Certificados x Dpto.'!$F$5:$F$80</c:f>
              <c:numCache>
                <c:formatCode>General</c:formatCode>
                <c:ptCount val="61"/>
              </c:numCache>
            </c:numRef>
          </c:val>
          <c:extLst>
            <c:ext xmlns:c16="http://schemas.microsoft.com/office/drawing/2014/chart" uri="{C3380CC4-5D6E-409C-BE32-E72D297353CC}">
              <c16:uniqueId val="{0000020E-8459-4818-BA1A-9ECEF7653243}"/>
            </c:ext>
          </c:extLst>
        </c:ser>
        <c:ser>
          <c:idx val="5"/>
          <c:order val="5"/>
          <c:tx>
            <c:strRef>
              <c:f>'No Certificados x Dpto.'!$G$3:$G$4</c:f>
              <c:strCache>
                <c:ptCount val="1"/>
                <c:pt idx="0">
                  <c:v>O&amp;M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1D-649F-4D52-BF3F-17E29A68487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1F-649F-4D52-BF3F-17E29A68487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21-649F-4D52-BF3F-17E29A68487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23-649F-4D52-BF3F-17E29A68487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25-649F-4D52-BF3F-17E29A68487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27-649F-4D52-BF3F-17E29A68487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29-649F-4D52-BF3F-17E29A68487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2B-649F-4D52-BF3F-17E29A68487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2D-649F-4D52-BF3F-17E29A68487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2F-649F-4D52-BF3F-17E29A684876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31-649F-4D52-BF3F-17E29A684876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33-649F-4D52-BF3F-17E29A684876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35-649F-4D52-BF3F-17E29A684876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37-649F-4D52-BF3F-17E29A684876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39-649F-4D52-BF3F-17E29A684876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3B-649F-4D52-BF3F-17E29A684876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3D-649F-4D52-BF3F-17E29A684876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3F-649F-4D52-BF3F-17E29A684876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41-649F-4D52-BF3F-17E29A684876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43-649F-4D52-BF3F-17E29A684876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45-649F-4D52-BF3F-17E29A684876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47-649F-4D52-BF3F-17E29A684876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49-649F-4D52-BF3F-17E29A684876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4B-649F-4D52-BF3F-17E29A684876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4D-649F-4D52-BF3F-17E29A684876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4F-649F-4D52-BF3F-17E29A684876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51-649F-4D52-BF3F-17E29A684876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53-649F-4D52-BF3F-17E29A684876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55-649F-4D52-BF3F-17E29A684876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57-649F-4D52-BF3F-17E29A684876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59-649F-4D52-BF3F-17E29A684876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5B-649F-4D52-BF3F-17E29A684876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5D-649F-4D52-BF3F-17E29A684876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5F-649F-4D52-BF3F-17E29A684876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61-649F-4D52-BF3F-17E29A684876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63-649F-4D52-BF3F-17E29A684876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65-649F-4D52-BF3F-17E29A684876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67-649F-4D52-BF3F-17E29A684876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69-649F-4D52-BF3F-17E29A684876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6B-649F-4D52-BF3F-17E29A684876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6D-649F-4D52-BF3F-17E29A684876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6F-649F-4D52-BF3F-17E29A684876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71-649F-4D52-BF3F-17E29A684876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73-649F-4D52-BF3F-17E29A684876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75-649F-4D52-BF3F-17E29A684876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77-649F-4D52-BF3F-17E29A684876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79-649F-4D52-BF3F-17E29A684876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7B-649F-4D52-BF3F-17E29A684876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7D-649F-4D52-BF3F-17E29A684876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7F-649F-4D52-BF3F-17E29A684876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81-649F-4D52-BF3F-17E29A684876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83-649F-4D52-BF3F-17E29A684876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85-649F-4D52-BF3F-17E29A684876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87-649F-4D52-BF3F-17E29A684876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CF-40FE-4618-BBF0-4E4B31DC6205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D1-40FE-4618-BBF0-4E4B31DC6205}"/>
              </c:ext>
            </c:extLst>
          </c:dPt>
          <c:dPt>
            <c:idx val="56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D3-40FE-4618-BBF0-4E4B31DC6205}"/>
              </c:ext>
            </c:extLst>
          </c:dPt>
          <c:dPt>
            <c:idx val="57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D5-40FE-4618-BBF0-4E4B31DC6205}"/>
              </c:ext>
            </c:extLst>
          </c:dPt>
          <c:dPt>
            <c:idx val="58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D7-40FE-4618-BBF0-4E4B31DC6205}"/>
              </c:ext>
            </c:extLst>
          </c:dPt>
          <c:dPt>
            <c:idx val="59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D9-40FE-4618-BBF0-4E4B31DC6205}"/>
              </c:ext>
            </c:extLst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DB-40FE-4618-BBF0-4E4B31DC6205}"/>
              </c:ext>
            </c:extLst>
          </c:dPt>
          <c:dLbls>
            <c:delete val="1"/>
          </c:dLbls>
          <c:cat>
            <c:multiLvlStrRef>
              <c:f>'No Certificados x Dpto.'!$A$5:$A$80</c:f>
              <c:multiLvlStrCache>
                <c:ptCount val="61"/>
                <c:lvl>
                  <c:pt idx="0">
                    <c:v>ANALISTA</c:v>
                  </c:pt>
                  <c:pt idx="1">
                    <c:v>AUXILIAR</c:v>
                  </c:pt>
                  <c:pt idx="2">
                    <c:v>SUPERVISOR</c:v>
                  </c:pt>
                  <c:pt idx="3">
                    <c:v>TECNICO</c:v>
                  </c:pt>
                  <c:pt idx="4">
                    <c:v>COORDINADOR</c:v>
                  </c:pt>
                  <c:pt idx="5">
                    <c:v>AUXILIAR</c:v>
                  </c:pt>
                  <c:pt idx="6">
                    <c:v>SUPERVISOR</c:v>
                  </c:pt>
                  <c:pt idx="7">
                    <c:v>TECNICO</c:v>
                  </c:pt>
                  <c:pt idx="8">
                    <c:v>ANALISTA</c:v>
                  </c:pt>
                  <c:pt idx="9">
                    <c:v>AUXILIAR</c:v>
                  </c:pt>
                  <c:pt idx="10">
                    <c:v>SUPERVISOR</c:v>
                  </c:pt>
                  <c:pt idx="11">
                    <c:v>TECNICO</c:v>
                  </c:pt>
                  <c:pt idx="12">
                    <c:v>COORDINADOR</c:v>
                  </c:pt>
                  <c:pt idx="13">
                    <c:v>ANALISTA</c:v>
                  </c:pt>
                  <c:pt idx="14">
                    <c:v>AUXILIAR</c:v>
                  </c:pt>
                  <c:pt idx="15">
                    <c:v>SUPERVISOR</c:v>
                  </c:pt>
                  <c:pt idx="16">
                    <c:v>TECNICO</c:v>
                  </c:pt>
                  <c:pt idx="17">
                    <c:v>COORDINADOR</c:v>
                  </c:pt>
                  <c:pt idx="18">
                    <c:v>ANALISTA</c:v>
                  </c:pt>
                  <c:pt idx="19">
                    <c:v>AUXILIAR</c:v>
                  </c:pt>
                  <c:pt idx="20">
                    <c:v>SUPERVISOR</c:v>
                  </c:pt>
                  <c:pt idx="21">
                    <c:v>TECNICO</c:v>
                  </c:pt>
                  <c:pt idx="22">
                    <c:v>COORDINADOR</c:v>
                  </c:pt>
                  <c:pt idx="23">
                    <c:v>SUPERVISOR DE IMPLEMENTACION PI</c:v>
                  </c:pt>
                  <c:pt idx="24">
                    <c:v>ANALISTA</c:v>
                  </c:pt>
                  <c:pt idx="25">
                    <c:v>AUXILIAR</c:v>
                  </c:pt>
                  <c:pt idx="26">
                    <c:v>SUPERVISOR</c:v>
                  </c:pt>
                  <c:pt idx="27">
                    <c:v>TECNICO</c:v>
                  </c:pt>
                  <c:pt idx="28">
                    <c:v>COORDINADOR</c:v>
                  </c:pt>
                  <c:pt idx="29">
                    <c:v>ANALISTA</c:v>
                  </c:pt>
                  <c:pt idx="30">
                    <c:v>AUXILIAR</c:v>
                  </c:pt>
                  <c:pt idx="31">
                    <c:v>SUPERVISOR</c:v>
                  </c:pt>
                  <c:pt idx="32">
                    <c:v>TECNICO</c:v>
                  </c:pt>
                  <c:pt idx="33">
                    <c:v>COORDINADOR</c:v>
                  </c:pt>
                  <c:pt idx="34">
                    <c:v>ANALISTA</c:v>
                  </c:pt>
                  <c:pt idx="35">
                    <c:v>AUXILIAR</c:v>
                  </c:pt>
                  <c:pt idx="36">
                    <c:v>SUPERVISOR</c:v>
                  </c:pt>
                  <c:pt idx="37">
                    <c:v>TECNICO</c:v>
                  </c:pt>
                  <c:pt idx="38">
                    <c:v>COORDINADOR</c:v>
                  </c:pt>
                  <c:pt idx="39">
                    <c:v>AUXILIAR</c:v>
                  </c:pt>
                  <c:pt idx="40">
                    <c:v>TECNICO</c:v>
                  </c:pt>
                  <c:pt idx="41">
                    <c:v>ANALISTA</c:v>
                  </c:pt>
                  <c:pt idx="42">
                    <c:v>AUXILIAR</c:v>
                  </c:pt>
                  <c:pt idx="43">
                    <c:v>SUPERVISOR</c:v>
                  </c:pt>
                  <c:pt idx="44">
                    <c:v>TECNICO</c:v>
                  </c:pt>
                  <c:pt idx="45">
                    <c:v>COORDINADOR</c:v>
                  </c:pt>
                  <c:pt idx="46">
                    <c:v>ANALISTA</c:v>
                  </c:pt>
                  <c:pt idx="47">
                    <c:v>AUXILIAR</c:v>
                  </c:pt>
                  <c:pt idx="48">
                    <c:v>SUPERVISOR</c:v>
                  </c:pt>
                  <c:pt idx="49">
                    <c:v>TECNICO</c:v>
                  </c:pt>
                  <c:pt idx="50">
                    <c:v>COORDINADOR</c:v>
                  </c:pt>
                  <c:pt idx="51">
                    <c:v>ANALISTA</c:v>
                  </c:pt>
                  <c:pt idx="52">
                    <c:v>AUXILIAR</c:v>
                  </c:pt>
                  <c:pt idx="53">
                    <c:v>SUPERVISOR</c:v>
                  </c:pt>
                  <c:pt idx="54">
                    <c:v>TECNICO</c:v>
                  </c:pt>
                  <c:pt idx="55">
                    <c:v>COORDINADOR</c:v>
                  </c:pt>
                  <c:pt idx="56">
                    <c:v>AUXILIAR</c:v>
                  </c:pt>
                  <c:pt idx="57">
                    <c:v>TECNICO</c:v>
                  </c:pt>
                  <c:pt idx="58">
                    <c:v>AUXILIAR</c:v>
                  </c:pt>
                  <c:pt idx="59">
                    <c:v>SUPERVISOR</c:v>
                  </c:pt>
                  <c:pt idx="60">
                    <c:v>TECNICO</c:v>
                  </c:pt>
                </c:lvl>
                <c:lvl>
                  <c:pt idx="0">
                    <c:v>ANZOATEGUI</c:v>
                  </c:pt>
                  <c:pt idx="5">
                    <c:v>APURE</c:v>
                  </c:pt>
                  <c:pt idx="8">
                    <c:v>BARINAS</c:v>
                  </c:pt>
                  <c:pt idx="13">
                    <c:v>CARABOBO</c:v>
                  </c:pt>
                  <c:pt idx="18">
                    <c:v>CARACAS</c:v>
                  </c:pt>
                  <c:pt idx="24">
                    <c:v>COJEDES</c:v>
                  </c:pt>
                  <c:pt idx="29">
                    <c:v>GUARICO</c:v>
                  </c:pt>
                  <c:pt idx="34">
                    <c:v>LARA</c:v>
                  </c:pt>
                  <c:pt idx="39">
                    <c:v>MONAGAS</c:v>
                  </c:pt>
                  <c:pt idx="41">
                    <c:v>NUEVA ESPARTA</c:v>
                  </c:pt>
                  <c:pt idx="46">
                    <c:v>SUCRE</c:v>
                  </c:pt>
                  <c:pt idx="51">
                    <c:v>CARABOBO / PTO. CABELLO</c:v>
                  </c:pt>
                  <c:pt idx="56">
                    <c:v>LA GUAIRA</c:v>
                  </c:pt>
                  <c:pt idx="58">
                    <c:v>MIRANDA</c:v>
                  </c:pt>
                </c:lvl>
              </c:multiLvlStrCache>
            </c:multiLvlStrRef>
          </c:cat>
          <c:val>
            <c:numRef>
              <c:f>'No Certificados x Dpto.'!$G$5:$G$80</c:f>
              <c:numCache>
                <c:formatCode>General</c:formatCode>
                <c:ptCount val="61"/>
              </c:numCache>
            </c:numRef>
          </c:val>
          <c:extLst>
            <c:ext xmlns:c16="http://schemas.microsoft.com/office/drawing/2014/chart" uri="{C3380CC4-5D6E-409C-BE32-E72D297353CC}">
              <c16:uniqueId val="{0000020F-8459-4818-BA1A-9ECEF7653243}"/>
            </c:ext>
          </c:extLst>
        </c:ser>
        <c:ser>
          <c:idx val="6"/>
          <c:order val="6"/>
          <c:tx>
            <c:strRef>
              <c:f>'No Certificados x Dpto.'!$H$3:$H$4</c:f>
              <c:strCache>
                <c:ptCount val="1"/>
                <c:pt idx="0">
                  <c:v>EMPALME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DD-40FE-4618-BBF0-4E4B31DC620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DF-40FE-4618-BBF0-4E4B31DC620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E1-40FE-4618-BBF0-4E4B31DC620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E3-40FE-4618-BBF0-4E4B31DC620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E5-40FE-4618-BBF0-4E4B31DC620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E7-40FE-4618-BBF0-4E4B31DC620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E9-40FE-4618-BBF0-4E4B31DC620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EB-40FE-4618-BBF0-4E4B31DC620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ED-40FE-4618-BBF0-4E4B31DC620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EF-40FE-4618-BBF0-4E4B31DC620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F1-40FE-4618-BBF0-4E4B31DC620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F3-40FE-4618-BBF0-4E4B31DC6205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F5-40FE-4618-BBF0-4E4B31DC6205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F7-40FE-4618-BBF0-4E4B31DC6205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F9-40FE-4618-BBF0-4E4B31DC6205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FB-40FE-4618-BBF0-4E4B31DC6205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FD-40FE-4618-BBF0-4E4B31DC6205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2FF-40FE-4618-BBF0-4E4B31DC6205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01-40FE-4618-BBF0-4E4B31DC6205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03-40FE-4618-BBF0-4E4B31DC6205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05-40FE-4618-BBF0-4E4B31DC6205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07-40FE-4618-BBF0-4E4B31DC6205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09-40FE-4618-BBF0-4E4B31DC6205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0B-40FE-4618-BBF0-4E4B31DC6205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0D-40FE-4618-BBF0-4E4B31DC6205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0F-40FE-4618-BBF0-4E4B31DC6205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11-40FE-4618-BBF0-4E4B31DC6205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13-40FE-4618-BBF0-4E4B31DC6205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15-40FE-4618-BBF0-4E4B31DC6205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17-40FE-4618-BBF0-4E4B31DC6205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19-40FE-4618-BBF0-4E4B31DC6205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1B-40FE-4618-BBF0-4E4B31DC6205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1D-40FE-4618-BBF0-4E4B31DC6205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1F-40FE-4618-BBF0-4E4B31DC6205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21-40FE-4618-BBF0-4E4B31DC6205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23-40FE-4618-BBF0-4E4B31DC6205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25-40FE-4618-BBF0-4E4B31DC6205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27-40FE-4618-BBF0-4E4B31DC6205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29-40FE-4618-BBF0-4E4B31DC6205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2B-40FE-4618-BBF0-4E4B31DC6205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2D-40FE-4618-BBF0-4E4B31DC6205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2F-40FE-4618-BBF0-4E4B31DC6205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31-40FE-4618-BBF0-4E4B31DC6205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33-40FE-4618-BBF0-4E4B31DC6205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35-40FE-4618-BBF0-4E4B31DC6205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37-40FE-4618-BBF0-4E4B31DC6205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39-40FE-4618-BBF0-4E4B31DC6205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3B-40FE-4618-BBF0-4E4B31DC6205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3D-40FE-4618-BBF0-4E4B31DC6205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3F-40FE-4618-BBF0-4E4B31DC6205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41-40FE-4618-BBF0-4E4B31DC6205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43-40FE-4618-BBF0-4E4B31DC6205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45-40FE-4618-BBF0-4E4B31DC6205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47-40FE-4618-BBF0-4E4B31DC6205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49-40FE-4618-BBF0-4E4B31DC6205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4B-40FE-4618-BBF0-4E4B31DC6205}"/>
              </c:ext>
            </c:extLst>
          </c:dPt>
          <c:dPt>
            <c:idx val="56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4D-40FE-4618-BBF0-4E4B31DC6205}"/>
              </c:ext>
            </c:extLst>
          </c:dPt>
          <c:dPt>
            <c:idx val="57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4F-40FE-4618-BBF0-4E4B31DC6205}"/>
              </c:ext>
            </c:extLst>
          </c:dPt>
          <c:dPt>
            <c:idx val="58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51-40FE-4618-BBF0-4E4B31DC6205}"/>
              </c:ext>
            </c:extLst>
          </c:dPt>
          <c:dPt>
            <c:idx val="59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53-40FE-4618-BBF0-4E4B31DC6205}"/>
              </c:ext>
            </c:extLst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55-40FE-4618-BBF0-4E4B31DC6205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VE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'No Certificados x Dpto.'!$A$5:$A$80</c:f>
              <c:multiLvlStrCache>
                <c:ptCount val="61"/>
                <c:lvl>
                  <c:pt idx="0">
                    <c:v>ANALISTA</c:v>
                  </c:pt>
                  <c:pt idx="1">
                    <c:v>AUXILIAR</c:v>
                  </c:pt>
                  <c:pt idx="2">
                    <c:v>SUPERVISOR</c:v>
                  </c:pt>
                  <c:pt idx="3">
                    <c:v>TECNICO</c:v>
                  </c:pt>
                  <c:pt idx="4">
                    <c:v>COORDINADOR</c:v>
                  </c:pt>
                  <c:pt idx="5">
                    <c:v>AUXILIAR</c:v>
                  </c:pt>
                  <c:pt idx="6">
                    <c:v>SUPERVISOR</c:v>
                  </c:pt>
                  <c:pt idx="7">
                    <c:v>TECNICO</c:v>
                  </c:pt>
                  <c:pt idx="8">
                    <c:v>ANALISTA</c:v>
                  </c:pt>
                  <c:pt idx="9">
                    <c:v>AUXILIAR</c:v>
                  </c:pt>
                  <c:pt idx="10">
                    <c:v>SUPERVISOR</c:v>
                  </c:pt>
                  <c:pt idx="11">
                    <c:v>TECNICO</c:v>
                  </c:pt>
                  <c:pt idx="12">
                    <c:v>COORDINADOR</c:v>
                  </c:pt>
                  <c:pt idx="13">
                    <c:v>ANALISTA</c:v>
                  </c:pt>
                  <c:pt idx="14">
                    <c:v>AUXILIAR</c:v>
                  </c:pt>
                  <c:pt idx="15">
                    <c:v>SUPERVISOR</c:v>
                  </c:pt>
                  <c:pt idx="16">
                    <c:v>TECNICO</c:v>
                  </c:pt>
                  <c:pt idx="17">
                    <c:v>COORDINADOR</c:v>
                  </c:pt>
                  <c:pt idx="18">
                    <c:v>ANALISTA</c:v>
                  </c:pt>
                  <c:pt idx="19">
                    <c:v>AUXILIAR</c:v>
                  </c:pt>
                  <c:pt idx="20">
                    <c:v>SUPERVISOR</c:v>
                  </c:pt>
                  <c:pt idx="21">
                    <c:v>TECNICO</c:v>
                  </c:pt>
                  <c:pt idx="22">
                    <c:v>COORDINADOR</c:v>
                  </c:pt>
                  <c:pt idx="23">
                    <c:v>SUPERVISOR DE IMPLEMENTACION PI</c:v>
                  </c:pt>
                  <c:pt idx="24">
                    <c:v>ANALISTA</c:v>
                  </c:pt>
                  <c:pt idx="25">
                    <c:v>AUXILIAR</c:v>
                  </c:pt>
                  <c:pt idx="26">
                    <c:v>SUPERVISOR</c:v>
                  </c:pt>
                  <c:pt idx="27">
                    <c:v>TECNICO</c:v>
                  </c:pt>
                  <c:pt idx="28">
                    <c:v>COORDINADOR</c:v>
                  </c:pt>
                  <c:pt idx="29">
                    <c:v>ANALISTA</c:v>
                  </c:pt>
                  <c:pt idx="30">
                    <c:v>AUXILIAR</c:v>
                  </c:pt>
                  <c:pt idx="31">
                    <c:v>SUPERVISOR</c:v>
                  </c:pt>
                  <c:pt idx="32">
                    <c:v>TECNICO</c:v>
                  </c:pt>
                  <c:pt idx="33">
                    <c:v>COORDINADOR</c:v>
                  </c:pt>
                  <c:pt idx="34">
                    <c:v>ANALISTA</c:v>
                  </c:pt>
                  <c:pt idx="35">
                    <c:v>AUXILIAR</c:v>
                  </c:pt>
                  <c:pt idx="36">
                    <c:v>SUPERVISOR</c:v>
                  </c:pt>
                  <c:pt idx="37">
                    <c:v>TECNICO</c:v>
                  </c:pt>
                  <c:pt idx="38">
                    <c:v>COORDINADOR</c:v>
                  </c:pt>
                  <c:pt idx="39">
                    <c:v>AUXILIAR</c:v>
                  </c:pt>
                  <c:pt idx="40">
                    <c:v>TECNICO</c:v>
                  </c:pt>
                  <c:pt idx="41">
                    <c:v>ANALISTA</c:v>
                  </c:pt>
                  <c:pt idx="42">
                    <c:v>AUXILIAR</c:v>
                  </c:pt>
                  <c:pt idx="43">
                    <c:v>SUPERVISOR</c:v>
                  </c:pt>
                  <c:pt idx="44">
                    <c:v>TECNICO</c:v>
                  </c:pt>
                  <c:pt idx="45">
                    <c:v>COORDINADOR</c:v>
                  </c:pt>
                  <c:pt idx="46">
                    <c:v>ANALISTA</c:v>
                  </c:pt>
                  <c:pt idx="47">
                    <c:v>AUXILIAR</c:v>
                  </c:pt>
                  <c:pt idx="48">
                    <c:v>SUPERVISOR</c:v>
                  </c:pt>
                  <c:pt idx="49">
                    <c:v>TECNICO</c:v>
                  </c:pt>
                  <c:pt idx="50">
                    <c:v>COORDINADOR</c:v>
                  </c:pt>
                  <c:pt idx="51">
                    <c:v>ANALISTA</c:v>
                  </c:pt>
                  <c:pt idx="52">
                    <c:v>AUXILIAR</c:v>
                  </c:pt>
                  <c:pt idx="53">
                    <c:v>SUPERVISOR</c:v>
                  </c:pt>
                  <c:pt idx="54">
                    <c:v>TECNICO</c:v>
                  </c:pt>
                  <c:pt idx="55">
                    <c:v>COORDINADOR</c:v>
                  </c:pt>
                  <c:pt idx="56">
                    <c:v>AUXILIAR</c:v>
                  </c:pt>
                  <c:pt idx="57">
                    <c:v>TECNICO</c:v>
                  </c:pt>
                  <c:pt idx="58">
                    <c:v>AUXILIAR</c:v>
                  </c:pt>
                  <c:pt idx="59">
                    <c:v>SUPERVISOR</c:v>
                  </c:pt>
                  <c:pt idx="60">
                    <c:v>TECNICO</c:v>
                  </c:pt>
                </c:lvl>
                <c:lvl>
                  <c:pt idx="0">
                    <c:v>ANZOATEGUI</c:v>
                  </c:pt>
                  <c:pt idx="5">
                    <c:v>APURE</c:v>
                  </c:pt>
                  <c:pt idx="8">
                    <c:v>BARINAS</c:v>
                  </c:pt>
                  <c:pt idx="13">
                    <c:v>CARABOBO</c:v>
                  </c:pt>
                  <c:pt idx="18">
                    <c:v>CARACAS</c:v>
                  </c:pt>
                  <c:pt idx="24">
                    <c:v>COJEDES</c:v>
                  </c:pt>
                  <c:pt idx="29">
                    <c:v>GUARICO</c:v>
                  </c:pt>
                  <c:pt idx="34">
                    <c:v>LARA</c:v>
                  </c:pt>
                  <c:pt idx="39">
                    <c:v>MONAGAS</c:v>
                  </c:pt>
                  <c:pt idx="41">
                    <c:v>NUEVA ESPARTA</c:v>
                  </c:pt>
                  <c:pt idx="46">
                    <c:v>SUCRE</c:v>
                  </c:pt>
                  <c:pt idx="51">
                    <c:v>CARABOBO / PTO. CABELLO</c:v>
                  </c:pt>
                  <c:pt idx="56">
                    <c:v>LA GUAIRA</c:v>
                  </c:pt>
                  <c:pt idx="58">
                    <c:v>MIRANDA</c:v>
                  </c:pt>
                </c:lvl>
              </c:multiLvlStrCache>
            </c:multiLvlStrRef>
          </c:cat>
          <c:val>
            <c:numRef>
              <c:f>'No Certificados x Dpto.'!$H$5:$H$80</c:f>
              <c:numCache>
                <c:formatCode>General</c:formatCode>
                <c:ptCount val="61"/>
              </c:numCache>
            </c:numRef>
          </c:val>
          <c:extLst>
            <c:ext xmlns:c16="http://schemas.microsoft.com/office/drawing/2014/chart" uri="{C3380CC4-5D6E-409C-BE32-E72D297353CC}">
              <c16:uniqueId val="{0000028D-1B0F-4688-92D7-E37E492D3576}"/>
            </c:ext>
          </c:extLst>
        </c:ser>
        <c:ser>
          <c:idx val="7"/>
          <c:order val="7"/>
          <c:tx>
            <c:strRef>
              <c:f>'No Certificados x Dpto.'!$I$3:$I$4</c:f>
              <c:strCache>
                <c:ptCount val="1"/>
                <c:pt idx="0">
                  <c:v>PLANTA INTERNA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57-40FE-4618-BBF0-4E4B31DC620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59-40FE-4618-BBF0-4E4B31DC620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5B-40FE-4618-BBF0-4E4B31DC620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5D-40FE-4618-BBF0-4E4B31DC620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5F-40FE-4618-BBF0-4E4B31DC620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61-40FE-4618-BBF0-4E4B31DC620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63-40FE-4618-BBF0-4E4B31DC620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65-40FE-4618-BBF0-4E4B31DC620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67-40FE-4618-BBF0-4E4B31DC620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69-40FE-4618-BBF0-4E4B31DC620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6B-40FE-4618-BBF0-4E4B31DC620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6D-40FE-4618-BBF0-4E4B31DC6205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6F-40FE-4618-BBF0-4E4B31DC6205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71-40FE-4618-BBF0-4E4B31DC6205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73-40FE-4618-BBF0-4E4B31DC6205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75-40FE-4618-BBF0-4E4B31DC6205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77-40FE-4618-BBF0-4E4B31DC6205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79-40FE-4618-BBF0-4E4B31DC6205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7B-40FE-4618-BBF0-4E4B31DC6205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7D-40FE-4618-BBF0-4E4B31DC6205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7F-40FE-4618-BBF0-4E4B31DC6205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81-40FE-4618-BBF0-4E4B31DC6205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83-40FE-4618-BBF0-4E4B31DC6205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85-40FE-4618-BBF0-4E4B31DC6205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87-40FE-4618-BBF0-4E4B31DC6205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89-40FE-4618-BBF0-4E4B31DC6205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8B-40FE-4618-BBF0-4E4B31DC6205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8D-40FE-4618-BBF0-4E4B31DC6205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8F-40FE-4618-BBF0-4E4B31DC6205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91-40FE-4618-BBF0-4E4B31DC6205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93-40FE-4618-BBF0-4E4B31DC6205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95-40FE-4618-BBF0-4E4B31DC6205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97-40FE-4618-BBF0-4E4B31DC6205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99-40FE-4618-BBF0-4E4B31DC6205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9B-40FE-4618-BBF0-4E4B31DC6205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9D-40FE-4618-BBF0-4E4B31DC6205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9F-40FE-4618-BBF0-4E4B31DC6205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A1-40FE-4618-BBF0-4E4B31DC6205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A3-40FE-4618-BBF0-4E4B31DC6205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A5-40FE-4618-BBF0-4E4B31DC6205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A7-40FE-4618-BBF0-4E4B31DC6205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A9-40FE-4618-BBF0-4E4B31DC6205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AB-40FE-4618-BBF0-4E4B31DC6205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AD-40FE-4618-BBF0-4E4B31DC6205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AF-40FE-4618-BBF0-4E4B31DC6205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B1-40FE-4618-BBF0-4E4B31DC6205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B3-40FE-4618-BBF0-4E4B31DC6205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B5-40FE-4618-BBF0-4E4B31DC6205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B7-40FE-4618-BBF0-4E4B31DC6205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B9-40FE-4618-BBF0-4E4B31DC6205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BB-40FE-4618-BBF0-4E4B31DC6205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BD-40FE-4618-BBF0-4E4B31DC6205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BF-40FE-4618-BBF0-4E4B31DC6205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C1-40FE-4618-BBF0-4E4B31DC6205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C3-40FE-4618-BBF0-4E4B31DC6205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C5-40FE-4618-BBF0-4E4B31DC6205}"/>
              </c:ext>
            </c:extLst>
          </c:dPt>
          <c:dPt>
            <c:idx val="56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C7-40FE-4618-BBF0-4E4B31DC6205}"/>
              </c:ext>
            </c:extLst>
          </c:dPt>
          <c:dPt>
            <c:idx val="57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C9-40FE-4618-BBF0-4E4B31DC6205}"/>
              </c:ext>
            </c:extLst>
          </c:dPt>
          <c:dPt>
            <c:idx val="58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CB-40FE-4618-BBF0-4E4B31DC6205}"/>
              </c:ext>
            </c:extLst>
          </c:dPt>
          <c:dPt>
            <c:idx val="59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CD-40FE-4618-BBF0-4E4B31DC6205}"/>
              </c:ext>
            </c:extLst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CF-40FE-4618-BBF0-4E4B31DC6205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VE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'No Certificados x Dpto.'!$A$5:$A$80</c:f>
              <c:multiLvlStrCache>
                <c:ptCount val="61"/>
                <c:lvl>
                  <c:pt idx="0">
                    <c:v>ANALISTA</c:v>
                  </c:pt>
                  <c:pt idx="1">
                    <c:v>AUXILIAR</c:v>
                  </c:pt>
                  <c:pt idx="2">
                    <c:v>SUPERVISOR</c:v>
                  </c:pt>
                  <c:pt idx="3">
                    <c:v>TECNICO</c:v>
                  </c:pt>
                  <c:pt idx="4">
                    <c:v>COORDINADOR</c:v>
                  </c:pt>
                  <c:pt idx="5">
                    <c:v>AUXILIAR</c:v>
                  </c:pt>
                  <c:pt idx="6">
                    <c:v>SUPERVISOR</c:v>
                  </c:pt>
                  <c:pt idx="7">
                    <c:v>TECNICO</c:v>
                  </c:pt>
                  <c:pt idx="8">
                    <c:v>ANALISTA</c:v>
                  </c:pt>
                  <c:pt idx="9">
                    <c:v>AUXILIAR</c:v>
                  </c:pt>
                  <c:pt idx="10">
                    <c:v>SUPERVISOR</c:v>
                  </c:pt>
                  <c:pt idx="11">
                    <c:v>TECNICO</c:v>
                  </c:pt>
                  <c:pt idx="12">
                    <c:v>COORDINADOR</c:v>
                  </c:pt>
                  <c:pt idx="13">
                    <c:v>ANALISTA</c:v>
                  </c:pt>
                  <c:pt idx="14">
                    <c:v>AUXILIAR</c:v>
                  </c:pt>
                  <c:pt idx="15">
                    <c:v>SUPERVISOR</c:v>
                  </c:pt>
                  <c:pt idx="16">
                    <c:v>TECNICO</c:v>
                  </c:pt>
                  <c:pt idx="17">
                    <c:v>COORDINADOR</c:v>
                  </c:pt>
                  <c:pt idx="18">
                    <c:v>ANALISTA</c:v>
                  </c:pt>
                  <c:pt idx="19">
                    <c:v>AUXILIAR</c:v>
                  </c:pt>
                  <c:pt idx="20">
                    <c:v>SUPERVISOR</c:v>
                  </c:pt>
                  <c:pt idx="21">
                    <c:v>TECNICO</c:v>
                  </c:pt>
                  <c:pt idx="22">
                    <c:v>COORDINADOR</c:v>
                  </c:pt>
                  <c:pt idx="23">
                    <c:v>SUPERVISOR DE IMPLEMENTACION PI</c:v>
                  </c:pt>
                  <c:pt idx="24">
                    <c:v>ANALISTA</c:v>
                  </c:pt>
                  <c:pt idx="25">
                    <c:v>AUXILIAR</c:v>
                  </c:pt>
                  <c:pt idx="26">
                    <c:v>SUPERVISOR</c:v>
                  </c:pt>
                  <c:pt idx="27">
                    <c:v>TECNICO</c:v>
                  </c:pt>
                  <c:pt idx="28">
                    <c:v>COORDINADOR</c:v>
                  </c:pt>
                  <c:pt idx="29">
                    <c:v>ANALISTA</c:v>
                  </c:pt>
                  <c:pt idx="30">
                    <c:v>AUXILIAR</c:v>
                  </c:pt>
                  <c:pt idx="31">
                    <c:v>SUPERVISOR</c:v>
                  </c:pt>
                  <c:pt idx="32">
                    <c:v>TECNICO</c:v>
                  </c:pt>
                  <c:pt idx="33">
                    <c:v>COORDINADOR</c:v>
                  </c:pt>
                  <c:pt idx="34">
                    <c:v>ANALISTA</c:v>
                  </c:pt>
                  <c:pt idx="35">
                    <c:v>AUXILIAR</c:v>
                  </c:pt>
                  <c:pt idx="36">
                    <c:v>SUPERVISOR</c:v>
                  </c:pt>
                  <c:pt idx="37">
                    <c:v>TECNICO</c:v>
                  </c:pt>
                  <c:pt idx="38">
                    <c:v>COORDINADOR</c:v>
                  </c:pt>
                  <c:pt idx="39">
                    <c:v>AUXILIAR</c:v>
                  </c:pt>
                  <c:pt idx="40">
                    <c:v>TECNICO</c:v>
                  </c:pt>
                  <c:pt idx="41">
                    <c:v>ANALISTA</c:v>
                  </c:pt>
                  <c:pt idx="42">
                    <c:v>AUXILIAR</c:v>
                  </c:pt>
                  <c:pt idx="43">
                    <c:v>SUPERVISOR</c:v>
                  </c:pt>
                  <c:pt idx="44">
                    <c:v>TECNICO</c:v>
                  </c:pt>
                  <c:pt idx="45">
                    <c:v>COORDINADOR</c:v>
                  </c:pt>
                  <c:pt idx="46">
                    <c:v>ANALISTA</c:v>
                  </c:pt>
                  <c:pt idx="47">
                    <c:v>AUXILIAR</c:v>
                  </c:pt>
                  <c:pt idx="48">
                    <c:v>SUPERVISOR</c:v>
                  </c:pt>
                  <c:pt idx="49">
                    <c:v>TECNICO</c:v>
                  </c:pt>
                  <c:pt idx="50">
                    <c:v>COORDINADOR</c:v>
                  </c:pt>
                  <c:pt idx="51">
                    <c:v>ANALISTA</c:v>
                  </c:pt>
                  <c:pt idx="52">
                    <c:v>AUXILIAR</c:v>
                  </c:pt>
                  <c:pt idx="53">
                    <c:v>SUPERVISOR</c:v>
                  </c:pt>
                  <c:pt idx="54">
                    <c:v>TECNICO</c:v>
                  </c:pt>
                  <c:pt idx="55">
                    <c:v>COORDINADOR</c:v>
                  </c:pt>
                  <c:pt idx="56">
                    <c:v>AUXILIAR</c:v>
                  </c:pt>
                  <c:pt idx="57">
                    <c:v>TECNICO</c:v>
                  </c:pt>
                  <c:pt idx="58">
                    <c:v>AUXILIAR</c:v>
                  </c:pt>
                  <c:pt idx="59">
                    <c:v>SUPERVISOR</c:v>
                  </c:pt>
                  <c:pt idx="60">
                    <c:v>TECNICO</c:v>
                  </c:pt>
                </c:lvl>
                <c:lvl>
                  <c:pt idx="0">
                    <c:v>ANZOATEGUI</c:v>
                  </c:pt>
                  <c:pt idx="5">
                    <c:v>APURE</c:v>
                  </c:pt>
                  <c:pt idx="8">
                    <c:v>BARINAS</c:v>
                  </c:pt>
                  <c:pt idx="13">
                    <c:v>CARABOBO</c:v>
                  </c:pt>
                  <c:pt idx="18">
                    <c:v>CARACAS</c:v>
                  </c:pt>
                  <c:pt idx="24">
                    <c:v>COJEDES</c:v>
                  </c:pt>
                  <c:pt idx="29">
                    <c:v>GUARICO</c:v>
                  </c:pt>
                  <c:pt idx="34">
                    <c:v>LARA</c:v>
                  </c:pt>
                  <c:pt idx="39">
                    <c:v>MONAGAS</c:v>
                  </c:pt>
                  <c:pt idx="41">
                    <c:v>NUEVA ESPARTA</c:v>
                  </c:pt>
                  <c:pt idx="46">
                    <c:v>SUCRE</c:v>
                  </c:pt>
                  <c:pt idx="51">
                    <c:v>CARABOBO / PTO. CABELLO</c:v>
                  </c:pt>
                  <c:pt idx="56">
                    <c:v>LA GUAIRA</c:v>
                  </c:pt>
                  <c:pt idx="58">
                    <c:v>MIRANDA</c:v>
                  </c:pt>
                </c:lvl>
              </c:multiLvlStrCache>
            </c:multiLvlStrRef>
          </c:cat>
          <c:val>
            <c:numRef>
              <c:f>'No Certificados x Dpto.'!$I$5:$I$80</c:f>
              <c:numCache>
                <c:formatCode>General</c:formatCode>
                <c:ptCount val="61"/>
              </c:numCache>
            </c:numRef>
          </c:val>
          <c:extLst>
            <c:ext xmlns:c16="http://schemas.microsoft.com/office/drawing/2014/chart" uri="{C3380CC4-5D6E-409C-BE32-E72D297353CC}">
              <c16:uniqueId val="{0000028E-1B0F-4688-92D7-E37E492D3576}"/>
            </c:ext>
          </c:extLst>
        </c:ser>
        <c:ser>
          <c:idx val="8"/>
          <c:order val="8"/>
          <c:tx>
            <c:strRef>
              <c:f>'No Certificados x Dpto.'!$J$3:$J$4</c:f>
              <c:strCache>
                <c:ptCount val="1"/>
                <c:pt idx="0">
                  <c:v>PLANTA EXTERNA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D1-40FE-4618-BBF0-4E4B31DC620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D3-40FE-4618-BBF0-4E4B31DC620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D5-40FE-4618-BBF0-4E4B31DC620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D7-40FE-4618-BBF0-4E4B31DC620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D9-40FE-4618-BBF0-4E4B31DC620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DB-40FE-4618-BBF0-4E4B31DC620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DD-40FE-4618-BBF0-4E4B31DC620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DF-40FE-4618-BBF0-4E4B31DC620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E1-40FE-4618-BBF0-4E4B31DC620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E3-40FE-4618-BBF0-4E4B31DC620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E5-40FE-4618-BBF0-4E4B31DC620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E7-40FE-4618-BBF0-4E4B31DC6205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E9-40FE-4618-BBF0-4E4B31DC6205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EB-40FE-4618-BBF0-4E4B31DC6205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ED-40FE-4618-BBF0-4E4B31DC6205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EF-40FE-4618-BBF0-4E4B31DC6205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F1-40FE-4618-BBF0-4E4B31DC6205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F3-40FE-4618-BBF0-4E4B31DC6205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F5-40FE-4618-BBF0-4E4B31DC6205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F7-40FE-4618-BBF0-4E4B31DC6205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F9-40FE-4618-BBF0-4E4B31DC6205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FB-40FE-4618-BBF0-4E4B31DC6205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FD-40FE-4618-BBF0-4E4B31DC6205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3FF-40FE-4618-BBF0-4E4B31DC6205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401-40FE-4618-BBF0-4E4B31DC6205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403-40FE-4618-BBF0-4E4B31DC6205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405-40FE-4618-BBF0-4E4B31DC6205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407-40FE-4618-BBF0-4E4B31DC6205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409-40FE-4618-BBF0-4E4B31DC6205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40B-40FE-4618-BBF0-4E4B31DC6205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40D-40FE-4618-BBF0-4E4B31DC6205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40F-40FE-4618-BBF0-4E4B31DC6205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411-40FE-4618-BBF0-4E4B31DC6205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413-40FE-4618-BBF0-4E4B31DC6205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415-40FE-4618-BBF0-4E4B31DC6205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417-40FE-4618-BBF0-4E4B31DC6205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419-40FE-4618-BBF0-4E4B31DC6205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41B-40FE-4618-BBF0-4E4B31DC6205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41D-40FE-4618-BBF0-4E4B31DC6205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41F-40FE-4618-BBF0-4E4B31DC6205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421-40FE-4618-BBF0-4E4B31DC6205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423-40FE-4618-BBF0-4E4B31DC6205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425-40FE-4618-BBF0-4E4B31DC6205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427-40FE-4618-BBF0-4E4B31DC6205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429-40FE-4618-BBF0-4E4B31DC6205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42B-40FE-4618-BBF0-4E4B31DC6205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42D-40FE-4618-BBF0-4E4B31DC6205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42F-40FE-4618-BBF0-4E4B31DC6205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431-40FE-4618-BBF0-4E4B31DC6205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433-40FE-4618-BBF0-4E4B31DC6205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435-40FE-4618-BBF0-4E4B31DC6205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437-40FE-4618-BBF0-4E4B31DC6205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439-40FE-4618-BBF0-4E4B31DC6205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43B-40FE-4618-BBF0-4E4B31DC6205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43D-40FE-4618-BBF0-4E4B31DC6205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43F-40FE-4618-BBF0-4E4B31DC6205}"/>
              </c:ext>
            </c:extLst>
          </c:dPt>
          <c:dPt>
            <c:idx val="56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441-40FE-4618-BBF0-4E4B31DC6205}"/>
              </c:ext>
            </c:extLst>
          </c:dPt>
          <c:dPt>
            <c:idx val="57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443-40FE-4618-BBF0-4E4B31DC6205}"/>
              </c:ext>
            </c:extLst>
          </c:dPt>
          <c:dPt>
            <c:idx val="58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445-40FE-4618-BBF0-4E4B31DC6205}"/>
              </c:ext>
            </c:extLst>
          </c:dPt>
          <c:dPt>
            <c:idx val="59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447-40FE-4618-BBF0-4E4B31DC6205}"/>
              </c:ext>
            </c:extLst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449-40FE-4618-BBF0-4E4B31DC6205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VE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'No Certificados x Dpto.'!$A$5:$A$80</c:f>
              <c:multiLvlStrCache>
                <c:ptCount val="61"/>
                <c:lvl>
                  <c:pt idx="0">
                    <c:v>ANALISTA</c:v>
                  </c:pt>
                  <c:pt idx="1">
                    <c:v>AUXILIAR</c:v>
                  </c:pt>
                  <c:pt idx="2">
                    <c:v>SUPERVISOR</c:v>
                  </c:pt>
                  <c:pt idx="3">
                    <c:v>TECNICO</c:v>
                  </c:pt>
                  <c:pt idx="4">
                    <c:v>COORDINADOR</c:v>
                  </c:pt>
                  <c:pt idx="5">
                    <c:v>AUXILIAR</c:v>
                  </c:pt>
                  <c:pt idx="6">
                    <c:v>SUPERVISOR</c:v>
                  </c:pt>
                  <c:pt idx="7">
                    <c:v>TECNICO</c:v>
                  </c:pt>
                  <c:pt idx="8">
                    <c:v>ANALISTA</c:v>
                  </c:pt>
                  <c:pt idx="9">
                    <c:v>AUXILIAR</c:v>
                  </c:pt>
                  <c:pt idx="10">
                    <c:v>SUPERVISOR</c:v>
                  </c:pt>
                  <c:pt idx="11">
                    <c:v>TECNICO</c:v>
                  </c:pt>
                  <c:pt idx="12">
                    <c:v>COORDINADOR</c:v>
                  </c:pt>
                  <c:pt idx="13">
                    <c:v>ANALISTA</c:v>
                  </c:pt>
                  <c:pt idx="14">
                    <c:v>AUXILIAR</c:v>
                  </c:pt>
                  <c:pt idx="15">
                    <c:v>SUPERVISOR</c:v>
                  </c:pt>
                  <c:pt idx="16">
                    <c:v>TECNICO</c:v>
                  </c:pt>
                  <c:pt idx="17">
                    <c:v>COORDINADOR</c:v>
                  </c:pt>
                  <c:pt idx="18">
                    <c:v>ANALISTA</c:v>
                  </c:pt>
                  <c:pt idx="19">
                    <c:v>AUXILIAR</c:v>
                  </c:pt>
                  <c:pt idx="20">
                    <c:v>SUPERVISOR</c:v>
                  </c:pt>
                  <c:pt idx="21">
                    <c:v>TECNICO</c:v>
                  </c:pt>
                  <c:pt idx="22">
                    <c:v>COORDINADOR</c:v>
                  </c:pt>
                  <c:pt idx="23">
                    <c:v>SUPERVISOR DE IMPLEMENTACION PI</c:v>
                  </c:pt>
                  <c:pt idx="24">
                    <c:v>ANALISTA</c:v>
                  </c:pt>
                  <c:pt idx="25">
                    <c:v>AUXILIAR</c:v>
                  </c:pt>
                  <c:pt idx="26">
                    <c:v>SUPERVISOR</c:v>
                  </c:pt>
                  <c:pt idx="27">
                    <c:v>TECNICO</c:v>
                  </c:pt>
                  <c:pt idx="28">
                    <c:v>COORDINADOR</c:v>
                  </c:pt>
                  <c:pt idx="29">
                    <c:v>ANALISTA</c:v>
                  </c:pt>
                  <c:pt idx="30">
                    <c:v>AUXILIAR</c:v>
                  </c:pt>
                  <c:pt idx="31">
                    <c:v>SUPERVISOR</c:v>
                  </c:pt>
                  <c:pt idx="32">
                    <c:v>TECNICO</c:v>
                  </c:pt>
                  <c:pt idx="33">
                    <c:v>COORDINADOR</c:v>
                  </c:pt>
                  <c:pt idx="34">
                    <c:v>ANALISTA</c:v>
                  </c:pt>
                  <c:pt idx="35">
                    <c:v>AUXILIAR</c:v>
                  </c:pt>
                  <c:pt idx="36">
                    <c:v>SUPERVISOR</c:v>
                  </c:pt>
                  <c:pt idx="37">
                    <c:v>TECNICO</c:v>
                  </c:pt>
                  <c:pt idx="38">
                    <c:v>COORDINADOR</c:v>
                  </c:pt>
                  <c:pt idx="39">
                    <c:v>AUXILIAR</c:v>
                  </c:pt>
                  <c:pt idx="40">
                    <c:v>TECNICO</c:v>
                  </c:pt>
                  <c:pt idx="41">
                    <c:v>ANALISTA</c:v>
                  </c:pt>
                  <c:pt idx="42">
                    <c:v>AUXILIAR</c:v>
                  </c:pt>
                  <c:pt idx="43">
                    <c:v>SUPERVISOR</c:v>
                  </c:pt>
                  <c:pt idx="44">
                    <c:v>TECNICO</c:v>
                  </c:pt>
                  <c:pt idx="45">
                    <c:v>COORDINADOR</c:v>
                  </c:pt>
                  <c:pt idx="46">
                    <c:v>ANALISTA</c:v>
                  </c:pt>
                  <c:pt idx="47">
                    <c:v>AUXILIAR</c:v>
                  </c:pt>
                  <c:pt idx="48">
                    <c:v>SUPERVISOR</c:v>
                  </c:pt>
                  <c:pt idx="49">
                    <c:v>TECNICO</c:v>
                  </c:pt>
                  <c:pt idx="50">
                    <c:v>COORDINADOR</c:v>
                  </c:pt>
                  <c:pt idx="51">
                    <c:v>ANALISTA</c:v>
                  </c:pt>
                  <c:pt idx="52">
                    <c:v>AUXILIAR</c:v>
                  </c:pt>
                  <c:pt idx="53">
                    <c:v>SUPERVISOR</c:v>
                  </c:pt>
                  <c:pt idx="54">
                    <c:v>TECNICO</c:v>
                  </c:pt>
                  <c:pt idx="55">
                    <c:v>COORDINADOR</c:v>
                  </c:pt>
                  <c:pt idx="56">
                    <c:v>AUXILIAR</c:v>
                  </c:pt>
                  <c:pt idx="57">
                    <c:v>TECNICO</c:v>
                  </c:pt>
                  <c:pt idx="58">
                    <c:v>AUXILIAR</c:v>
                  </c:pt>
                  <c:pt idx="59">
                    <c:v>SUPERVISOR</c:v>
                  </c:pt>
                  <c:pt idx="60">
                    <c:v>TECNICO</c:v>
                  </c:pt>
                </c:lvl>
                <c:lvl>
                  <c:pt idx="0">
                    <c:v>ANZOATEGUI</c:v>
                  </c:pt>
                  <c:pt idx="5">
                    <c:v>APURE</c:v>
                  </c:pt>
                  <c:pt idx="8">
                    <c:v>BARINAS</c:v>
                  </c:pt>
                  <c:pt idx="13">
                    <c:v>CARABOBO</c:v>
                  </c:pt>
                  <c:pt idx="18">
                    <c:v>CARACAS</c:v>
                  </c:pt>
                  <c:pt idx="24">
                    <c:v>COJEDES</c:v>
                  </c:pt>
                  <c:pt idx="29">
                    <c:v>GUARICO</c:v>
                  </c:pt>
                  <c:pt idx="34">
                    <c:v>LARA</c:v>
                  </c:pt>
                  <c:pt idx="39">
                    <c:v>MONAGAS</c:v>
                  </c:pt>
                  <c:pt idx="41">
                    <c:v>NUEVA ESPARTA</c:v>
                  </c:pt>
                  <c:pt idx="46">
                    <c:v>SUCRE</c:v>
                  </c:pt>
                  <c:pt idx="51">
                    <c:v>CARABOBO / PTO. CABELLO</c:v>
                  </c:pt>
                  <c:pt idx="56">
                    <c:v>LA GUAIRA</c:v>
                  </c:pt>
                  <c:pt idx="58">
                    <c:v>MIRANDA</c:v>
                  </c:pt>
                </c:lvl>
              </c:multiLvlStrCache>
            </c:multiLvlStrRef>
          </c:cat>
          <c:val>
            <c:numRef>
              <c:f>'No Certificados x Dpto.'!$J$5:$J$80</c:f>
              <c:numCache>
                <c:formatCode>General</c:formatCode>
                <c:ptCount val="61"/>
              </c:numCache>
            </c:numRef>
          </c:val>
          <c:extLst>
            <c:ext xmlns:c16="http://schemas.microsoft.com/office/drawing/2014/chart" uri="{C3380CC4-5D6E-409C-BE32-E72D297353CC}">
              <c16:uniqueId val="{0000028F-1B0F-4688-92D7-E37E492D3576}"/>
            </c:ext>
          </c:extLst>
        </c:ser>
        <c:ser>
          <c:idx val="9"/>
          <c:order val="9"/>
          <c:tx>
            <c:strRef>
              <c:f>'No Certificados x Dpto.'!$K$3:$K$4</c:f>
              <c:strCache>
                <c:ptCount val="1"/>
                <c:pt idx="0">
                  <c:v>MANTENIMIENTO DE TRONCALES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44B-40FE-4618-BBF0-4E4B31DC620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44D-40FE-4618-BBF0-4E4B31DC620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44F-40FE-4618-BBF0-4E4B31DC620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451-40FE-4618-BBF0-4E4B31DC620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453-40FE-4618-BBF0-4E4B31DC620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455-40FE-4618-BBF0-4E4B31DC620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457-40FE-4618-BBF0-4E4B31DC620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459-40FE-4618-BBF0-4E4B31DC620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45B-40FE-4618-BBF0-4E4B31DC620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45D-40FE-4618-BBF0-4E4B31DC620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45F-40FE-4618-BBF0-4E4B31DC620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461-40FE-4618-BBF0-4E4B31DC6205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463-40FE-4618-BBF0-4E4B31DC6205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465-40FE-4618-BBF0-4E4B31DC6205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467-40FE-4618-BBF0-4E4B31DC6205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469-40FE-4618-BBF0-4E4B31DC6205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46B-40FE-4618-BBF0-4E4B31DC6205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46D-40FE-4618-BBF0-4E4B31DC6205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46F-40FE-4618-BBF0-4E4B31DC6205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471-40FE-4618-BBF0-4E4B31DC6205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473-40FE-4618-BBF0-4E4B31DC6205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475-40FE-4618-BBF0-4E4B31DC6205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477-40FE-4618-BBF0-4E4B31DC6205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479-40FE-4618-BBF0-4E4B31DC6205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47B-40FE-4618-BBF0-4E4B31DC6205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47D-40FE-4618-BBF0-4E4B31DC6205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47F-40FE-4618-BBF0-4E4B31DC6205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481-40FE-4618-BBF0-4E4B31DC6205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483-40FE-4618-BBF0-4E4B31DC6205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485-40FE-4618-BBF0-4E4B31DC6205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487-40FE-4618-BBF0-4E4B31DC6205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489-40FE-4618-BBF0-4E4B31DC6205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48B-40FE-4618-BBF0-4E4B31DC6205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48D-40FE-4618-BBF0-4E4B31DC6205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48F-40FE-4618-BBF0-4E4B31DC6205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491-40FE-4618-BBF0-4E4B31DC6205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493-40FE-4618-BBF0-4E4B31DC6205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495-40FE-4618-BBF0-4E4B31DC6205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497-40FE-4618-BBF0-4E4B31DC6205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499-40FE-4618-BBF0-4E4B31DC6205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49B-40FE-4618-BBF0-4E4B31DC6205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49D-40FE-4618-BBF0-4E4B31DC6205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49F-40FE-4618-BBF0-4E4B31DC6205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4A1-40FE-4618-BBF0-4E4B31DC6205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4A3-40FE-4618-BBF0-4E4B31DC6205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4A5-40FE-4618-BBF0-4E4B31DC6205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4A7-40FE-4618-BBF0-4E4B31DC6205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4A9-40FE-4618-BBF0-4E4B31DC6205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4AB-40FE-4618-BBF0-4E4B31DC6205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4AD-40FE-4618-BBF0-4E4B31DC6205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4AF-40FE-4618-BBF0-4E4B31DC6205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4B1-40FE-4618-BBF0-4E4B31DC6205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4B3-40FE-4618-BBF0-4E4B31DC6205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4B5-40FE-4618-BBF0-4E4B31DC6205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4B7-40FE-4618-BBF0-4E4B31DC6205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4B9-40FE-4618-BBF0-4E4B31DC6205}"/>
              </c:ext>
            </c:extLst>
          </c:dPt>
          <c:dPt>
            <c:idx val="56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4BB-40FE-4618-BBF0-4E4B31DC6205}"/>
              </c:ext>
            </c:extLst>
          </c:dPt>
          <c:dPt>
            <c:idx val="57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4BD-40FE-4618-BBF0-4E4B31DC6205}"/>
              </c:ext>
            </c:extLst>
          </c:dPt>
          <c:dPt>
            <c:idx val="58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4BF-40FE-4618-BBF0-4E4B31DC6205}"/>
              </c:ext>
            </c:extLst>
          </c:dPt>
          <c:dPt>
            <c:idx val="59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4C1-40FE-4618-BBF0-4E4B31DC6205}"/>
              </c:ext>
            </c:extLst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4C3-40FE-4618-BBF0-4E4B31DC6205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VE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'No Certificados x Dpto.'!$A$5:$A$80</c:f>
              <c:multiLvlStrCache>
                <c:ptCount val="61"/>
                <c:lvl>
                  <c:pt idx="0">
                    <c:v>ANALISTA</c:v>
                  </c:pt>
                  <c:pt idx="1">
                    <c:v>AUXILIAR</c:v>
                  </c:pt>
                  <c:pt idx="2">
                    <c:v>SUPERVISOR</c:v>
                  </c:pt>
                  <c:pt idx="3">
                    <c:v>TECNICO</c:v>
                  </c:pt>
                  <c:pt idx="4">
                    <c:v>COORDINADOR</c:v>
                  </c:pt>
                  <c:pt idx="5">
                    <c:v>AUXILIAR</c:v>
                  </c:pt>
                  <c:pt idx="6">
                    <c:v>SUPERVISOR</c:v>
                  </c:pt>
                  <c:pt idx="7">
                    <c:v>TECNICO</c:v>
                  </c:pt>
                  <c:pt idx="8">
                    <c:v>ANALISTA</c:v>
                  </c:pt>
                  <c:pt idx="9">
                    <c:v>AUXILIAR</c:v>
                  </c:pt>
                  <c:pt idx="10">
                    <c:v>SUPERVISOR</c:v>
                  </c:pt>
                  <c:pt idx="11">
                    <c:v>TECNICO</c:v>
                  </c:pt>
                  <c:pt idx="12">
                    <c:v>COORDINADOR</c:v>
                  </c:pt>
                  <c:pt idx="13">
                    <c:v>ANALISTA</c:v>
                  </c:pt>
                  <c:pt idx="14">
                    <c:v>AUXILIAR</c:v>
                  </c:pt>
                  <c:pt idx="15">
                    <c:v>SUPERVISOR</c:v>
                  </c:pt>
                  <c:pt idx="16">
                    <c:v>TECNICO</c:v>
                  </c:pt>
                  <c:pt idx="17">
                    <c:v>COORDINADOR</c:v>
                  </c:pt>
                  <c:pt idx="18">
                    <c:v>ANALISTA</c:v>
                  </c:pt>
                  <c:pt idx="19">
                    <c:v>AUXILIAR</c:v>
                  </c:pt>
                  <c:pt idx="20">
                    <c:v>SUPERVISOR</c:v>
                  </c:pt>
                  <c:pt idx="21">
                    <c:v>TECNICO</c:v>
                  </c:pt>
                  <c:pt idx="22">
                    <c:v>COORDINADOR</c:v>
                  </c:pt>
                  <c:pt idx="23">
                    <c:v>SUPERVISOR DE IMPLEMENTACION PI</c:v>
                  </c:pt>
                  <c:pt idx="24">
                    <c:v>ANALISTA</c:v>
                  </c:pt>
                  <c:pt idx="25">
                    <c:v>AUXILIAR</c:v>
                  </c:pt>
                  <c:pt idx="26">
                    <c:v>SUPERVISOR</c:v>
                  </c:pt>
                  <c:pt idx="27">
                    <c:v>TECNICO</c:v>
                  </c:pt>
                  <c:pt idx="28">
                    <c:v>COORDINADOR</c:v>
                  </c:pt>
                  <c:pt idx="29">
                    <c:v>ANALISTA</c:v>
                  </c:pt>
                  <c:pt idx="30">
                    <c:v>AUXILIAR</c:v>
                  </c:pt>
                  <c:pt idx="31">
                    <c:v>SUPERVISOR</c:v>
                  </c:pt>
                  <c:pt idx="32">
                    <c:v>TECNICO</c:v>
                  </c:pt>
                  <c:pt idx="33">
                    <c:v>COORDINADOR</c:v>
                  </c:pt>
                  <c:pt idx="34">
                    <c:v>ANALISTA</c:v>
                  </c:pt>
                  <c:pt idx="35">
                    <c:v>AUXILIAR</c:v>
                  </c:pt>
                  <c:pt idx="36">
                    <c:v>SUPERVISOR</c:v>
                  </c:pt>
                  <c:pt idx="37">
                    <c:v>TECNICO</c:v>
                  </c:pt>
                  <c:pt idx="38">
                    <c:v>COORDINADOR</c:v>
                  </c:pt>
                  <c:pt idx="39">
                    <c:v>AUXILIAR</c:v>
                  </c:pt>
                  <c:pt idx="40">
                    <c:v>TECNICO</c:v>
                  </c:pt>
                  <c:pt idx="41">
                    <c:v>ANALISTA</c:v>
                  </c:pt>
                  <c:pt idx="42">
                    <c:v>AUXILIAR</c:v>
                  </c:pt>
                  <c:pt idx="43">
                    <c:v>SUPERVISOR</c:v>
                  </c:pt>
                  <c:pt idx="44">
                    <c:v>TECNICO</c:v>
                  </c:pt>
                  <c:pt idx="45">
                    <c:v>COORDINADOR</c:v>
                  </c:pt>
                  <c:pt idx="46">
                    <c:v>ANALISTA</c:v>
                  </c:pt>
                  <c:pt idx="47">
                    <c:v>AUXILIAR</c:v>
                  </c:pt>
                  <c:pt idx="48">
                    <c:v>SUPERVISOR</c:v>
                  </c:pt>
                  <c:pt idx="49">
                    <c:v>TECNICO</c:v>
                  </c:pt>
                  <c:pt idx="50">
                    <c:v>COORDINADOR</c:v>
                  </c:pt>
                  <c:pt idx="51">
                    <c:v>ANALISTA</c:v>
                  </c:pt>
                  <c:pt idx="52">
                    <c:v>AUXILIAR</c:v>
                  </c:pt>
                  <c:pt idx="53">
                    <c:v>SUPERVISOR</c:v>
                  </c:pt>
                  <c:pt idx="54">
                    <c:v>TECNICO</c:v>
                  </c:pt>
                  <c:pt idx="55">
                    <c:v>COORDINADOR</c:v>
                  </c:pt>
                  <c:pt idx="56">
                    <c:v>AUXILIAR</c:v>
                  </c:pt>
                  <c:pt idx="57">
                    <c:v>TECNICO</c:v>
                  </c:pt>
                  <c:pt idx="58">
                    <c:v>AUXILIAR</c:v>
                  </c:pt>
                  <c:pt idx="59">
                    <c:v>SUPERVISOR</c:v>
                  </c:pt>
                  <c:pt idx="60">
                    <c:v>TECNICO</c:v>
                  </c:pt>
                </c:lvl>
                <c:lvl>
                  <c:pt idx="0">
                    <c:v>ANZOATEGUI</c:v>
                  </c:pt>
                  <c:pt idx="5">
                    <c:v>APURE</c:v>
                  </c:pt>
                  <c:pt idx="8">
                    <c:v>BARINAS</c:v>
                  </c:pt>
                  <c:pt idx="13">
                    <c:v>CARABOBO</c:v>
                  </c:pt>
                  <c:pt idx="18">
                    <c:v>CARACAS</c:v>
                  </c:pt>
                  <c:pt idx="24">
                    <c:v>COJEDES</c:v>
                  </c:pt>
                  <c:pt idx="29">
                    <c:v>GUARICO</c:v>
                  </c:pt>
                  <c:pt idx="34">
                    <c:v>LARA</c:v>
                  </c:pt>
                  <c:pt idx="39">
                    <c:v>MONAGAS</c:v>
                  </c:pt>
                  <c:pt idx="41">
                    <c:v>NUEVA ESPARTA</c:v>
                  </c:pt>
                  <c:pt idx="46">
                    <c:v>SUCRE</c:v>
                  </c:pt>
                  <c:pt idx="51">
                    <c:v>CARABOBO / PTO. CABELLO</c:v>
                  </c:pt>
                  <c:pt idx="56">
                    <c:v>LA GUAIRA</c:v>
                  </c:pt>
                  <c:pt idx="58">
                    <c:v>MIRANDA</c:v>
                  </c:pt>
                </c:lvl>
              </c:multiLvlStrCache>
            </c:multiLvlStrRef>
          </c:cat>
          <c:val>
            <c:numRef>
              <c:f>'No Certificados x Dpto.'!$K$5:$K$80</c:f>
              <c:numCache>
                <c:formatCode>General</c:formatCode>
                <c:ptCount val="61"/>
              </c:numCache>
            </c:numRef>
          </c:val>
          <c:extLst>
            <c:ext xmlns:c16="http://schemas.microsoft.com/office/drawing/2014/chart" uri="{C3380CC4-5D6E-409C-BE32-E72D297353CC}">
              <c16:uniqueId val="{00000290-1B0F-4688-92D7-E37E492D3576}"/>
            </c:ext>
          </c:extLst>
        </c:ser>
        <c:ser>
          <c:idx val="10"/>
          <c:order val="10"/>
          <c:tx>
            <c:strRef>
              <c:f>'No Certificados x Dpto.'!$L$3:$L$4</c:f>
              <c:strCache>
                <c:ptCount val="1"/>
                <c:pt idx="0">
                  <c:v>DOCUMENTACIÓN Y DISEÑO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4C5-40FE-4618-BBF0-4E4B31DC620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4C7-40FE-4618-BBF0-4E4B31DC620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4C9-40FE-4618-BBF0-4E4B31DC620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4CB-40FE-4618-BBF0-4E4B31DC620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4CD-40FE-4618-BBF0-4E4B31DC620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4CF-40FE-4618-BBF0-4E4B31DC620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4D1-40FE-4618-BBF0-4E4B31DC620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4D3-40FE-4618-BBF0-4E4B31DC620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4D5-40FE-4618-BBF0-4E4B31DC620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4D7-40FE-4618-BBF0-4E4B31DC620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4D9-40FE-4618-BBF0-4E4B31DC620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4DB-40FE-4618-BBF0-4E4B31DC6205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4DD-40FE-4618-BBF0-4E4B31DC6205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4DF-40FE-4618-BBF0-4E4B31DC6205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4E1-40FE-4618-BBF0-4E4B31DC6205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4E3-40FE-4618-BBF0-4E4B31DC6205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4E5-40FE-4618-BBF0-4E4B31DC6205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4E7-40FE-4618-BBF0-4E4B31DC6205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4E9-40FE-4618-BBF0-4E4B31DC6205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4EB-40FE-4618-BBF0-4E4B31DC6205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4ED-40FE-4618-BBF0-4E4B31DC6205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4EF-40FE-4618-BBF0-4E4B31DC6205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4F1-40FE-4618-BBF0-4E4B31DC6205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4F3-40FE-4618-BBF0-4E4B31DC6205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4F5-40FE-4618-BBF0-4E4B31DC6205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4F7-40FE-4618-BBF0-4E4B31DC6205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4F9-40FE-4618-BBF0-4E4B31DC6205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4FB-40FE-4618-BBF0-4E4B31DC6205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4FD-40FE-4618-BBF0-4E4B31DC6205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4FF-40FE-4618-BBF0-4E4B31DC6205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501-40FE-4618-BBF0-4E4B31DC6205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503-40FE-4618-BBF0-4E4B31DC6205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505-40FE-4618-BBF0-4E4B31DC6205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507-40FE-4618-BBF0-4E4B31DC6205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509-40FE-4618-BBF0-4E4B31DC6205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50B-40FE-4618-BBF0-4E4B31DC6205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50D-40FE-4618-BBF0-4E4B31DC6205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50F-40FE-4618-BBF0-4E4B31DC6205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511-40FE-4618-BBF0-4E4B31DC6205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513-40FE-4618-BBF0-4E4B31DC6205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515-40FE-4618-BBF0-4E4B31DC6205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517-40FE-4618-BBF0-4E4B31DC6205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519-40FE-4618-BBF0-4E4B31DC6205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51B-40FE-4618-BBF0-4E4B31DC6205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51D-40FE-4618-BBF0-4E4B31DC6205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51F-40FE-4618-BBF0-4E4B31DC6205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521-40FE-4618-BBF0-4E4B31DC6205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523-40FE-4618-BBF0-4E4B31DC6205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525-40FE-4618-BBF0-4E4B31DC6205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527-40FE-4618-BBF0-4E4B31DC6205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529-40FE-4618-BBF0-4E4B31DC6205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52B-40FE-4618-BBF0-4E4B31DC6205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52D-40FE-4618-BBF0-4E4B31DC6205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52F-40FE-4618-BBF0-4E4B31DC6205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531-40FE-4618-BBF0-4E4B31DC6205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533-40FE-4618-BBF0-4E4B31DC6205}"/>
              </c:ext>
            </c:extLst>
          </c:dPt>
          <c:dPt>
            <c:idx val="56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535-40FE-4618-BBF0-4E4B31DC6205}"/>
              </c:ext>
            </c:extLst>
          </c:dPt>
          <c:dPt>
            <c:idx val="57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537-40FE-4618-BBF0-4E4B31DC6205}"/>
              </c:ext>
            </c:extLst>
          </c:dPt>
          <c:dPt>
            <c:idx val="58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539-40FE-4618-BBF0-4E4B31DC6205}"/>
              </c:ext>
            </c:extLst>
          </c:dPt>
          <c:dPt>
            <c:idx val="59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53B-40FE-4618-BBF0-4E4B31DC6205}"/>
              </c:ext>
            </c:extLst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53D-40FE-4618-BBF0-4E4B31DC6205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VE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'No Certificados x Dpto.'!$A$5:$A$80</c:f>
              <c:multiLvlStrCache>
                <c:ptCount val="61"/>
                <c:lvl>
                  <c:pt idx="0">
                    <c:v>ANALISTA</c:v>
                  </c:pt>
                  <c:pt idx="1">
                    <c:v>AUXILIAR</c:v>
                  </c:pt>
                  <c:pt idx="2">
                    <c:v>SUPERVISOR</c:v>
                  </c:pt>
                  <c:pt idx="3">
                    <c:v>TECNICO</c:v>
                  </c:pt>
                  <c:pt idx="4">
                    <c:v>COORDINADOR</c:v>
                  </c:pt>
                  <c:pt idx="5">
                    <c:v>AUXILIAR</c:v>
                  </c:pt>
                  <c:pt idx="6">
                    <c:v>SUPERVISOR</c:v>
                  </c:pt>
                  <c:pt idx="7">
                    <c:v>TECNICO</c:v>
                  </c:pt>
                  <c:pt idx="8">
                    <c:v>ANALISTA</c:v>
                  </c:pt>
                  <c:pt idx="9">
                    <c:v>AUXILIAR</c:v>
                  </c:pt>
                  <c:pt idx="10">
                    <c:v>SUPERVISOR</c:v>
                  </c:pt>
                  <c:pt idx="11">
                    <c:v>TECNICO</c:v>
                  </c:pt>
                  <c:pt idx="12">
                    <c:v>COORDINADOR</c:v>
                  </c:pt>
                  <c:pt idx="13">
                    <c:v>ANALISTA</c:v>
                  </c:pt>
                  <c:pt idx="14">
                    <c:v>AUXILIAR</c:v>
                  </c:pt>
                  <c:pt idx="15">
                    <c:v>SUPERVISOR</c:v>
                  </c:pt>
                  <c:pt idx="16">
                    <c:v>TECNICO</c:v>
                  </c:pt>
                  <c:pt idx="17">
                    <c:v>COORDINADOR</c:v>
                  </c:pt>
                  <c:pt idx="18">
                    <c:v>ANALISTA</c:v>
                  </c:pt>
                  <c:pt idx="19">
                    <c:v>AUXILIAR</c:v>
                  </c:pt>
                  <c:pt idx="20">
                    <c:v>SUPERVISOR</c:v>
                  </c:pt>
                  <c:pt idx="21">
                    <c:v>TECNICO</c:v>
                  </c:pt>
                  <c:pt idx="22">
                    <c:v>COORDINADOR</c:v>
                  </c:pt>
                  <c:pt idx="23">
                    <c:v>SUPERVISOR DE IMPLEMENTACION PI</c:v>
                  </c:pt>
                  <c:pt idx="24">
                    <c:v>ANALISTA</c:v>
                  </c:pt>
                  <c:pt idx="25">
                    <c:v>AUXILIAR</c:v>
                  </c:pt>
                  <c:pt idx="26">
                    <c:v>SUPERVISOR</c:v>
                  </c:pt>
                  <c:pt idx="27">
                    <c:v>TECNICO</c:v>
                  </c:pt>
                  <c:pt idx="28">
                    <c:v>COORDINADOR</c:v>
                  </c:pt>
                  <c:pt idx="29">
                    <c:v>ANALISTA</c:v>
                  </c:pt>
                  <c:pt idx="30">
                    <c:v>AUXILIAR</c:v>
                  </c:pt>
                  <c:pt idx="31">
                    <c:v>SUPERVISOR</c:v>
                  </c:pt>
                  <c:pt idx="32">
                    <c:v>TECNICO</c:v>
                  </c:pt>
                  <c:pt idx="33">
                    <c:v>COORDINADOR</c:v>
                  </c:pt>
                  <c:pt idx="34">
                    <c:v>ANALISTA</c:v>
                  </c:pt>
                  <c:pt idx="35">
                    <c:v>AUXILIAR</c:v>
                  </c:pt>
                  <c:pt idx="36">
                    <c:v>SUPERVISOR</c:v>
                  </c:pt>
                  <c:pt idx="37">
                    <c:v>TECNICO</c:v>
                  </c:pt>
                  <c:pt idx="38">
                    <c:v>COORDINADOR</c:v>
                  </c:pt>
                  <c:pt idx="39">
                    <c:v>AUXILIAR</c:v>
                  </c:pt>
                  <c:pt idx="40">
                    <c:v>TECNICO</c:v>
                  </c:pt>
                  <c:pt idx="41">
                    <c:v>ANALISTA</c:v>
                  </c:pt>
                  <c:pt idx="42">
                    <c:v>AUXILIAR</c:v>
                  </c:pt>
                  <c:pt idx="43">
                    <c:v>SUPERVISOR</c:v>
                  </c:pt>
                  <c:pt idx="44">
                    <c:v>TECNICO</c:v>
                  </c:pt>
                  <c:pt idx="45">
                    <c:v>COORDINADOR</c:v>
                  </c:pt>
                  <c:pt idx="46">
                    <c:v>ANALISTA</c:v>
                  </c:pt>
                  <c:pt idx="47">
                    <c:v>AUXILIAR</c:v>
                  </c:pt>
                  <c:pt idx="48">
                    <c:v>SUPERVISOR</c:v>
                  </c:pt>
                  <c:pt idx="49">
                    <c:v>TECNICO</c:v>
                  </c:pt>
                  <c:pt idx="50">
                    <c:v>COORDINADOR</c:v>
                  </c:pt>
                  <c:pt idx="51">
                    <c:v>ANALISTA</c:v>
                  </c:pt>
                  <c:pt idx="52">
                    <c:v>AUXILIAR</c:v>
                  </c:pt>
                  <c:pt idx="53">
                    <c:v>SUPERVISOR</c:v>
                  </c:pt>
                  <c:pt idx="54">
                    <c:v>TECNICO</c:v>
                  </c:pt>
                  <c:pt idx="55">
                    <c:v>COORDINADOR</c:v>
                  </c:pt>
                  <c:pt idx="56">
                    <c:v>AUXILIAR</c:v>
                  </c:pt>
                  <c:pt idx="57">
                    <c:v>TECNICO</c:v>
                  </c:pt>
                  <c:pt idx="58">
                    <c:v>AUXILIAR</c:v>
                  </c:pt>
                  <c:pt idx="59">
                    <c:v>SUPERVISOR</c:v>
                  </c:pt>
                  <c:pt idx="60">
                    <c:v>TECNICO</c:v>
                  </c:pt>
                </c:lvl>
                <c:lvl>
                  <c:pt idx="0">
                    <c:v>ANZOATEGUI</c:v>
                  </c:pt>
                  <c:pt idx="5">
                    <c:v>APURE</c:v>
                  </c:pt>
                  <c:pt idx="8">
                    <c:v>BARINAS</c:v>
                  </c:pt>
                  <c:pt idx="13">
                    <c:v>CARABOBO</c:v>
                  </c:pt>
                  <c:pt idx="18">
                    <c:v>CARACAS</c:v>
                  </c:pt>
                  <c:pt idx="24">
                    <c:v>COJEDES</c:v>
                  </c:pt>
                  <c:pt idx="29">
                    <c:v>GUARICO</c:v>
                  </c:pt>
                  <c:pt idx="34">
                    <c:v>LARA</c:v>
                  </c:pt>
                  <c:pt idx="39">
                    <c:v>MONAGAS</c:v>
                  </c:pt>
                  <c:pt idx="41">
                    <c:v>NUEVA ESPARTA</c:v>
                  </c:pt>
                  <c:pt idx="46">
                    <c:v>SUCRE</c:v>
                  </c:pt>
                  <c:pt idx="51">
                    <c:v>CARABOBO / PTO. CABELLO</c:v>
                  </c:pt>
                  <c:pt idx="56">
                    <c:v>LA GUAIRA</c:v>
                  </c:pt>
                  <c:pt idx="58">
                    <c:v>MIRANDA</c:v>
                  </c:pt>
                </c:lvl>
              </c:multiLvlStrCache>
            </c:multiLvlStrRef>
          </c:cat>
          <c:val>
            <c:numRef>
              <c:f>'No Certificados x Dpto.'!$L$5:$L$80</c:f>
              <c:numCache>
                <c:formatCode>General</c:formatCode>
                <c:ptCount val="61"/>
              </c:numCache>
            </c:numRef>
          </c:val>
          <c:extLst>
            <c:ext xmlns:c16="http://schemas.microsoft.com/office/drawing/2014/chart" uri="{C3380CC4-5D6E-409C-BE32-E72D297353CC}">
              <c16:uniqueId val="{00000291-1B0F-4688-92D7-E37E492D3576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10869509512148"/>
          <c:y val="0.36941189037416833"/>
          <c:w val="0.24891302288475459"/>
          <c:h val="0.63058810962583167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VE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V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9269185351984619"/>
          <c:y val="0.24521336772558602"/>
          <c:w val="0.63223847267781563"/>
          <c:h val="0.60814621232690746"/>
        </c:manualLayout>
      </c:layout>
      <c:pie3DChart>
        <c:varyColors val="1"/>
        <c:ser>
          <c:idx val="1"/>
          <c:order val="0"/>
          <c:explosion val="15"/>
          <c:dPt>
            <c:idx val="0"/>
            <c:bubble3D val="0"/>
            <c:spPr>
              <a:solidFill>
                <a:srgbClr val="002060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D6B2-4CF1-BD7F-BE70C752BFC3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D6B2-4CF1-BD7F-BE70C752BFC3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0-D6B2-4CF1-BD7F-BE70C752BFC3}"/>
              </c:ext>
            </c:extLst>
          </c:dPt>
          <c:dLbls>
            <c:dLbl>
              <c:idx val="0"/>
              <c:layout>
                <c:manualLayout>
                  <c:x val="5.3531585977440864E-2"/>
                  <c:y val="0.1235632183908046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spc="0" baseline="0">
                      <a:solidFill>
                        <a:sysClr val="windowText" lastClr="000000"/>
                      </a:solidFill>
                      <a:latin typeface="Century Gothic" panose="020B0502020202020204" pitchFamily="34" charset="0"/>
                      <a:ea typeface="+mn-ea"/>
                      <a:cs typeface="+mn-cs"/>
                    </a:defRPr>
                  </a:pPr>
                  <a:endParaRPr lang="es-V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D6B2-4CF1-BD7F-BE70C752BFC3}"/>
                </c:ext>
              </c:extLst>
            </c:dLbl>
            <c:dLbl>
              <c:idx val="1"/>
              <c:layout>
                <c:manualLayout>
                  <c:x val="-1.5530560618861987E-2"/>
                  <c:y val="0.14170875192325086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spc="0" baseline="0">
                      <a:solidFill>
                        <a:sysClr val="windowText" lastClr="000000"/>
                      </a:solidFill>
                      <a:latin typeface="Century Gothic" panose="020B0502020202020204" pitchFamily="34" charset="0"/>
                      <a:ea typeface="+mn-ea"/>
                      <a:cs typeface="+mn-cs"/>
                    </a:defRPr>
                  </a:pPr>
                  <a:endParaRPr lang="es-V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D6B2-4CF1-BD7F-BE70C752BFC3}"/>
                </c:ext>
              </c:extLst>
            </c:dLbl>
            <c:dLbl>
              <c:idx val="2"/>
              <c:layout>
                <c:manualLayout>
                  <c:x val="-6.8949432087478946E-3"/>
                  <c:y val="-0.10861412797538239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spc="0" baseline="0">
                      <a:solidFill>
                        <a:sysClr val="windowText" lastClr="000000"/>
                      </a:solidFill>
                      <a:latin typeface="Century Gothic" panose="020B0502020202020204" pitchFamily="34" charset="0"/>
                      <a:ea typeface="+mn-ea"/>
                      <a:cs typeface="+mn-cs"/>
                    </a:defRPr>
                  </a:pPr>
                  <a:endParaRPr lang="es-VE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D6B2-4CF1-BD7F-BE70C752BFC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spc="0" baseline="0">
                    <a:solidFill>
                      <a:sysClr val="windowText" lastClr="000000"/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es-VE"/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/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grafica!$D$41:$F$42</c:f>
              <c:strCache>
                <c:ptCount val="3"/>
                <c:pt idx="0">
                  <c:v>Certificado</c:v>
                </c:pt>
                <c:pt idx="1">
                  <c:v>En Proceso (Diciembre)</c:v>
                </c:pt>
                <c:pt idx="2">
                  <c:v>Por Certificar</c:v>
                </c:pt>
              </c:strCache>
            </c:strRef>
          </c:cat>
          <c:val>
            <c:numRef>
              <c:f>grafica!$D$43:$F$43</c:f>
              <c:numCache>
                <c:formatCode>General</c:formatCode>
                <c:ptCount val="3"/>
                <c:pt idx="0">
                  <c:v>140</c:v>
                </c:pt>
                <c:pt idx="1">
                  <c:v>52</c:v>
                </c:pt>
                <c:pt idx="2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B2-4CF1-BD7F-BE70C752BFC3}"/>
            </c:ext>
          </c:extLst>
        </c:ser>
        <c:ser>
          <c:idx val="2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2-D6B2-4CF1-BD7F-BE70C752BFC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D6B2-4CF1-BD7F-BE70C752BFC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4-D6B2-4CF1-BD7F-BE70C752BFC3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V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2-D6B2-4CF1-BD7F-BE70C752BFC3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V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3-D6B2-4CF1-BD7F-BE70C752BFC3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VE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4-D6B2-4CF1-BD7F-BE70C752BFC3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grafica!$D$41:$F$42</c:f>
              <c:strCache>
                <c:ptCount val="3"/>
                <c:pt idx="0">
                  <c:v>Certificado</c:v>
                </c:pt>
                <c:pt idx="1">
                  <c:v>En Proceso (Diciembre)</c:v>
                </c:pt>
                <c:pt idx="2">
                  <c:v>Por Certificar</c:v>
                </c:pt>
              </c:strCache>
            </c:strRef>
          </c:cat>
          <c:val>
            <c:numRef>
              <c:f>grafica!$D$44:$F$44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1C-D6B2-4CF1-BD7F-BE70C752BFC3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V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876300</xdr:colOff>
      <xdr:row>10</xdr:row>
      <xdr:rowOff>47625</xdr:rowOff>
    </xdr:from>
    <xdr:to>
      <xdr:col>9</xdr:col>
      <xdr:colOff>295275</xdr:colOff>
      <xdr:row>27</xdr:row>
      <xdr:rowOff>85725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676275</xdr:colOff>
      <xdr:row>26</xdr:row>
      <xdr:rowOff>19051</xdr:rowOff>
    </xdr:from>
    <xdr:to>
      <xdr:col>10</xdr:col>
      <xdr:colOff>190500</xdr:colOff>
      <xdr:row>27</xdr:row>
      <xdr:rowOff>114301</xdr:rowOff>
    </xdr:to>
    <xdr:sp macro="" textlink="">
      <xdr:nvSpPr>
        <xdr:cNvPr id="3" name="CuadroTexto 2"/>
        <xdr:cNvSpPr txBox="1"/>
      </xdr:nvSpPr>
      <xdr:spPr>
        <a:xfrm>
          <a:off x="4000500" y="5153026"/>
          <a:ext cx="6257925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VE" sz="1050" b="1" u="sng">
              <a:ln>
                <a:noFill/>
              </a:ln>
              <a:solidFill>
                <a:schemeClr val="tx1"/>
              </a:solidFill>
              <a:latin typeface="Century Gothic" panose="020B0502020202020204" pitchFamily="34" charset="0"/>
            </a:rPr>
            <a:t>Nota: </a:t>
          </a:r>
          <a:r>
            <a:rPr lang="es-VE" sz="1050">
              <a:ln>
                <a:noFill/>
              </a:ln>
              <a:solidFill>
                <a:schemeClr val="tx1"/>
              </a:solidFill>
              <a:latin typeface="Century Gothic" panose="020B0502020202020204" pitchFamily="34" charset="0"/>
            </a:rPr>
            <a:t>Calculo basado en el 95% de la Data recopilada hasta la fecha</a:t>
          </a:r>
        </a:p>
      </xdr:txBody>
    </xdr:sp>
    <xdr:clientData/>
  </xdr:twoCellAnchor>
  <xdr:twoCellAnchor>
    <xdr:from>
      <xdr:col>7</xdr:col>
      <xdr:colOff>471486</xdr:colOff>
      <xdr:row>36</xdr:row>
      <xdr:rowOff>161925</xdr:rowOff>
    </xdr:from>
    <xdr:to>
      <xdr:col>13</xdr:col>
      <xdr:colOff>619125</xdr:colOff>
      <xdr:row>60</xdr:row>
      <xdr:rowOff>9525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Gloried Vera" refreshedDate="46058.569558333336" createdVersion="6" refreshedVersion="6" minRefreshableVersion="3" recordCount="434">
  <cacheSource type="worksheet">
    <worksheetSource name="Tabla25711"/>
  </cacheSource>
  <cacheFields count="21">
    <cacheField name="ZONA" numFmtId="0">
      <sharedItems count="14">
        <s v="ANZOATEGUI"/>
        <s v="APURE"/>
        <s v="BARINAS"/>
        <s v="CARABOBO"/>
        <s v="CARABOBO / PTO. CABELLO"/>
        <s v="CARACAS"/>
        <s v="COJEDES"/>
        <s v="GUARICO"/>
        <s v="LA GUAIRA"/>
        <s v="LARA"/>
        <s v="MIRANDA"/>
        <s v="MONAGAS"/>
        <s v="NUEVA ESPARTA"/>
        <s v="SUCRE"/>
      </sharedItems>
    </cacheField>
    <cacheField name="CIUDAD" numFmtId="0">
      <sharedItems/>
    </cacheField>
    <cacheField name="EMPRESA" numFmtId="0">
      <sharedItems/>
    </cacheField>
    <cacheField name="NRO. REGISTRO NIL" numFmtId="0">
      <sharedItems containsSemiMixedTypes="0" containsString="0" containsNumber="1" containsInteger="1" minValue="2672573314" maxValue="2672573314"/>
    </cacheField>
    <cacheField name="NOMBRE Y APELLIDO" numFmtId="0">
      <sharedItems/>
    </cacheField>
    <cacheField name="C.I." numFmtId="0">
      <sharedItems containsSemiMixedTypes="0" containsString="0" containsNumber="1" containsInteger="1" minValue="6197994" maxValue="84589609"/>
    </cacheField>
    <cacheField name="CARGO" numFmtId="0">
      <sharedItems count="6">
        <s v="TECNICO"/>
        <s v="AUXILIAR"/>
        <s v="ANALISTA"/>
        <s v="SUPERVISOR"/>
        <s v="COORDINADOR"/>
        <s v="SUPERVISOR DE IMPLEMENTACION PI"/>
      </sharedItems>
    </cacheField>
    <cacheField name="DEPARTAMENTO" numFmtId="0">
      <sharedItems/>
    </cacheField>
    <cacheField name="SUPERVISOR INMEDIATO" numFmtId="0">
      <sharedItems/>
    </cacheField>
    <cacheField name="CERTIFICACION TECNICO 1" numFmtId="0">
      <sharedItems count="2">
        <s v="Certificado"/>
        <s v="No Cursado"/>
      </sharedItems>
    </cacheField>
    <cacheField name="FECHA TECNICO 1" numFmtId="0">
      <sharedItems containsDate="1" containsMixedTypes="1" minDate="2025-04-01T00:00:00" maxDate="2025-04-02T00:00:00"/>
    </cacheField>
    <cacheField name="CERTIFICACION TECNICO BASICO" numFmtId="0">
      <sharedItems count="2">
        <s v="Por Certificar"/>
        <s v="Certificado"/>
      </sharedItems>
    </cacheField>
    <cacheField name="FECHA TECNICO BASICO" numFmtId="0">
      <sharedItems containsDate="1" containsMixedTypes="1" minDate="2025-04-01T00:00:00" maxDate="2026-01-02T00:00:00"/>
    </cacheField>
    <cacheField name="CERTIFICACION TECNICO INTEGRAL" numFmtId="0">
      <sharedItems count="1">
        <s v="Por Certificar"/>
      </sharedItems>
    </cacheField>
    <cacheField name="FECHA TECNICO INTEGRAL" numFmtId="0">
      <sharedItems/>
    </cacheField>
    <cacheField name="CERTIFICACION TECNICO PREMIUM" numFmtId="0">
      <sharedItems count="1">
        <s v="Por Certificar"/>
      </sharedItems>
    </cacheField>
    <cacheField name="FECHA TECNICO PREMIUM" numFmtId="0">
      <sharedItems/>
    </cacheField>
    <cacheField name="FOTO" numFmtId="0">
      <sharedItems/>
    </cacheField>
    <cacheField name="INSCRIPCION SSO" numFmtId="0">
      <sharedItems/>
    </cacheField>
    <cacheField name="OBSERVACIÓN" numFmtId="0">
      <sharedItems containsNonDate="0" containsString="0" containsBlank="1"/>
    </cacheField>
    <cacheField name="CONTADOR" numFmtId="0">
      <sharedItems containsSemiMixedTypes="0" containsString="0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Gloried Vera" refreshedDate="46058.569558564814" createdVersion="6" refreshedVersion="6" minRefreshableVersion="3" recordCount="434">
  <cacheSource type="worksheet">
    <worksheetSource name="Tabla25711[[CIUDAD]:[OBSERVACIÓN]]"/>
  </cacheSource>
  <cacheFields count="19">
    <cacheField name="CIUDAD" numFmtId="0">
      <sharedItems/>
    </cacheField>
    <cacheField name="EMPRESA" numFmtId="0">
      <sharedItems/>
    </cacheField>
    <cacheField name="NRO. REGISTRO NIL" numFmtId="0">
      <sharedItems containsSemiMixedTypes="0" containsString="0" containsNumber="1" containsInteger="1" minValue="2672573314" maxValue="2672573314"/>
    </cacheField>
    <cacheField name="NOMBRE Y APELLIDO" numFmtId="0">
      <sharedItems/>
    </cacheField>
    <cacheField name="C.I." numFmtId="0">
      <sharedItems containsSemiMixedTypes="0" containsString="0" containsNumber="1" containsInteger="1" minValue="6197994" maxValue="84589609"/>
    </cacheField>
    <cacheField name="CARGO" numFmtId="0">
      <sharedItems count="6">
        <s v="TECNICO"/>
        <s v="AUXILIAR"/>
        <s v="ANALISTA"/>
        <s v="SUPERVISOR"/>
        <s v="COORDINADOR"/>
        <s v="SUPERVISOR DE IMPLEMENTACION PI"/>
      </sharedItems>
    </cacheField>
    <cacheField name="DEPARTAMENTO" numFmtId="0">
      <sharedItems/>
    </cacheField>
    <cacheField name="SUPERVISOR INMEDIATO" numFmtId="0">
      <sharedItems/>
    </cacheField>
    <cacheField name="CERTIFICACION TECNICO 1" numFmtId="0">
      <sharedItems count="3">
        <s v="Certificado"/>
        <s v="No Cursado"/>
        <s v="Por Certificar" u="1"/>
      </sharedItems>
    </cacheField>
    <cacheField name="FECHA TECNICO 1" numFmtId="0">
      <sharedItems containsDate="1" containsMixedTypes="1" minDate="2025-04-01T00:00:00" maxDate="2025-04-02T00:00:00" count="2">
        <d v="2025-04-01T00:00:00"/>
        <s v="-"/>
      </sharedItems>
    </cacheField>
    <cacheField name="CERTIFICACION TECNICO BASICO" numFmtId="0">
      <sharedItems count="3">
        <s v="Por Certificar"/>
        <s v="Certificado"/>
        <s v="En Proceso (Diciembre)" u="1"/>
      </sharedItems>
    </cacheField>
    <cacheField name="FECHA TECNICO BASICO" numFmtId="0">
      <sharedItems containsDate="1" containsMixedTypes="1" minDate="2025-04-01T00:00:00" maxDate="2026-01-02T00:00:00" count="5">
        <s v="-"/>
        <d v="2025-04-01T00:00:00"/>
        <d v="2026-01-01T00:00:00"/>
        <d v="2025-11-01T00:00:00"/>
        <d v="2025-12-01T00:00:00"/>
      </sharedItems>
    </cacheField>
    <cacheField name="CERTIFICACION TECNICO INTEGRAL" numFmtId="0">
      <sharedItems/>
    </cacheField>
    <cacheField name="FECHA TECNICO INTEGRAL" numFmtId="0">
      <sharedItems/>
    </cacheField>
    <cacheField name="CERTIFICACION TECNICO PREMIUM" numFmtId="0">
      <sharedItems/>
    </cacheField>
    <cacheField name="FECHA TECNICO PREMIUM" numFmtId="0">
      <sharedItems/>
    </cacheField>
    <cacheField name="FOTO" numFmtId="0">
      <sharedItems/>
    </cacheField>
    <cacheField name="INSCRIPCION SSO" numFmtId="0">
      <sharedItems/>
    </cacheField>
    <cacheField name="OBSERVACIÓN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saveData="0" refreshedBy="Gloried Vera" refreshedDate="46058.569559143521" createdVersion="6" refreshedVersion="6" minRefreshableVersion="3" recordCount="457">
  <cacheSource type="worksheet">
    <worksheetSource name="Tabla257"/>
  </cacheSource>
  <cacheFields count="21">
    <cacheField name="ZONA" numFmtId="0">
      <sharedItems containsBlank="1" count="16">
        <s v="ANZOATEGUI"/>
        <s v="APURE"/>
        <s v="BARINAS"/>
        <s v="CARABOBO"/>
        <s v="CARABOBO / PTO. CABELLO"/>
        <s v="CARACAS"/>
        <s v="COJEDES"/>
        <s v="GUARICO"/>
        <s v="LA GUAIRA"/>
        <s v="LARA"/>
        <s v="MIRANDA"/>
        <s v="MONAGAS"/>
        <s v="NUEVA ESPARTA"/>
        <s v="SUCRE"/>
        <m u="1"/>
        <s v="GUANARE" u="1"/>
      </sharedItems>
    </cacheField>
    <cacheField name="CIUDAD" numFmtId="0">
      <sharedItems/>
    </cacheField>
    <cacheField name="EMPRESA" numFmtId="0">
      <sharedItems/>
    </cacheField>
    <cacheField name="NRO. REGISTRO NIL" numFmtId="0">
      <sharedItems containsSemiMixedTypes="0" containsString="0" containsNumber="1" containsInteger="1" minValue="2672573314" maxValue="2672573314"/>
    </cacheField>
    <cacheField name="NOMBRE Y APELLIDO" numFmtId="0">
      <sharedItems/>
    </cacheField>
    <cacheField name="C.I." numFmtId="0">
      <sharedItems containsSemiMixedTypes="0" containsString="0" containsNumber="1" containsInteger="1" minValue="6197994" maxValue="84589609"/>
    </cacheField>
    <cacheField name="CARGO" numFmtId="0">
      <sharedItems containsBlank="1" count="29">
        <s v="TECNICO"/>
        <s v="AUXILIAR"/>
        <s v="ANALISTA"/>
        <s v="SUPERVISOR"/>
        <s v="COORDINADOR"/>
        <s v="SUPERVISOR DE IMPLEMENTACION PI"/>
        <s v="TECNICO II" u="1"/>
        <m u="1"/>
        <s v="Tecnico II (Fibra)" u="1"/>
        <s v="COORDINADOR DE OPERACIONES" u="1"/>
        <s v="Supervisor GPON" u="1"/>
        <s v="Auxiliar II (Fibra)" u="1"/>
        <s v="Tecnico (empalme)" u="1"/>
        <s v="ANALISTA II" u="1"/>
        <s v="Supervisor (Operaciones)" u="1"/>
        <s v="AUXILIAR I" u="1"/>
        <s v="TECNICO III" u="1"/>
        <s v="COORDINADOR II" u="1"/>
        <s v="Coordinador Nacional GPON" u="1"/>
        <s v="AUXILIAR II" u="1"/>
        <s v="Técnico" u="1"/>
        <s v="TECNICO II DE IMPLEMENTACION" u="1"/>
        <s v="Analista de Operaciones" u="1"/>
        <s v="COORDINADOR III" u="1"/>
        <s v="SUPERVISOR DE IMPLEMENTACION" u="1"/>
        <s v="SUPERVISOR DE OPERACIONES" u="1"/>
        <s v="TECNICO I" u="1"/>
        <s v="COORDINADOR I" u="1"/>
        <s v="ANALISTA I" u="1"/>
      </sharedItems>
    </cacheField>
    <cacheField name="DEPARTAMENTO" numFmtId="0">
      <sharedItems containsBlank="1" count="13">
        <s v="O&amp;M"/>
        <s v="CDR"/>
        <s v="MDC"/>
        <s v="EMPALME"/>
        <s v="PLANTA INTERNA"/>
        <s v="PLANTA EXTERNA"/>
        <s v="MDA"/>
        <s v="IMPLEMENTACION"/>
        <s v="NUEVOS PROYECTOS"/>
        <s v="MANTENIMIENTO DE TRONCALES"/>
        <s v="DOCUMENTACIÓN Y DISEÑO"/>
        <m u="1"/>
        <s v="Implementación" u="1"/>
      </sharedItems>
    </cacheField>
    <cacheField name="SUPERVISOR INMEDIATO" numFmtId="0">
      <sharedItems containsBlank="1"/>
    </cacheField>
    <cacheField name="TECNICO 1" numFmtId="0">
      <sharedItems/>
    </cacheField>
    <cacheField name="FECHA TECNICO 1" numFmtId="0">
      <sharedItems containsDate="1" containsMixedTypes="1" minDate="2025-04-01T00:00:00" maxDate="2025-04-02T00:00:00"/>
    </cacheField>
    <cacheField name="TECNICO BASICO" numFmtId="0">
      <sharedItems/>
    </cacheField>
    <cacheField name="FECHA TECNICO BASICO" numFmtId="0">
      <sharedItems containsDate="1" containsBlank="1" containsMixedTypes="1" minDate="2025-04-01T00:00:00" maxDate="2026-01-02T00:00:00"/>
    </cacheField>
    <cacheField name="TECNICO INTEGRAL" numFmtId="0">
      <sharedItems/>
    </cacheField>
    <cacheField name="FECHA TECNICO INTEGRAL" numFmtId="0">
      <sharedItems containsBlank="1"/>
    </cacheField>
    <cacheField name="TECNICO PREMIUM" numFmtId="0">
      <sharedItems/>
    </cacheField>
    <cacheField name="FECHA TECNICO PREMIUM" numFmtId="0">
      <sharedItems containsBlank="1"/>
    </cacheField>
    <cacheField name="FOTO" numFmtId="0">
      <sharedItems containsBlank="1"/>
    </cacheField>
    <cacheField name="INSCRIPCION SSO" numFmtId="0">
      <sharedItems/>
    </cacheField>
    <cacheField name="OBSERVACIÓN" numFmtId="0">
      <sharedItems containsBlank="1"/>
    </cacheField>
    <cacheField name="contador" numFmtId="0">
      <sharedItems containsSemiMixedTypes="0" containsString="0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saveData="0" refreshedBy="Gloried Vera" refreshedDate="46058.569560532407" createdVersion="6" refreshedVersion="6" minRefreshableVersion="3" recordCount="193">
  <cacheSource type="worksheet">
    <worksheetSource name="Tabla8"/>
  </cacheSource>
  <cacheFields count="6">
    <cacheField name="Zona" numFmtId="0">
      <sharedItems containsBlank="1" count="12">
        <s v="CARABOBO"/>
        <s v="ANZOATEGUI"/>
        <s v="COJEDES"/>
        <s v="CARACAS"/>
        <s v="GUARICO"/>
        <s v="NUEVA ESPARTA"/>
        <s v="BARINAS"/>
        <s v="LARA"/>
        <s v="APURE"/>
        <s v="MONAGAS"/>
        <s v="SUCRE"/>
        <m u="1"/>
      </sharedItems>
    </cacheField>
    <cacheField name="Nombre y Apellido" numFmtId="0">
      <sharedItems count="206">
        <s v="JERITZON VANEGAS"/>
        <s v="CESAR LEAL"/>
        <s v="FERNANDO CASTILLO "/>
        <s v="JOEL JIMENEZ"/>
        <s v="RODRIGO FLORES"/>
        <s v="LUIS ROJAS"/>
        <s v="JONATHAN SALDIVIA"/>
        <s v="EDUARDO RAMOS"/>
        <s v="YOSMAN VEGAS"/>
        <s v="RAFAEL URBINA"/>
        <s v="AMILCAR REYES"/>
        <s v="FIDEL ANDRADES"/>
        <s v="JESUS SEQUERA"/>
        <s v="ANDERSON CANCINES"/>
        <s v="ENRIQUE GOTA"/>
        <s v="DAVID CADIZ"/>
        <s v="JHOJAN VILLEGAS"/>
        <s v="JOSE LUIS GONZALEZ"/>
        <s v="BRAULIO CARRILLO"/>
        <s v="GERMAIN RODOLFO GONZALEZ LOPEZ"/>
        <s v="ANDRES RAFAEL VALDIVIEZO TORMES"/>
        <s v="WILLIAMS ELIESER ROMERO BARELA"/>
        <s v="JUAN PABLO LOPEZ MARCANO"/>
        <s v="DANIEL CASTELLANOS"/>
        <s v="ARGENIS MAREA"/>
        <s v="WILLIAN MENDEZ"/>
        <s v="HERNAN RODRIGUEZ"/>
        <s v="JOSE BANDRES"/>
        <s v="JEAN PIERRE PEÑUELA"/>
        <s v="JARO VILORIA"/>
        <s v="JESUS ALEXIS MARTINEZ TOVAR"/>
        <s v="CESAR AUGUSTO BRICEÑO CASTILLO "/>
        <s v="LUIS ALFONZO HERNANDEZ MOLINA"/>
        <s v=" MARK MACGWIRE EDUARDO LOYO MORILLO "/>
        <s v="ESTEBAN ISIDRO COLINA CONTRERAS"/>
        <s v="STEVEN JAVIER CASTILLO BAZAN"/>
        <s v="NEIBER CAMPOS OJEDA"/>
        <s v="LUIS GABRIEL SANCHEZ GARCIA "/>
        <s v="ARNOLD DAMIEL ATENCIO OJEDA"/>
        <s v="GABRIEL EFRAIN PARRA RODRIGUEZ"/>
        <s v="BRANDON SHANE ESTRADA SALGUERO"/>
        <s v="CARLOS DANIEL PEROZO INFANTE"/>
        <s v=" ACER ANTONIO MUÑOZ SIERRA"/>
        <s v="ERICK CASTILLO CASTILLO"/>
        <s v="DANIEL ALEJANDRO AMAYA LOPEZ"/>
        <s v="JOEL RODRIGUEZ"/>
        <s v="JORGE LUIS GAUNA SUAREZ"/>
        <s v="ROXDUAL ALEJANDRO PEREZ MENDEZ"/>
        <s v="CARLOS EDUARDO NEGRETTE REYES"/>
        <s v="ROBERT ANTONIO VARGAS LINARES"/>
        <s v="PABLO DAVID VALBUENA LOPEZ"/>
        <s v="LUIS JESUS GELVEZ OCHOA"/>
        <s v="LUIS DARIO PIÑANGO BOHORQUEZ"/>
        <s v="JOSÉ LUIS OLIVO SANCHEZ"/>
        <s v="ISRAEL SILOE COLMENARES LOPEZ"/>
        <s v="ARGENIS JOSE NUÑEZ MATOS"/>
        <s v="ANDRY VICENTE FLORES SALAZAR"/>
        <s v="TITO JOSE GARCIA BELLO"/>
        <s v="ROOUSBEL HERNANDEZ"/>
        <s v="ALEXIS CASTRO "/>
        <s v="JOHAN RAFAEL APONTE"/>
        <s v="PEDRO PABLO RAMIREZ HERNANDEZ "/>
        <s v="JEFFERSON ORLANDO LAREZ MARIN"/>
        <s v="JORGE LUIS JOSE RODRIGUEZ MUÑOZ"/>
        <s v="KEVIN JOSE NAVA VIERAS"/>
        <s v="JESUS ANTONIO AÑEZ GUARACO"/>
        <s v="ALEXANDER JOSE TERAN RAMIREZ"/>
        <s v="JOSE ANYER RODRIGUEZ SEGUERI"/>
        <s v="Melvin Rodriguez"/>
        <s v="Jason Graterol"/>
        <s v="Luis Decena"/>
        <s v="Carlos Abad"/>
        <s v="Ronny Garcia"/>
        <s v="Medardo Munoz"/>
        <s v="Kenner Cuba"/>
        <s v="Jose Daniel Salazar"/>
        <s v="Jairo Blanco"/>
        <s v="Franklin Flores"/>
        <s v="Jose Rodriguez"/>
        <s v="Bachir Ajami Chami"/>
        <s v="Pablo Torres"/>
        <s v="Kennys Bastida"/>
        <s v="Miguel Lopez"/>
        <s v="Eduardo Sandoval"/>
        <s v="Carlos Adames"/>
        <s v="Jose Navas"/>
        <s v="Yohan Peraza"/>
        <s v="Armando Caicedo"/>
        <s v="Luis Franchi"/>
        <s v="Eudimar Aguirre"/>
        <s v="Gustavo Alvarado"/>
        <s v="Kevin Yablonkis"/>
        <s v="Domysmer Perez"/>
        <s v="Daniel Parra"/>
        <s v="Andres Castillo"/>
        <s v="Wilson Ponce"/>
        <s v="Luis Farfan"/>
        <s v="Jesus Brito"/>
        <s v="Moises Berenzuela"/>
        <s v="Keyber Davila"/>
        <s v="Alain Garcia"/>
        <s v="Simon Vegas"/>
        <s v="Hosnel Centeno"/>
        <s v="Rafael Solozarno"/>
        <s v="Mitchel Rivas"/>
        <s v="Javier Ruiz"/>
        <s v="Jean Castillo"/>
        <s v="David Gassette"/>
        <s v="Hugo Martinez"/>
        <s v="Martin Andres Uribe (Promocion)"/>
        <s v="Jhonny Peralta"/>
        <s v="Jose Rangel"/>
        <s v="Wuilman Salvatierra"/>
        <s v="Marlon Utreras"/>
        <s v="Romulo Rincones"/>
        <s v="Alis Arana"/>
        <s v="Francisco Belisario"/>
        <s v="Jose Garrido"/>
        <s v="Jose Flores"/>
        <s v="Eliecer Silva"/>
        <s v="Victor Ortiz"/>
        <s v="Evel Campos"/>
        <s v="Jose Astudillo (cambio)"/>
        <s v="Arnaldo Martinez (promocion)"/>
        <s v="Juan Santaella (promocion)"/>
        <s v="Antonio Cerruto"/>
        <s v="Jhon Chavez"/>
        <s v="Ali Tranquini"/>
        <s v="Endy Gonzalez"/>
        <s v="Eliezer Segovia"/>
        <s v="Sandru Perez"/>
        <s v="Hector Torrealba"/>
        <s v="Jean Moussa"/>
        <s v="Candido Estanga"/>
        <s v="NIUMAR MANUEL MATA VERA"/>
        <s v="RUBEN DAVID CANAS ROSADO"/>
        <s v="JORGE LUIS NUNEZ AGUILERA"/>
        <s v="JESUS RAFAEL MATA MARCANO"/>
        <s v="JESUS ANDRES RAMIREZ ROMERO"/>
        <s v="NANYOR ENRIQUE ABACHE LOZADA"/>
        <s v="Wladimir Rodriguez"/>
        <s v="Eluis Madrid"/>
        <s v="Reynaldo Patiño"/>
        <s v="Juan Cabeza"/>
        <s v="Moises Salazar"/>
        <s v="Manuel Zabala"/>
        <s v="Jesus Aponte"/>
        <s v="KEVIN PRADO"/>
        <s v="EDWIN JOSE SILVA GIMENEZ"/>
        <s v="OSCAR JOSE RIVERO RODRIGUEZ"/>
        <s v="OMAR CAMACARO"/>
        <s v="FERNANDO ANDRES RONDON ARAPE"/>
        <s v="ANDRU DE LOS SANTOS FIGUEROA PEROZO"/>
        <s v="DANIEL ANDRES YAGUAS TORREALBA"/>
        <s v="EDGAR JOSE MUJICA PIÑA"/>
        <s v="KEOMA JESUS EDUARDO HERNANDEZ ROJAS"/>
        <s v="YON ELIMELEC SALAZAR CANELON"/>
        <s v="ENRIQUE ANTONIO COLINA RODRIGUEZ"/>
        <s v="CARLOS ALEXANDER LINAREZ MELENDEZ"/>
        <s v="JOSE ARRIECHE "/>
        <s v="CARLOS ALBERTO VERA ZURITA"/>
        <s v="JOSÉ ANGEL WANKLAAR NÚÑEZ"/>
        <s v="JOSE RENEE MACHADO FERREIRO"/>
        <s v="CARLOS ENRIQUE  PEREZ RAMOS"/>
        <s v="BRANDO SEGUNDO GARRIDO GONZALEZ"/>
        <s v="DENNYS MANUEL SANDOVAL  ORELLANA"/>
        <s v="LALESKA BRIGGIT PEÑA VELASQUEZ "/>
        <s v="JESUS ELIAS MONTILLA MENDEZ"/>
        <s v="ALEXIS DURÁN"/>
        <s v="ELISAUL BENÍTEZ"/>
        <s v="HANSIELL PADRON MUÑOZ"/>
        <s v="JUAN RINCON MESA"/>
        <s v="JONIEL PADRON MUÑOZ"/>
        <s v="HERMES PINEDA"/>
        <s v="VALLESE CORONEL, ARNALDO XAVIER"/>
        <s v="MORENO VARON, JOAN ERNESTO"/>
        <s v="BLANCO CARMONA, WILMER LUIS"/>
        <s v="MARVAL, HUMBERTO JOSE"/>
        <s v="VILCHEZ APARICIO, JAVIER ENRIQUE"/>
        <s v="Alex Godoy"/>
        <s v="ARMANDO PADILLA"/>
        <s v="LUIS NAVEDA"/>
        <s v="HANS GUTIERREZ"/>
        <s v="CRISTOPHER GUTIERREZ"/>
        <s v="JOSÉ ARIAS"/>
        <s v="HERZONG GIL"/>
        <s v="HECTOR CARMESA"/>
        <s v="WANDER OCHOA"/>
        <s v="NELSON FLORES"/>
        <s v="DARWIN PEREZ"/>
        <s v="ANDRES VALDIVIEZO" u="1"/>
        <s v="Nanyor Abache" u="1"/>
        <s v="ARNALDO VALLESE CORONEL" u="1"/>
        <s v="PABLO LOPEZ" u="1"/>
        <s v="Jesus Ramirez" u="1"/>
        <s v="Niumar Mata" u="1"/>
        <s v="Jorge Nuñez" u="1"/>
        <s v="Wilmer Blanco" u="1"/>
        <s v="Ruben Cañas" u="1"/>
        <s v="JOAN MORENO VARON" u="1"/>
        <s v="WILLIAMS ROMERO" u="1"/>
        <s v="Javier Vilchez" u="1"/>
        <s v="GERMAIN GONZALEZ" u="1"/>
        <s v="Jesus Mata" u="1"/>
        <s v="Juan Pablo Lopez" u="1"/>
        <s v="Humberto Marval" u="1"/>
      </sharedItems>
    </cacheField>
    <cacheField name="C.I." numFmtId="0">
      <sharedItems containsString="0" containsBlank="1" containsNumber="1" containsInteger="1" minValue="6197994" maxValue="31903946"/>
    </cacheField>
    <cacheField name="Cargo" numFmtId="0">
      <sharedItems containsBlank="1" count="15">
        <s v="Técnico"/>
        <s v="Auxiliar"/>
        <s v="AUXILIAR II"/>
        <s v="AUXILIAR I"/>
        <s v="Supervisor"/>
        <s v="TECNICO II"/>
        <s v="Analista"/>
        <s v="TECNICO II DE IMPLEMENTACION"/>
        <s v="SUPERVISOR DE IMPLEMENTACION"/>
        <s v="Analista de Operaciones"/>
        <s v="Tecnico I"/>
        <s v="Tecnico II (Fibra)"/>
        <s v="Auxiliar II (Fibra)"/>
        <s v="Supervisor de Operaciones"/>
        <m u="1"/>
      </sharedItems>
    </cacheField>
    <cacheField name="Dpto." numFmtId="0">
      <sharedItems/>
    </cacheField>
    <cacheField name="Contador" numFmtId="0">
      <sharedItems containsSemiMixedTypes="0" containsString="0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34">
  <r>
    <x v="0"/>
    <s v="ANZOATEGUI"/>
    <s v="CORPORACIÓN FIBEX TELECOM, C.A."/>
    <n v="2672573314"/>
    <s v="ABELARDO ANTONIO YROBO BOROTOCHE"/>
    <n v="8278822"/>
    <x v="0"/>
    <s v="O&amp;M"/>
    <s v="JIMMI SALAZAR"/>
    <x v="0"/>
    <d v="2025-04-01T00:00:00"/>
    <x v="0"/>
    <s v="-"/>
    <x v="0"/>
    <s v="-"/>
    <x v="0"/>
    <s v="-"/>
    <s v="NO"/>
    <s v="SI"/>
    <m/>
    <n v="1"/>
  </r>
  <r>
    <x v="0"/>
    <s v="ANZOATEGUI"/>
    <s v="CORPORACIÓN FIBEX TELECOM, C.A."/>
    <n v="2672573314"/>
    <s v="CARLOS ANTONIO ABAD OCHOA"/>
    <n v="8295161"/>
    <x v="0"/>
    <s v="O&amp;M"/>
    <s v="JIMMI SALAZAR"/>
    <x v="1"/>
    <s v="-"/>
    <x v="0"/>
    <s v="-"/>
    <x v="0"/>
    <s v="-"/>
    <x v="0"/>
    <s v="-"/>
    <s v="SI"/>
    <s v="SI"/>
    <m/>
    <n v="1"/>
  </r>
  <r>
    <x v="0"/>
    <s v="ANZOATEGUI"/>
    <s v="CORPORACIÓN FIBEX TELECOM, C.A."/>
    <n v="2672573314"/>
    <s v="CARLOS ENRIQUE OCANDO RIOS"/>
    <n v="25478858"/>
    <x v="0"/>
    <s v="O&amp;M"/>
    <s v="JIMMI SALAZAR"/>
    <x v="0"/>
    <d v="2025-04-01T00:00:00"/>
    <x v="0"/>
    <s v="-"/>
    <x v="0"/>
    <s v="-"/>
    <x v="0"/>
    <s v="-"/>
    <s v="NO"/>
    <s v="SI"/>
    <m/>
    <n v="1"/>
  </r>
  <r>
    <x v="0"/>
    <s v="ANZOATEGUI"/>
    <s v="CORPORACIÓN FIBEX TELECOM, C.A."/>
    <n v="2672573314"/>
    <s v="CARLOS RAMON MONTILLA RODRIGUEZ"/>
    <n v="13168246"/>
    <x v="0"/>
    <s v="O&amp;M"/>
    <s v="JIMMI SALAZAR"/>
    <x v="0"/>
    <d v="2025-04-01T00:00:00"/>
    <x v="0"/>
    <s v="-"/>
    <x v="0"/>
    <s v="-"/>
    <x v="0"/>
    <s v="-"/>
    <s v="SI"/>
    <s v="SI"/>
    <m/>
    <n v="1"/>
  </r>
  <r>
    <x v="0"/>
    <s v="ANZOATEGUI"/>
    <s v="CORPORACIÓN FIBEX TELECOM, C.A."/>
    <n v="2672573314"/>
    <s v="DANIEL ENRIQUE CASTELLANOS FIGUEROA"/>
    <n v="28257470"/>
    <x v="1"/>
    <s v="CDR"/>
    <s v="JIMMI SALAZAR"/>
    <x v="1"/>
    <s v="-"/>
    <x v="0"/>
    <s v="-"/>
    <x v="0"/>
    <s v="-"/>
    <x v="0"/>
    <s v="-"/>
    <s v="NO"/>
    <s v="SI"/>
    <m/>
    <n v="1"/>
  </r>
  <r>
    <x v="0"/>
    <s v="ANZOATEGUI"/>
    <s v="CORPORACIÓN FIBEX TELECOM, C.A."/>
    <n v="2672573314"/>
    <s v="DERVIS DANIEL GARCIA GARCIA"/>
    <n v="27345748"/>
    <x v="1"/>
    <s v="O&amp;M"/>
    <s v="JIMMI SALAZAR"/>
    <x v="0"/>
    <d v="2025-04-01T00:00:00"/>
    <x v="0"/>
    <s v="-"/>
    <x v="0"/>
    <s v="-"/>
    <x v="0"/>
    <s v="-"/>
    <s v="NO"/>
    <s v="SI"/>
    <m/>
    <n v="1"/>
  </r>
  <r>
    <x v="0"/>
    <s v="ANZOATEGUI"/>
    <s v="CORPORACIÓN FIBEX TELECOM, C.A."/>
    <n v="2672573314"/>
    <s v="EDUARD JOSE PARAQUEIMO RUIZ"/>
    <n v="25721872"/>
    <x v="1"/>
    <s v="O&amp;M"/>
    <s v="JIMMI SALAZAR"/>
    <x v="0"/>
    <d v="2025-04-01T00:00:00"/>
    <x v="0"/>
    <s v="-"/>
    <x v="0"/>
    <s v="-"/>
    <x v="0"/>
    <s v="-"/>
    <s v="NO"/>
    <s v="SI"/>
    <m/>
    <n v="1"/>
  </r>
  <r>
    <x v="0"/>
    <s v="ANZOATEGUI"/>
    <s v="CORPORACIÓN FIBEX TELECOM, C.A."/>
    <n v="2672573314"/>
    <s v="ENRIQUE JOSE VILORIA SALAZAR"/>
    <n v="21042054"/>
    <x v="0"/>
    <s v="O&amp;M"/>
    <s v="JIMMI SALAZAR"/>
    <x v="1"/>
    <s v="-"/>
    <x v="0"/>
    <s v="-"/>
    <x v="0"/>
    <s v="-"/>
    <x v="0"/>
    <s v="-"/>
    <s v="NO"/>
    <s v="SI"/>
    <m/>
    <n v="1"/>
  </r>
  <r>
    <x v="0"/>
    <s v="ANZOATEGUI"/>
    <s v="CORPORACIÓN FIBEX TELECOM, C.A."/>
    <n v="2672573314"/>
    <s v="GABRIEL JOSE MARQUEZ RUIZ"/>
    <n v="28069528"/>
    <x v="1"/>
    <s v="O&amp;M"/>
    <s v="JIMMI SALAZAR"/>
    <x v="0"/>
    <d v="2025-04-01T00:00:00"/>
    <x v="0"/>
    <s v="-"/>
    <x v="0"/>
    <s v="-"/>
    <x v="0"/>
    <s v="-"/>
    <s v="NO"/>
    <s v="SI"/>
    <m/>
    <n v="1"/>
  </r>
  <r>
    <x v="0"/>
    <s v="ANZOATEGUI"/>
    <s v="CORPORACIÓN FIBEX TELECOM, C.A."/>
    <n v="2672573314"/>
    <s v="GERALDINE ALEJANDRA BARBERA NAVARRO"/>
    <n v="26228015"/>
    <x v="2"/>
    <s v="O&amp;M"/>
    <s v="JIMMI SALAZAR"/>
    <x v="1"/>
    <s v="-"/>
    <x v="0"/>
    <s v="-"/>
    <x v="0"/>
    <s v="-"/>
    <x v="0"/>
    <s v="-"/>
    <s v="SI"/>
    <s v="SI"/>
    <m/>
    <n v="1"/>
  </r>
  <r>
    <x v="0"/>
    <s v="ANZOATEGUI"/>
    <s v="CORPORACIÓN FIBEX TELECOM, C.A."/>
    <n v="2672573314"/>
    <s v="GUILLERMO JOSE GUTIERREZ FARIÑA"/>
    <n v="23998595"/>
    <x v="1"/>
    <s v="O&amp;M"/>
    <s v="JIMMI SALAZAR"/>
    <x v="1"/>
    <s v="-"/>
    <x v="0"/>
    <s v="-"/>
    <x v="0"/>
    <s v="-"/>
    <x v="0"/>
    <s v="-"/>
    <s v="SI"/>
    <s v="SI"/>
    <m/>
    <n v="1"/>
  </r>
  <r>
    <x v="0"/>
    <s v="ANZOATEGUI"/>
    <s v="CORPORACIÓN FIBEX TELECOM, C.A."/>
    <n v="2672573314"/>
    <s v="GUSTAVO RAFAEL QUIARO CASTILLO"/>
    <n v="16491274"/>
    <x v="0"/>
    <s v="O&amp;M"/>
    <s v="JIMMI SALAZAR"/>
    <x v="0"/>
    <d v="2025-04-01T00:00:00"/>
    <x v="0"/>
    <s v="-"/>
    <x v="0"/>
    <s v="-"/>
    <x v="0"/>
    <s v="-"/>
    <s v="NO"/>
    <s v="SI"/>
    <m/>
    <n v="1"/>
  </r>
  <r>
    <x v="0"/>
    <s v="ANZOATEGUI"/>
    <s v="CORPORACIÓN FIBEX TELECOM, C.A."/>
    <n v="2672573314"/>
    <s v="IGOR JOSE POYER RODRIGUEZ"/>
    <n v="19854126"/>
    <x v="2"/>
    <s v="MDC"/>
    <s v="JIMMI SALAZAR"/>
    <x v="1"/>
    <s v="-"/>
    <x v="0"/>
    <s v="-"/>
    <x v="0"/>
    <s v="-"/>
    <x v="0"/>
    <s v="-"/>
    <s v="SI"/>
    <s v="SI"/>
    <m/>
    <n v="1"/>
  </r>
  <r>
    <x v="0"/>
    <s v="ANZOATEGUI"/>
    <s v="CORPORACIÓN FIBEX TELECOM, C.A."/>
    <n v="2672573314"/>
    <s v="ISAIR JOSE LOZADA GARCIA"/>
    <n v="16055466"/>
    <x v="1"/>
    <s v="O&amp;M"/>
    <s v="JIMMI SALAZAR"/>
    <x v="0"/>
    <d v="2025-04-01T00:00:00"/>
    <x v="0"/>
    <s v="-"/>
    <x v="0"/>
    <s v="-"/>
    <x v="0"/>
    <s v="-"/>
    <s v="NO"/>
    <s v="SI"/>
    <m/>
    <n v="1"/>
  </r>
  <r>
    <x v="0"/>
    <s v="ANZOATEGUI"/>
    <s v="CORPORACIÓN FIBEX TELECOM, C.A."/>
    <n v="2672573314"/>
    <s v="ISIDER RAFAEL OCTAVIO FERNANDEZ CARPIO"/>
    <n v="19438470"/>
    <x v="3"/>
    <s v="O&amp;M"/>
    <s v="JIMMI SALAZAR"/>
    <x v="1"/>
    <s v="-"/>
    <x v="0"/>
    <s v="-"/>
    <x v="0"/>
    <s v="-"/>
    <x v="0"/>
    <s v="-"/>
    <s v="NO"/>
    <s v="SI"/>
    <m/>
    <n v="1"/>
  </r>
  <r>
    <x v="0"/>
    <s v="ANZOATEGUI"/>
    <s v="CORPORACIÓN FIBEX TELECOM, C.A."/>
    <n v="2672573314"/>
    <s v="ISRAEL DAVID HERNANDEZ"/>
    <n v="21613295"/>
    <x v="0"/>
    <s v="O&amp;M"/>
    <s v="JIMMI SALAZAR"/>
    <x v="1"/>
    <s v="-"/>
    <x v="0"/>
    <s v="-"/>
    <x v="0"/>
    <s v="-"/>
    <x v="0"/>
    <s v="-"/>
    <s v="SI"/>
    <s v="SI"/>
    <m/>
    <n v="1"/>
  </r>
  <r>
    <x v="0"/>
    <s v="ANZOATEGUI"/>
    <s v="CORPORACIÓN FIBEX TELECOM, C.A."/>
    <n v="2672573314"/>
    <s v="JAROLD EFRAIN MEDINA RUIZ"/>
    <n v="10227502"/>
    <x v="0"/>
    <s v="O&amp;M"/>
    <s v="JIMMI SALAZAR"/>
    <x v="0"/>
    <d v="2025-04-01T00:00:00"/>
    <x v="0"/>
    <s v="-"/>
    <x v="0"/>
    <s v="-"/>
    <x v="0"/>
    <s v="-"/>
    <s v="NO"/>
    <s v="SI"/>
    <m/>
    <n v="1"/>
  </r>
  <r>
    <x v="0"/>
    <s v="ANZOATEGUI"/>
    <s v="CORPORACIÓN FIBEX TELECOM, C.A."/>
    <n v="2672573314"/>
    <s v="JASON ENRIQUE GRATEROL RIVAS"/>
    <n v="29838138"/>
    <x v="1"/>
    <s v="O&amp;M"/>
    <s v="JIMMI SALAZAR"/>
    <x v="1"/>
    <s v="-"/>
    <x v="0"/>
    <s v="-"/>
    <x v="0"/>
    <s v="-"/>
    <x v="0"/>
    <s v="-"/>
    <s v="NO"/>
    <s v="SI"/>
    <m/>
    <n v="1"/>
  </r>
  <r>
    <x v="0"/>
    <s v="ANZOATEGUI"/>
    <s v="CORPORACIÓN FIBEX TELECOM, C.A."/>
    <n v="2672573314"/>
    <s v="JHONNY ALEXANDER VILLAROEL CAMPOS"/>
    <n v="22842272"/>
    <x v="0"/>
    <s v="O&amp;M"/>
    <s v="JIMMI SALAZAR"/>
    <x v="0"/>
    <d v="2025-04-01T00:00:00"/>
    <x v="0"/>
    <s v="-"/>
    <x v="0"/>
    <s v="-"/>
    <x v="0"/>
    <s v="-"/>
    <s v="NO"/>
    <s v="SI"/>
    <m/>
    <n v="1"/>
  </r>
  <r>
    <x v="0"/>
    <s v="ANZOATEGUI"/>
    <s v="CORPORACIÓN FIBEX TELECOM, C.A."/>
    <n v="2672573314"/>
    <s v="JIMMI GUILLERMO SALAZAR GARCIA"/>
    <n v="27345053"/>
    <x v="4"/>
    <s v="O&amp;M"/>
    <s v="JIMMI SALAZAR"/>
    <x v="0"/>
    <d v="2025-04-01T00:00:00"/>
    <x v="1"/>
    <d v="2025-04-01T00:00:00"/>
    <x v="0"/>
    <s v="-"/>
    <x v="0"/>
    <s v="-"/>
    <s v="NO"/>
    <s v="SI"/>
    <m/>
    <n v="1"/>
  </r>
  <r>
    <x v="0"/>
    <s v="ANZOATEGUI"/>
    <s v="CORPORACIÓN FIBEX TELECOM, C.A."/>
    <n v="2672573314"/>
    <s v="JOEL DARIO DURAN RENGEL"/>
    <n v="26109784"/>
    <x v="0"/>
    <s v="O&amp;M"/>
    <s v="JIMMI SALAZAR"/>
    <x v="0"/>
    <d v="2025-04-01T00:00:00"/>
    <x v="0"/>
    <s v="-"/>
    <x v="0"/>
    <s v="-"/>
    <x v="0"/>
    <s v="-"/>
    <s v="NO"/>
    <s v="SI"/>
    <m/>
    <n v="1"/>
  </r>
  <r>
    <x v="0"/>
    <s v="ANZOATEGUI"/>
    <s v="CORPORACIÓN FIBEX TELECOM, C.A."/>
    <n v="2672573314"/>
    <s v="JOSE DANIEL SALAZAR LÓPEZ"/>
    <n v="28065677"/>
    <x v="1"/>
    <s v="O&amp;M"/>
    <s v="JIMMI SALAZAR"/>
    <x v="1"/>
    <s v="-"/>
    <x v="0"/>
    <s v="-"/>
    <x v="0"/>
    <s v="-"/>
    <x v="0"/>
    <s v="-"/>
    <s v="NO"/>
    <s v="SI"/>
    <m/>
    <n v="1"/>
  </r>
  <r>
    <x v="0"/>
    <s v="ANZOATEGUI"/>
    <s v="CORPORACIÓN FIBEX TELECOM, C.A."/>
    <n v="2672573314"/>
    <s v="JOSE GREGORIO ONORE ZERPA"/>
    <n v="25083549"/>
    <x v="0"/>
    <s v="O&amp;M"/>
    <s v="JIMMI SALAZAR"/>
    <x v="0"/>
    <d v="2025-04-01T00:00:00"/>
    <x v="0"/>
    <s v="-"/>
    <x v="0"/>
    <s v="-"/>
    <x v="0"/>
    <s v="-"/>
    <s v="SI"/>
    <s v="SI"/>
    <m/>
    <n v="1"/>
  </r>
  <r>
    <x v="0"/>
    <s v="ANZOATEGUI"/>
    <s v="CORPORACIÓN FIBEX TELECOM, C.A."/>
    <n v="2672573314"/>
    <s v="JOSE MANUEL MARCANO GARCIA"/>
    <n v="25898015"/>
    <x v="2"/>
    <s v="MDC"/>
    <s v="JIMMI SALAZAR"/>
    <x v="1"/>
    <s v="-"/>
    <x v="0"/>
    <s v="-"/>
    <x v="0"/>
    <s v="-"/>
    <x v="0"/>
    <s v="-"/>
    <s v="SI"/>
    <s v="SI"/>
    <m/>
    <n v="1"/>
  </r>
  <r>
    <x v="0"/>
    <s v="ANZOATEGUI"/>
    <s v="CORPORACIÓN FIBEX TELECOM, C.A."/>
    <n v="2672573314"/>
    <s v="JULIO CESAR SANTAMARIA HERNANDEZ"/>
    <n v="23517606"/>
    <x v="0"/>
    <s v="O&amp;M"/>
    <s v="JIMMI SALAZAR"/>
    <x v="0"/>
    <d v="2025-04-01T00:00:00"/>
    <x v="0"/>
    <s v="-"/>
    <x v="0"/>
    <s v="-"/>
    <x v="0"/>
    <s v="-"/>
    <s v="NO"/>
    <s v="SI"/>
    <m/>
    <n v="1"/>
  </r>
  <r>
    <x v="0"/>
    <s v="ANZOATEGUI"/>
    <s v="CORPORACIÓN FIBEX TELECOM, C.A."/>
    <n v="2672573314"/>
    <s v="KEIVER JOSE BERROTERAN CORREA"/>
    <n v="31685684"/>
    <x v="1"/>
    <s v="O&amp;M"/>
    <s v="JIMMI SALAZAR"/>
    <x v="0"/>
    <d v="2025-04-01T00:00:00"/>
    <x v="0"/>
    <s v="-"/>
    <x v="0"/>
    <s v="-"/>
    <x v="0"/>
    <s v="-"/>
    <s v="SI"/>
    <s v="SI"/>
    <m/>
    <n v="1"/>
  </r>
  <r>
    <x v="0"/>
    <s v="ANZOATEGUI"/>
    <s v="CORPORACIÓN FIBEX TELECOM, C.A."/>
    <n v="2672573314"/>
    <s v="KENER JOSE CUBA"/>
    <n v="26070568"/>
    <x v="1"/>
    <s v="O&amp;M"/>
    <s v="JIMMI SALAZAR"/>
    <x v="1"/>
    <s v="-"/>
    <x v="0"/>
    <s v="-"/>
    <x v="0"/>
    <s v="-"/>
    <x v="0"/>
    <s v="-"/>
    <s v="NO"/>
    <s v="SI"/>
    <m/>
    <n v="1"/>
  </r>
  <r>
    <x v="0"/>
    <s v="ANZOATEGUI"/>
    <s v="CORPORACIÓN FIBEX TELECOM, C.A."/>
    <n v="2672573314"/>
    <s v="LAMBERTO JOSE MARTINEZ MANRIQUE"/>
    <n v="21311779"/>
    <x v="0"/>
    <s v="O&amp;M"/>
    <s v="JIMMI SALAZAR"/>
    <x v="0"/>
    <d v="2025-04-01T00:00:00"/>
    <x v="0"/>
    <s v="-"/>
    <x v="0"/>
    <s v="-"/>
    <x v="0"/>
    <s v="-"/>
    <s v="NO"/>
    <s v="SI"/>
    <m/>
    <n v="1"/>
  </r>
  <r>
    <x v="0"/>
    <s v="ANZOATEGUI"/>
    <s v="CORPORACIÓN FIBEX TELECOM, C.A."/>
    <n v="2672573314"/>
    <s v="LEONARDO JOSE RANGEL CARCURIAN"/>
    <n v="24392353"/>
    <x v="1"/>
    <s v="EMPALME"/>
    <s v="JIMMI SALAZAR"/>
    <x v="1"/>
    <s v="-"/>
    <x v="0"/>
    <s v="-"/>
    <x v="0"/>
    <s v="-"/>
    <x v="0"/>
    <s v="-"/>
    <s v="NO"/>
    <s v="SI"/>
    <m/>
    <n v="1"/>
  </r>
  <r>
    <x v="0"/>
    <s v="ANZOATEGUI"/>
    <s v="CORPORACIÓN FIBEX TELECOM, C.A."/>
    <n v="2672573314"/>
    <s v="LUIS MANUEL DECENA GUAREGUA"/>
    <n v="17536067"/>
    <x v="1"/>
    <s v="O&amp;M"/>
    <s v="JIMMI SALAZAR"/>
    <x v="1"/>
    <s v="-"/>
    <x v="0"/>
    <s v="-"/>
    <x v="0"/>
    <s v="-"/>
    <x v="0"/>
    <s v="-"/>
    <s v="NO"/>
    <s v="SI"/>
    <m/>
    <n v="1"/>
  </r>
  <r>
    <x v="0"/>
    <s v="ANZOATEGUI"/>
    <s v="CORPORACIÓN FIBEX TELECOM, C.A."/>
    <n v="2672573314"/>
    <s v="LUIS MIGUEL VALERI PLAZA"/>
    <n v="20330026"/>
    <x v="2"/>
    <s v="MDC"/>
    <s v="JIMMI SALAZAR"/>
    <x v="1"/>
    <s v="-"/>
    <x v="0"/>
    <s v="-"/>
    <x v="0"/>
    <s v="-"/>
    <x v="0"/>
    <s v="-"/>
    <s v="NO"/>
    <s v="SI"/>
    <m/>
    <n v="1"/>
  </r>
  <r>
    <x v="0"/>
    <s v="ANZOATEGUI"/>
    <s v="CORPORACIÓN FIBEX TELECOM, C.A."/>
    <n v="2672573314"/>
    <s v="LUIS OSCAR PACHECO GARCIA"/>
    <n v="28159627"/>
    <x v="1"/>
    <s v="O&amp;M"/>
    <s v="JIMMI SALAZAR"/>
    <x v="0"/>
    <d v="2025-04-01T00:00:00"/>
    <x v="0"/>
    <s v="-"/>
    <x v="0"/>
    <s v="-"/>
    <x v="0"/>
    <s v="-"/>
    <s v="NO"/>
    <s v="SI"/>
    <m/>
    <n v="1"/>
  </r>
  <r>
    <x v="0"/>
    <s v="ANZOATEGUI"/>
    <s v="CORPORACIÓN FIBEX TELECOM, C.A."/>
    <n v="2672573314"/>
    <s v="MANUEL FELIPE ARTEAGA PERALES"/>
    <n v="27928441"/>
    <x v="0"/>
    <s v="O&amp;M"/>
    <s v="JIMMI SALAZAR"/>
    <x v="1"/>
    <s v="-"/>
    <x v="0"/>
    <s v="-"/>
    <x v="0"/>
    <s v="-"/>
    <x v="0"/>
    <s v="-"/>
    <s v="NO"/>
    <s v="SI"/>
    <m/>
    <n v="1"/>
  </r>
  <r>
    <x v="0"/>
    <s v="ANZOATEGUI"/>
    <s v="CORPORACIÓN FIBEX TELECOM, C.A."/>
    <n v="2672573314"/>
    <s v="GRECIA ALEJANDRA, MARCANO MILLAN"/>
    <n v="27080096"/>
    <x v="4"/>
    <s v="EMPALME"/>
    <s v="JIMMI SALAZAR"/>
    <x v="1"/>
    <s v="-"/>
    <x v="0"/>
    <s v="-"/>
    <x v="0"/>
    <s v="-"/>
    <x v="0"/>
    <s v="-"/>
    <s v="NO"/>
    <s v="SI"/>
    <m/>
    <n v="1"/>
  </r>
  <r>
    <x v="0"/>
    <s v="ANZOATEGUI"/>
    <s v="CORPORACIÓN FIBEX TELECOM, C.A."/>
    <n v="2672573314"/>
    <s v="MARCOS ELIA GUAREGUA FRANCO"/>
    <n v="14828999"/>
    <x v="0"/>
    <s v="O&amp;M"/>
    <s v="JIMMI SALAZAR"/>
    <x v="0"/>
    <d v="2025-04-01T00:00:00"/>
    <x v="0"/>
    <s v="-"/>
    <x v="0"/>
    <s v="-"/>
    <x v="0"/>
    <s v="-"/>
    <s v="NO"/>
    <s v="SI"/>
    <m/>
    <n v="1"/>
  </r>
  <r>
    <x v="0"/>
    <s v="ANZOATEGUI"/>
    <s v="CORPORACIÓN FIBEX TELECOM, C.A."/>
    <n v="2672573314"/>
    <s v="MELVIN JAVIER RODRIGUEZ LOPEZ"/>
    <n v="27949628"/>
    <x v="0"/>
    <s v="O&amp;M"/>
    <s v="JIMMI SALAZAR"/>
    <x v="1"/>
    <s v="-"/>
    <x v="0"/>
    <s v="-"/>
    <x v="0"/>
    <s v="-"/>
    <x v="0"/>
    <s v="-"/>
    <s v="NO"/>
    <s v="SI"/>
    <m/>
    <n v="1"/>
  </r>
  <r>
    <x v="0"/>
    <s v="ANZOATEGUI"/>
    <s v="CORPORACIÓN FIBEX TELECOM, C.A."/>
    <n v="2672573314"/>
    <s v="MIRELYS MARIELA GALLARDO GUERRA"/>
    <n v="21080443"/>
    <x v="2"/>
    <s v="MDC"/>
    <s v="JIMMI SALAZAR"/>
    <x v="1"/>
    <s v="-"/>
    <x v="0"/>
    <s v="-"/>
    <x v="0"/>
    <s v="-"/>
    <x v="0"/>
    <s v="-"/>
    <s v="NO"/>
    <s v="SI"/>
    <m/>
    <n v="1"/>
  </r>
  <r>
    <x v="0"/>
    <s v="ANZOATEGUI"/>
    <s v="CORPORACIÓN FIBEX TELECOM, C.A."/>
    <n v="2672573314"/>
    <s v="NATHALIA JOSE FUENTES PEREZ"/>
    <n v="27299368"/>
    <x v="2"/>
    <s v="PLANTA INTERNA"/>
    <s v="JIMMI SALAZAR"/>
    <x v="1"/>
    <s v="-"/>
    <x v="0"/>
    <s v="-"/>
    <x v="0"/>
    <s v="-"/>
    <x v="0"/>
    <s v="-"/>
    <s v="NO"/>
    <s v="SI"/>
    <m/>
    <n v="1"/>
  </r>
  <r>
    <x v="0"/>
    <s v="ANZOATEGUI"/>
    <s v="CORPORACIÓN FIBEX TELECOM, C.A."/>
    <n v="2672573314"/>
    <s v="JOSE ANDRES, OLIVARES ALFONZO"/>
    <n v="25244932"/>
    <x v="3"/>
    <s v="PLANTA EXTERNA"/>
    <s v="JIMMI SALAZAR"/>
    <x v="1"/>
    <s v="-"/>
    <x v="0"/>
    <s v="-"/>
    <x v="0"/>
    <s v="-"/>
    <x v="0"/>
    <s v="-"/>
    <s v="NO"/>
    <s v="SI"/>
    <m/>
    <n v="1"/>
  </r>
  <r>
    <x v="0"/>
    <s v="ANZOATEGUI"/>
    <s v="CORPORACIÓN FIBEX TELECOM, C.A."/>
    <n v="2672573314"/>
    <s v="ONIELL JOSE RANGEL CABELLO"/>
    <n v="28560105"/>
    <x v="0"/>
    <s v="O&amp;M"/>
    <s v="JIMMI SALAZAR"/>
    <x v="1"/>
    <s v="-"/>
    <x v="0"/>
    <s v="-"/>
    <x v="0"/>
    <s v="-"/>
    <x v="0"/>
    <s v="-"/>
    <s v="NO"/>
    <s v="SI"/>
    <m/>
    <n v="1"/>
  </r>
  <r>
    <x v="0"/>
    <s v="ANZOATEGUI"/>
    <s v="CORPORACIÓN FIBEX TELECOM, C.A."/>
    <n v="2672573314"/>
    <s v="OSCAR ALEXANDER GALINDO DUN"/>
    <n v="29807214"/>
    <x v="0"/>
    <s v="O&amp;M"/>
    <s v="JIMMI SALAZAR"/>
    <x v="1"/>
    <s v="-"/>
    <x v="0"/>
    <s v="-"/>
    <x v="0"/>
    <s v="-"/>
    <x v="0"/>
    <s v="-"/>
    <s v="NO"/>
    <s v="SI"/>
    <m/>
    <n v="1"/>
  </r>
  <r>
    <x v="0"/>
    <s v="ANZOATEGUI"/>
    <s v="CORPORACIÓN FIBEX TELECOM, C.A."/>
    <n v="2672573314"/>
    <s v="PEDRO RAMON HADDAD INDRIAGO"/>
    <n v="24827965"/>
    <x v="0"/>
    <s v="O&amp;M"/>
    <s v="JIMMI SALAZAR"/>
    <x v="0"/>
    <d v="2025-04-01T00:00:00"/>
    <x v="0"/>
    <s v="-"/>
    <x v="0"/>
    <s v="-"/>
    <x v="0"/>
    <s v="-"/>
    <s v="NO"/>
    <s v="SI"/>
    <m/>
    <n v="1"/>
  </r>
  <r>
    <x v="0"/>
    <s v="ANZOATEGUI"/>
    <s v="CORPORACIÓN FIBEX TELECOM, C.A."/>
    <n v="2672573314"/>
    <s v="RICARDO ALBERTO, PIRONA VIVAS"/>
    <n v="19854687"/>
    <x v="4"/>
    <s v="MDA"/>
    <s v="JIMMI SALAZAR"/>
    <x v="1"/>
    <s v="-"/>
    <x v="0"/>
    <s v="-"/>
    <x v="0"/>
    <s v="-"/>
    <x v="0"/>
    <s v="-"/>
    <s v="NO"/>
    <s v="SI"/>
    <m/>
    <n v="1"/>
  </r>
  <r>
    <x v="0"/>
    <s v="ANZOATEGUI"/>
    <s v="CORPORACIÓN FIBEX TELECOM, C.A."/>
    <n v="2672573314"/>
    <s v="RAFAEL SEBASTIAN URBINA NUÑEZ"/>
    <n v="28580507"/>
    <x v="1"/>
    <s v="CDR"/>
    <s v="JIMMI SALAZAR"/>
    <x v="1"/>
    <s v="-"/>
    <x v="0"/>
    <s v="-"/>
    <x v="0"/>
    <s v="-"/>
    <x v="0"/>
    <s v="-"/>
    <s v="NO"/>
    <s v="SI"/>
    <m/>
    <n v="1"/>
  </r>
  <r>
    <x v="0"/>
    <s v="ANZOATEGUI"/>
    <s v="CORPORACIÓN FIBEX TELECOM, C.A."/>
    <n v="2672573314"/>
    <s v="RONNY RAMON RAFAEL CAGUA HERNANDEZ"/>
    <n v="20096292"/>
    <x v="0"/>
    <s v="O&amp;M"/>
    <s v="JIMMI SALAZAR"/>
    <x v="1"/>
    <s v="-"/>
    <x v="0"/>
    <s v="-"/>
    <x v="0"/>
    <s v="-"/>
    <x v="0"/>
    <s v="-"/>
    <s v="NO"/>
    <s v="SI"/>
    <m/>
    <n v="1"/>
  </r>
  <r>
    <x v="0"/>
    <s v="ANZOATEGUI"/>
    <s v="CORPORACIÓN FIBEX TELECOM, C.A."/>
    <n v="2672573314"/>
    <s v="ROYS ALEJANDRO GUEVARA MARTINEZ"/>
    <n v="28625242"/>
    <x v="0"/>
    <s v="O&amp;M"/>
    <s v="JIMMI SALAZAR"/>
    <x v="0"/>
    <d v="2025-04-01T00:00:00"/>
    <x v="0"/>
    <s v="-"/>
    <x v="0"/>
    <s v="-"/>
    <x v="0"/>
    <s v="-"/>
    <s v="SI"/>
    <s v="SI"/>
    <m/>
    <n v="1"/>
  </r>
  <r>
    <x v="0"/>
    <s v="ANZOATEGUI"/>
    <s v="CORPORACIÓN FIBEX TELECOM, C.A."/>
    <n v="2672573314"/>
    <s v="JESUS MARDEN, TIRADO ALCALA"/>
    <n v="27299256"/>
    <x v="3"/>
    <s v="EMPALME"/>
    <s v="JIMMI SALAZAR"/>
    <x v="1"/>
    <s v="-"/>
    <x v="0"/>
    <s v="-"/>
    <x v="0"/>
    <s v="-"/>
    <x v="0"/>
    <s v="-"/>
    <s v="NO"/>
    <s v="SI"/>
    <m/>
    <n v="1"/>
  </r>
  <r>
    <x v="0"/>
    <s v="ANZOATEGUI"/>
    <s v="CORPORACIÓN FIBEX TELECOM, C.A."/>
    <n v="2672573314"/>
    <s v="WILFREDO ANTONIO MORALES MARTINEZ"/>
    <n v="17972077"/>
    <x v="0"/>
    <s v="O&amp;M"/>
    <s v="JIMMI SALAZAR"/>
    <x v="0"/>
    <d v="2025-04-01T00:00:00"/>
    <x v="0"/>
    <s v="-"/>
    <x v="0"/>
    <s v="-"/>
    <x v="0"/>
    <s v="-"/>
    <s v="NO"/>
    <s v="SI"/>
    <m/>
    <n v="1"/>
  </r>
  <r>
    <x v="1"/>
    <s v="APURE"/>
    <s v="CORPORACIÓN FIBEX TELECOM, C.A."/>
    <n v="2672573314"/>
    <s v=" ELIEZER JOSE SEGOVIA GRACIA"/>
    <n v="7927906"/>
    <x v="3"/>
    <s v="O&amp;M"/>
    <s v="YNIHEL REYES"/>
    <x v="1"/>
    <s v="-"/>
    <x v="0"/>
    <s v="-"/>
    <x v="0"/>
    <s v="-"/>
    <x v="0"/>
    <s v="-"/>
    <s v="-"/>
    <s v="SI"/>
    <m/>
    <n v="1"/>
  </r>
  <r>
    <x v="1"/>
    <s v="APURE"/>
    <s v="CORPORACIÓN FIBEX TELECOM, C.A."/>
    <n v="2672573314"/>
    <s v="SANDRU ASDRUBAL PEREZ CORTEZ "/>
    <n v="19405719"/>
    <x v="0"/>
    <s v="O&amp;M"/>
    <s v="YNIHEL REYES"/>
    <x v="1"/>
    <s v="-"/>
    <x v="0"/>
    <s v="-"/>
    <x v="0"/>
    <s v="-"/>
    <x v="0"/>
    <s v="-"/>
    <s v="-"/>
    <s v="SI"/>
    <m/>
    <n v="1"/>
  </r>
  <r>
    <x v="1"/>
    <s v="APURE"/>
    <s v="CORPORACIÓN FIBEX TELECOM, C.A."/>
    <n v="2672573314"/>
    <s v="HECTOR RAFAEL TORREALBA RATTIA"/>
    <n v="18147774"/>
    <x v="1"/>
    <s v="O&amp;M"/>
    <s v="YNIHEL REYES"/>
    <x v="1"/>
    <s v="-"/>
    <x v="0"/>
    <s v="-"/>
    <x v="0"/>
    <s v="-"/>
    <x v="0"/>
    <s v="-"/>
    <s v="-"/>
    <s v="SI"/>
    <m/>
    <n v="1"/>
  </r>
  <r>
    <x v="1"/>
    <s v="APURE"/>
    <s v="CORPORACIÓN FIBEX TELECOM, C.A."/>
    <n v="2672573314"/>
    <s v="LEOMAR ANTONIO GODOY ASCANIO"/>
    <n v="27698895"/>
    <x v="1"/>
    <s v="O&amp;M"/>
    <s v="YNIHEL REYES"/>
    <x v="1"/>
    <s v="-"/>
    <x v="0"/>
    <s v="-"/>
    <x v="0"/>
    <s v="-"/>
    <x v="0"/>
    <s v="-"/>
    <s v="-"/>
    <s v="SI"/>
    <m/>
    <n v="1"/>
  </r>
  <r>
    <x v="2"/>
    <s v="BARINAS"/>
    <s v="CORPORACIÓN FIBEX TELECOM, C.A."/>
    <n v="2672573314"/>
    <s v="ARGENIS EDUARDO MAREA OVALLES"/>
    <n v="29559448"/>
    <x v="1"/>
    <s v="IMPLEMENTACION"/>
    <s v="ASTRID APONTE"/>
    <x v="1"/>
    <s v="-"/>
    <x v="1"/>
    <d v="2026-01-01T00:00:00"/>
    <x v="0"/>
    <s v="-"/>
    <x v="0"/>
    <s v="-"/>
    <s v="-"/>
    <s v="SI"/>
    <m/>
    <n v="1"/>
  </r>
  <r>
    <x v="2"/>
    <s v="BARINAS"/>
    <s v="CORPORACIÓN FIBEX TELECOM, C.A."/>
    <n v="2672573314"/>
    <s v="ASTRID CAROLINA APONTE ORELLANA"/>
    <n v="17608365"/>
    <x v="4"/>
    <s v="O&amp;M"/>
    <s v="ASTRID APONTE"/>
    <x v="1"/>
    <s v="-"/>
    <x v="1"/>
    <d v="2026-01-01T00:00:00"/>
    <x v="0"/>
    <s v="-"/>
    <x v="0"/>
    <s v="-"/>
    <s v="-"/>
    <s v="SI"/>
    <m/>
    <n v="1"/>
  </r>
  <r>
    <x v="2"/>
    <s v="BARINAS"/>
    <s v="CORPORACIÓN FIBEX TELECOM, C.A."/>
    <n v="2672573314"/>
    <s v="BACHIR AJAMI CHAMI"/>
    <n v="18117004"/>
    <x v="1"/>
    <s v="O&amp;M"/>
    <s v="ASTRID APONTE"/>
    <x v="1"/>
    <s v="-"/>
    <x v="1"/>
    <d v="2026-01-01T00:00:00"/>
    <x v="0"/>
    <s v="-"/>
    <x v="0"/>
    <s v="-"/>
    <s v="-"/>
    <s v="SI"/>
    <m/>
    <n v="1"/>
  </r>
  <r>
    <x v="2"/>
    <s v="BARINAS"/>
    <s v="CORPORACIÓN FIBEX TELECOM, C.A."/>
    <n v="2672573314"/>
    <s v="CARLOS MANUEL GONZALEZ HERRERA"/>
    <n v="17768920"/>
    <x v="2"/>
    <s v="MDC"/>
    <s v="ASTRID APONTE"/>
    <x v="1"/>
    <s v="-"/>
    <x v="1"/>
    <d v="2026-01-01T00:00:00"/>
    <x v="0"/>
    <s v="-"/>
    <x v="0"/>
    <s v="-"/>
    <s v="-"/>
    <s v="SI"/>
    <m/>
    <n v="1"/>
  </r>
  <r>
    <x v="2"/>
    <s v="BARINAS"/>
    <s v="CORPORACIÓN FIBEX TELECOM, C.A."/>
    <n v="2672573314"/>
    <s v="FRANKLIN JOSE RAMIREZ"/>
    <n v="16791597"/>
    <x v="0"/>
    <s v="O&amp;M"/>
    <s v="ASTRID APONTE"/>
    <x v="1"/>
    <s v="-"/>
    <x v="1"/>
    <d v="2026-01-01T00:00:00"/>
    <x v="0"/>
    <s v="-"/>
    <x v="0"/>
    <s v="-"/>
    <s v="-"/>
    <s v="SI"/>
    <m/>
    <n v="1"/>
  </r>
  <r>
    <x v="2"/>
    <s v="BARINAS"/>
    <s v="CORPORACIÓN FIBEX TELECOM, C.A."/>
    <n v="2672573314"/>
    <s v="FRANKLIN JOSUE FLORES LANDAETA"/>
    <n v="28546747"/>
    <x v="1"/>
    <s v="O&amp;M"/>
    <s v="ASTRID APONTE"/>
    <x v="1"/>
    <s v="-"/>
    <x v="1"/>
    <d v="2026-01-01T00:00:00"/>
    <x v="0"/>
    <s v="-"/>
    <x v="0"/>
    <s v="-"/>
    <s v="-"/>
    <s v="SI"/>
    <m/>
    <n v="1"/>
  </r>
  <r>
    <x v="2"/>
    <s v="BARINAS"/>
    <s v="CORPORACIÓN FIBEX TELECOM, C.A."/>
    <n v="2672573314"/>
    <s v="GUSTAVO ALONSO PERDOMO  MORENO"/>
    <n v="16488211"/>
    <x v="0"/>
    <s v="O&amp;M"/>
    <s v="ASTRID APONTE"/>
    <x v="1"/>
    <s v="-"/>
    <x v="1"/>
    <d v="2026-01-01T00:00:00"/>
    <x v="0"/>
    <s v="-"/>
    <x v="0"/>
    <s v="-"/>
    <s v="-"/>
    <s v="SI"/>
    <m/>
    <n v="1"/>
  </r>
  <r>
    <x v="2"/>
    <s v="BARINAS"/>
    <s v="CORPORACIÓN FIBEX TELECOM, C.A."/>
    <n v="2672573314"/>
    <s v="JAIRO JOSE BLANCO AGUIRRE"/>
    <n v="12204043"/>
    <x v="0"/>
    <s v="O&amp;M"/>
    <s v="ASTRID APONTE"/>
    <x v="1"/>
    <s v="-"/>
    <x v="1"/>
    <d v="2026-01-01T00:00:00"/>
    <x v="0"/>
    <s v="-"/>
    <x v="0"/>
    <s v="-"/>
    <s v="-"/>
    <s v="SI"/>
    <m/>
    <n v="1"/>
  </r>
  <r>
    <x v="2"/>
    <s v="BARINAS"/>
    <s v="CORPORACIÓN FIBEX TELECOM, C.A."/>
    <n v="2672573314"/>
    <s v="JOSE ANTONIO RODRIGUEZ ANDUEZA"/>
    <n v="25033526"/>
    <x v="1"/>
    <s v="O&amp;M"/>
    <s v="ASTRID APONTE"/>
    <x v="1"/>
    <s v="-"/>
    <x v="1"/>
    <d v="2026-01-01T00:00:00"/>
    <x v="0"/>
    <s v="-"/>
    <x v="0"/>
    <s v="-"/>
    <s v="-"/>
    <s v="SI"/>
    <m/>
    <n v="1"/>
  </r>
  <r>
    <x v="2"/>
    <s v="BARINAS"/>
    <s v="CORPORACIÓN FIBEX TELECOM, C.A."/>
    <n v="2672573314"/>
    <s v="JUAN FRANCISCO ALIZA RODRIGUEZ"/>
    <n v="18558936"/>
    <x v="0"/>
    <s v="IMPLEMENTACION"/>
    <s v="ASTRID APONTE"/>
    <x v="1"/>
    <s v="-"/>
    <x v="1"/>
    <d v="2026-01-01T00:00:00"/>
    <x v="0"/>
    <s v="-"/>
    <x v="0"/>
    <s v="-"/>
    <s v="-"/>
    <s v="SI"/>
    <m/>
    <n v="1"/>
  </r>
  <r>
    <x v="2"/>
    <s v="BARINAS"/>
    <s v="CORPORACIÓN FIBEX TELECOM, C.A."/>
    <n v="2672573314"/>
    <s v="KENNYS ADELIS BASTIDAS UZCATEGUI"/>
    <n v="16475090"/>
    <x v="1"/>
    <s v="O&amp;M"/>
    <s v="ASTRID APONTE"/>
    <x v="1"/>
    <s v="-"/>
    <x v="1"/>
    <d v="2026-01-01T00:00:00"/>
    <x v="0"/>
    <s v="-"/>
    <x v="0"/>
    <s v="-"/>
    <s v="-"/>
    <s v="SI"/>
    <m/>
    <n v="1"/>
  </r>
  <r>
    <x v="2"/>
    <s v="BARINAS"/>
    <s v="CORPORACIÓN FIBEX TELECOM, C.A."/>
    <n v="2672573314"/>
    <s v="PABLO JOSE TORRES HIDALGO"/>
    <n v="19187119"/>
    <x v="0"/>
    <s v="O&amp;M"/>
    <s v="ASTRID APONTE"/>
    <x v="1"/>
    <s v="-"/>
    <x v="1"/>
    <d v="2026-01-01T00:00:00"/>
    <x v="0"/>
    <s v="-"/>
    <x v="0"/>
    <s v="-"/>
    <s v="-"/>
    <s v="SI"/>
    <m/>
    <n v="1"/>
  </r>
  <r>
    <x v="2"/>
    <s v="BARINAS"/>
    <s v="CORPORACIÓN FIBEX TELECOM, C.A."/>
    <n v="2672573314"/>
    <s v="PEDRO LUIS PEÑA"/>
    <n v="19069992"/>
    <x v="3"/>
    <s v="O&amp;M"/>
    <s v="ASTRID APONTE"/>
    <x v="1"/>
    <s v="-"/>
    <x v="1"/>
    <d v="2026-01-01T00:00:00"/>
    <x v="0"/>
    <s v="-"/>
    <x v="0"/>
    <s v="-"/>
    <s v="-"/>
    <s v="SI"/>
    <m/>
    <n v="1"/>
  </r>
  <r>
    <x v="2"/>
    <s v="BARINAS"/>
    <s v="CORPORACIÓN FIBEX TELECOM, C.A."/>
    <n v="2672573314"/>
    <s v="WILLIAN JOSE MENDEZ RODRIGUEZ"/>
    <n v="25468705"/>
    <x v="1"/>
    <s v="IMPLEMENTACION"/>
    <s v="ASTRID APONTE"/>
    <x v="1"/>
    <s v="-"/>
    <x v="1"/>
    <d v="2026-01-01T00:00:00"/>
    <x v="0"/>
    <s v="-"/>
    <x v="0"/>
    <s v="-"/>
    <s v="-"/>
    <s v="SI"/>
    <m/>
    <n v="1"/>
  </r>
  <r>
    <x v="3"/>
    <s v="CARABOBO"/>
    <s v="CORPORACIÓN FIBEX TELECOM, C.A."/>
    <n v="2672573314"/>
    <s v="CRISTHELLYS GRAZZIELA ALVAREZ FANEITE"/>
    <n v="21031246"/>
    <x v="4"/>
    <s v="O&amp;M"/>
    <s v="PENDIENTE INFORMACIÓN"/>
    <x v="1"/>
    <s v="-"/>
    <x v="0"/>
    <s v="-"/>
    <x v="0"/>
    <s v="-"/>
    <x v="0"/>
    <s v="-"/>
    <s v="-"/>
    <s v="SI"/>
    <m/>
    <n v="1"/>
  </r>
  <r>
    <x v="3"/>
    <s v="CARABOBO"/>
    <s v="CORPORACIÓN FIBEX TELECOM, C.A."/>
    <n v="2672573314"/>
    <s v="JIM GUIDO TORREALBA  MONTILLA"/>
    <n v="25303300"/>
    <x v="3"/>
    <s v="O&amp;M"/>
    <s v="PENDIENTE INFORMACIÓN"/>
    <x v="1"/>
    <s v="-"/>
    <x v="0"/>
    <s v="-"/>
    <x v="0"/>
    <s v="-"/>
    <x v="0"/>
    <s v="-"/>
    <s v="-"/>
    <s v="SI"/>
    <m/>
    <n v="1"/>
  </r>
  <r>
    <x v="3"/>
    <s v="CARABOBO"/>
    <s v="CORPORACIÓN FIBEX TELECOM, C.A."/>
    <n v="2672573314"/>
    <s v="GREY FABIOLA ESCOBAR PEÑA"/>
    <n v="12524865"/>
    <x v="4"/>
    <s v="O&amp;M"/>
    <s v="PENDIENTE INFORMACIÓN"/>
    <x v="1"/>
    <s v="-"/>
    <x v="0"/>
    <s v="-"/>
    <x v="0"/>
    <s v="-"/>
    <x v="0"/>
    <s v="-"/>
    <s v="-"/>
    <s v="SI"/>
    <m/>
    <n v="1"/>
  </r>
  <r>
    <x v="3"/>
    <s v="CARABOBO"/>
    <s v="CORPORACIÓN FIBEX TELECOM, C.A."/>
    <n v="2672573314"/>
    <s v="LEONEYDIS ANGELIMAR GARCIA MUJICA"/>
    <n v="31129214"/>
    <x v="2"/>
    <s v="O&amp;M"/>
    <s v="PENDIENTE INFORMACIÓN"/>
    <x v="1"/>
    <s v="-"/>
    <x v="0"/>
    <s v="-"/>
    <x v="0"/>
    <s v="-"/>
    <x v="0"/>
    <s v="-"/>
    <s v="-"/>
    <s v="SI"/>
    <m/>
    <n v="1"/>
  </r>
  <r>
    <x v="3"/>
    <s v="CARABOBO"/>
    <s v="CORPORACIÓN FIBEX TELECOM, C.A."/>
    <n v="2672573314"/>
    <s v="FRANCISCO JOSE  SAMBRANO MONTERO"/>
    <n v="25107590"/>
    <x v="2"/>
    <s v="O&amp;M"/>
    <s v="PENDIENTE INFORMACIÓN"/>
    <x v="1"/>
    <s v="-"/>
    <x v="0"/>
    <s v="-"/>
    <x v="0"/>
    <s v="-"/>
    <x v="0"/>
    <s v="-"/>
    <s v="-"/>
    <s v="SI"/>
    <m/>
    <n v="1"/>
  </r>
  <r>
    <x v="3"/>
    <s v="CARABOBO"/>
    <s v="CORPORACIÓN FIBEX TELECOM, C.A."/>
    <n v="2672573314"/>
    <s v="RICARDO OSNEIVER GONZALEZ NIERES"/>
    <n v="31233143"/>
    <x v="2"/>
    <s v="O&amp;M"/>
    <s v="PENDIENTE INFORMACIÓN"/>
    <x v="1"/>
    <s v="-"/>
    <x v="0"/>
    <s v="-"/>
    <x v="0"/>
    <s v="-"/>
    <x v="0"/>
    <s v="-"/>
    <s v="-"/>
    <s v="SI"/>
    <m/>
    <n v="1"/>
  </r>
  <r>
    <x v="3"/>
    <s v="CARABOBO"/>
    <s v="CORPORACIÓN FIBEX TELECOM, C.A."/>
    <n v="2672573314"/>
    <s v="ANTONY HENDERSON QUINTERO FERNANDEZ"/>
    <n v="23412420"/>
    <x v="2"/>
    <s v="O&amp;M"/>
    <s v="PENDIENTE INFORMACIÓN"/>
    <x v="1"/>
    <s v="-"/>
    <x v="0"/>
    <s v="-"/>
    <x v="0"/>
    <s v="-"/>
    <x v="0"/>
    <s v="-"/>
    <s v="-"/>
    <s v="SI"/>
    <m/>
    <n v="1"/>
  </r>
  <r>
    <x v="3"/>
    <s v="CARABOBO"/>
    <s v="CORPORACIÓN FIBEX TELECOM, C.A."/>
    <n v="2672573314"/>
    <s v="ANDREA VALENTINA MATUTE CAMACARO"/>
    <n v="30641035"/>
    <x v="2"/>
    <s v="O&amp;M"/>
    <s v="PENDIENTE INFORMACIÓN"/>
    <x v="1"/>
    <s v="-"/>
    <x v="0"/>
    <s v="-"/>
    <x v="0"/>
    <s v="-"/>
    <x v="0"/>
    <s v="-"/>
    <s v="-"/>
    <s v="SI"/>
    <m/>
    <n v="1"/>
  </r>
  <r>
    <x v="3"/>
    <s v="CARABOBO"/>
    <s v="CORPORACIÓN FIBEX TELECOM, C.A."/>
    <n v="2672573314"/>
    <s v="MIGUEL ANTONIO LOPEZ YORIS"/>
    <n v="30889139"/>
    <x v="2"/>
    <s v="O&amp;M"/>
    <s v="PENDIENTE INFORMACIÓN"/>
    <x v="1"/>
    <s v="-"/>
    <x v="0"/>
    <s v="-"/>
    <x v="0"/>
    <s v="-"/>
    <x v="0"/>
    <s v="-"/>
    <s v="-"/>
    <s v="SI"/>
    <m/>
    <n v="1"/>
  </r>
  <r>
    <x v="3"/>
    <s v="CARABOBO"/>
    <s v="CORPORACIÓN FIBEX TELECOM, C.A."/>
    <n v="2672573314"/>
    <s v="FERNANDO ISAAC HERNANDEZ TORO"/>
    <n v="19772009"/>
    <x v="0"/>
    <s v="CDR"/>
    <s v="PENDIENTE INFORMACIÓN"/>
    <x v="0"/>
    <d v="2025-04-01T00:00:00"/>
    <x v="1"/>
    <d v="2025-11-01T00:00:00"/>
    <x v="0"/>
    <s v="-"/>
    <x v="0"/>
    <s v="-"/>
    <s v="-"/>
    <s v="SI"/>
    <m/>
    <n v="1"/>
  </r>
  <r>
    <x v="3"/>
    <s v="CARABOBO"/>
    <s v="CORPORACIÓN FIBEX TELECOM, C.A."/>
    <n v="2672573314"/>
    <s v="MIGUEL EDUARDO SALAZAR ASCANIO"/>
    <n v="20729516"/>
    <x v="0"/>
    <s v="CDR"/>
    <s v="PENDIENTE INFORMACIÓN"/>
    <x v="0"/>
    <d v="2025-04-01T00:00:00"/>
    <x v="1"/>
    <d v="2025-11-01T00:00:00"/>
    <x v="0"/>
    <s v="-"/>
    <x v="0"/>
    <s v="-"/>
    <s v="-"/>
    <s v="SI"/>
    <m/>
    <n v="1"/>
  </r>
  <r>
    <x v="3"/>
    <s v="CARABOBO"/>
    <s v="CORPORACIÓN FIBEX TELECOM, C.A."/>
    <n v="2672573314"/>
    <s v="ISMAEL EMIRO CASTRO LEON"/>
    <n v="16309906"/>
    <x v="0"/>
    <s v="CDR"/>
    <s v="PENDIENTE INFORMACIÓN"/>
    <x v="0"/>
    <d v="2025-04-01T00:00:00"/>
    <x v="1"/>
    <d v="2025-11-01T00:00:00"/>
    <x v="0"/>
    <s v="-"/>
    <x v="0"/>
    <s v="-"/>
    <s v="-"/>
    <s v="SI"/>
    <m/>
    <n v="1"/>
  </r>
  <r>
    <x v="3"/>
    <s v="CARABOBO"/>
    <s v="CORPORACIÓN FIBEX TELECOM, C.A."/>
    <n v="2672573314"/>
    <s v="CARLOS ADRIAN RUBIN HERNANDEZ"/>
    <n v="26195951"/>
    <x v="0"/>
    <s v="CDR"/>
    <s v="PENDIENTE INFORMACIÓN"/>
    <x v="0"/>
    <d v="2025-04-01T00:00:00"/>
    <x v="1"/>
    <d v="2025-11-01T00:00:00"/>
    <x v="0"/>
    <s v="-"/>
    <x v="0"/>
    <s v="-"/>
    <s v="-"/>
    <s v="SI"/>
    <m/>
    <n v="1"/>
  </r>
  <r>
    <x v="3"/>
    <s v="CARABOBO"/>
    <s v="CORPORACIÓN FIBEX TELECOM, C.A."/>
    <n v="2672573314"/>
    <s v="ANGEL DAVID RODRIGUEZ DIAZ"/>
    <n v="28465788"/>
    <x v="1"/>
    <s v="CDR"/>
    <s v="PENDIENTE INFORMACIÓN"/>
    <x v="0"/>
    <d v="2025-04-01T00:00:00"/>
    <x v="1"/>
    <d v="2025-11-01T00:00:00"/>
    <x v="0"/>
    <s v="-"/>
    <x v="0"/>
    <s v="-"/>
    <s v="-"/>
    <s v="SI"/>
    <m/>
    <n v="1"/>
  </r>
  <r>
    <x v="3"/>
    <s v="CARABOBO"/>
    <s v="CORPORACIÓN FIBEX TELECOM, C.A."/>
    <n v="2672573314"/>
    <s v="KLEIBER ARMANDO COSTE HERNANDEZ"/>
    <n v="31139417"/>
    <x v="1"/>
    <s v="CDR"/>
    <s v="PENDIENTE INFORMACIÓN"/>
    <x v="0"/>
    <d v="2025-04-01T00:00:00"/>
    <x v="1"/>
    <d v="2025-11-01T00:00:00"/>
    <x v="0"/>
    <s v="-"/>
    <x v="0"/>
    <s v="-"/>
    <s v="-"/>
    <s v="SI"/>
    <m/>
    <n v="1"/>
  </r>
  <r>
    <x v="3"/>
    <s v="CARABOBO"/>
    <s v="CORPORACIÓN FIBEX TELECOM, C.A."/>
    <n v="2672573314"/>
    <s v="JOSE RAFAEL MARTINEZ HENRIQUEZ"/>
    <n v="18501116"/>
    <x v="0"/>
    <s v="O&amp;M"/>
    <s v="PENDIENTE INFORMACIÓN"/>
    <x v="0"/>
    <d v="2025-04-01T00:00:00"/>
    <x v="1"/>
    <d v="2025-11-01T00:00:00"/>
    <x v="0"/>
    <s v="-"/>
    <x v="0"/>
    <s v="-"/>
    <s v="-"/>
    <s v="SI"/>
    <m/>
    <n v="1"/>
  </r>
  <r>
    <x v="3"/>
    <s v="CARABOBO"/>
    <s v="CORPORACIÓN FIBEX TELECOM, C.A."/>
    <n v="2672573314"/>
    <s v="OSWALDO URBANO SANOJA MUJICA"/>
    <n v="12035109"/>
    <x v="0"/>
    <s v="O&amp;M"/>
    <s v="PENDIENTE INFORMACIÓN"/>
    <x v="0"/>
    <d v="2025-04-01T00:00:00"/>
    <x v="1"/>
    <d v="2025-11-01T00:00:00"/>
    <x v="0"/>
    <s v="-"/>
    <x v="0"/>
    <s v="-"/>
    <s v="-"/>
    <s v="SI"/>
    <m/>
    <n v="1"/>
  </r>
  <r>
    <x v="3"/>
    <s v="CARABOBO"/>
    <s v="CORPORACIÓN FIBEX TELECOM, C.A."/>
    <n v="2672573314"/>
    <s v="YIMBERT DARIO SANTIAGO PAZ"/>
    <n v="20622416"/>
    <x v="0"/>
    <s v="O&amp;M"/>
    <s v="PENDIENTE INFORMACIÓN"/>
    <x v="0"/>
    <d v="2025-04-01T00:00:00"/>
    <x v="1"/>
    <d v="2025-11-01T00:00:00"/>
    <x v="0"/>
    <s v="-"/>
    <x v="0"/>
    <s v="-"/>
    <s v="-"/>
    <s v="SI"/>
    <m/>
    <n v="1"/>
  </r>
  <r>
    <x v="3"/>
    <s v="CARABOBO"/>
    <s v="CORPORACIÓN FIBEX TELECOM, C.A."/>
    <n v="2672573314"/>
    <s v="JOSE LUIS OBISPO NARVAEZ"/>
    <n v="19320480"/>
    <x v="0"/>
    <s v="O&amp;M"/>
    <s v="PENDIENTE INFORMACIÓN"/>
    <x v="0"/>
    <d v="2025-04-01T00:00:00"/>
    <x v="1"/>
    <d v="2025-11-01T00:00:00"/>
    <x v="0"/>
    <s v="-"/>
    <x v="0"/>
    <s v="-"/>
    <s v="-"/>
    <s v="SI"/>
    <m/>
    <n v="1"/>
  </r>
  <r>
    <x v="3"/>
    <s v="CARABOBO"/>
    <s v="CORPORACIÓN FIBEX TELECOM, C.A."/>
    <n v="2672573314"/>
    <s v="MOISES ALEXANDER AMARIS PINTO"/>
    <n v="26233269"/>
    <x v="0"/>
    <s v="O&amp;M"/>
    <s v="PENDIENTE INFORMACIÓN"/>
    <x v="0"/>
    <d v="2025-04-01T00:00:00"/>
    <x v="1"/>
    <d v="2025-11-01T00:00:00"/>
    <x v="0"/>
    <s v="-"/>
    <x v="0"/>
    <s v="-"/>
    <s v="-"/>
    <s v="SI"/>
    <m/>
    <n v="1"/>
  </r>
  <r>
    <x v="3"/>
    <s v="CARABOBO"/>
    <s v="CORPORACIÓN FIBEX TELECOM, C.A."/>
    <n v="2672573314"/>
    <s v="MERBYS MAGLIMIR MALAVE GUEDEZ"/>
    <n v="19188704"/>
    <x v="0"/>
    <s v="O&amp;M"/>
    <s v="PENDIENTE INFORMACIÓN"/>
    <x v="0"/>
    <d v="2025-04-01T00:00:00"/>
    <x v="1"/>
    <d v="2025-11-01T00:00:00"/>
    <x v="0"/>
    <s v="-"/>
    <x v="0"/>
    <s v="-"/>
    <s v="-"/>
    <s v="SI"/>
    <m/>
    <n v="1"/>
  </r>
  <r>
    <x v="3"/>
    <s v="CARABOBO"/>
    <s v="CORPORACIÓN FIBEX TELECOM, C.A."/>
    <n v="2672573314"/>
    <s v="DANY JOSE QUINTERO LUCENA"/>
    <n v="13271486"/>
    <x v="0"/>
    <s v="O&amp;M"/>
    <s v="PENDIENTE INFORMACIÓN"/>
    <x v="0"/>
    <d v="2025-04-01T00:00:00"/>
    <x v="1"/>
    <d v="2025-11-01T00:00:00"/>
    <x v="0"/>
    <s v="-"/>
    <x v="0"/>
    <s v="-"/>
    <s v="-"/>
    <s v="SI"/>
    <m/>
    <n v="1"/>
  </r>
  <r>
    <x v="3"/>
    <s v="CARABOBO"/>
    <s v="CORPORACIÓN FIBEX TELECOM, C.A."/>
    <n v="2672573314"/>
    <s v="ROLANDO XAVIER CANELON MUJICA"/>
    <n v="19843415"/>
    <x v="1"/>
    <s v="O&amp;M"/>
    <s v="PENDIENTE INFORMACIÓN"/>
    <x v="0"/>
    <d v="2025-04-01T00:00:00"/>
    <x v="1"/>
    <d v="2025-11-01T00:00:00"/>
    <x v="0"/>
    <s v="-"/>
    <x v="0"/>
    <s v="-"/>
    <s v="-"/>
    <s v="SI"/>
    <m/>
    <n v="1"/>
  </r>
  <r>
    <x v="3"/>
    <s v="CARABOBO"/>
    <s v="CORPORACIÓN FIBEX TELECOM, C.A."/>
    <n v="2672573314"/>
    <s v="ARNALDO XAVIER VALLESE CORONEL"/>
    <n v="19130427"/>
    <x v="1"/>
    <s v="O&amp;M"/>
    <s v="PENDIENTE INFORMACIÓN"/>
    <x v="0"/>
    <d v="2025-04-01T00:00:00"/>
    <x v="1"/>
    <d v="2025-11-01T00:00:00"/>
    <x v="0"/>
    <s v="-"/>
    <x v="0"/>
    <s v="-"/>
    <s v="-"/>
    <s v="SI"/>
    <m/>
    <n v="1"/>
  </r>
  <r>
    <x v="3"/>
    <s v="CARABOBO"/>
    <s v="CORPORACIÓN FIBEX TELECOM, C.A."/>
    <n v="2672573314"/>
    <s v="ANDERSON WLADIMIR RIVERO RIVERO"/>
    <n v="18999575"/>
    <x v="1"/>
    <s v="O&amp;M"/>
    <s v="PENDIENTE INFORMACIÓN"/>
    <x v="0"/>
    <d v="2025-04-01T00:00:00"/>
    <x v="1"/>
    <d v="2025-11-01T00:00:00"/>
    <x v="0"/>
    <s v="-"/>
    <x v="0"/>
    <s v="-"/>
    <s v="-"/>
    <s v="SI"/>
    <m/>
    <n v="1"/>
  </r>
  <r>
    <x v="3"/>
    <s v="CARABOBO"/>
    <s v="CORPORACIÓN FIBEX TELECOM, C.A."/>
    <n v="2672573314"/>
    <s v="WUILLY ALBERTO ESCALONA NAVEDA"/>
    <n v="15897980"/>
    <x v="0"/>
    <s v="O&amp;M"/>
    <s v="PENDIENTE INFORMACIÓN"/>
    <x v="0"/>
    <d v="2025-04-01T00:00:00"/>
    <x v="1"/>
    <d v="2025-11-01T00:00:00"/>
    <x v="0"/>
    <s v="-"/>
    <x v="0"/>
    <s v="-"/>
    <s v="-"/>
    <s v="SI"/>
    <m/>
    <n v="1"/>
  </r>
  <r>
    <x v="3"/>
    <s v="CARABOBO"/>
    <s v="CORPORACIÓN FIBEX TELECOM, C.A."/>
    <n v="2672573314"/>
    <s v="ANTHONYS RAUL TOVAR GIRALDO"/>
    <n v="26019988"/>
    <x v="1"/>
    <s v="O&amp;M"/>
    <s v="PENDIENTE INFORMACIÓN"/>
    <x v="0"/>
    <d v="2025-04-01T00:00:00"/>
    <x v="1"/>
    <d v="2025-11-01T00:00:00"/>
    <x v="0"/>
    <s v="-"/>
    <x v="0"/>
    <s v="-"/>
    <s v="-"/>
    <s v="SI"/>
    <m/>
    <n v="1"/>
  </r>
  <r>
    <x v="3"/>
    <s v="CARABOBO"/>
    <s v="CORPORACIÓN FIBEX TELECOM, C.A."/>
    <n v="2672573314"/>
    <s v="KEIVID JOSE OLIVERO LOPEZ"/>
    <n v="30639871"/>
    <x v="1"/>
    <s v="O&amp;M"/>
    <s v="PENDIENTE INFORMACIÓN"/>
    <x v="0"/>
    <d v="2025-04-01T00:00:00"/>
    <x v="1"/>
    <d v="2025-11-01T00:00:00"/>
    <x v="0"/>
    <s v="-"/>
    <x v="0"/>
    <s v="-"/>
    <s v="-"/>
    <s v="SI"/>
    <m/>
    <n v="1"/>
  </r>
  <r>
    <x v="3"/>
    <s v="CARABOBO"/>
    <s v="CORPORACIÓN FIBEX TELECOM, C.A."/>
    <n v="2672573314"/>
    <s v="JORBER JOSE ROMERO RIVERO"/>
    <n v="21029364"/>
    <x v="1"/>
    <s v="O&amp;M"/>
    <s v="PENDIENTE INFORMACIÓN"/>
    <x v="0"/>
    <d v="2025-04-01T00:00:00"/>
    <x v="1"/>
    <d v="2025-11-01T00:00:00"/>
    <x v="0"/>
    <s v="-"/>
    <x v="0"/>
    <s v="-"/>
    <s v="-"/>
    <s v="SI"/>
    <m/>
    <n v="1"/>
  </r>
  <r>
    <x v="3"/>
    <s v="CARABOBO"/>
    <s v="CORPORACIÓN FIBEX TELECOM, C.A."/>
    <n v="2672573314"/>
    <s v="CARLOS JOSE IZQUIERDO MUÑOZ"/>
    <n v="24443641"/>
    <x v="1"/>
    <s v="O&amp;M"/>
    <s v="PENDIENTE INFORMACIÓN"/>
    <x v="0"/>
    <d v="2025-04-01T00:00:00"/>
    <x v="1"/>
    <d v="2025-11-01T00:00:00"/>
    <x v="0"/>
    <s v="-"/>
    <x v="0"/>
    <s v="-"/>
    <s v="-"/>
    <s v="SI"/>
    <m/>
    <n v="1"/>
  </r>
  <r>
    <x v="3"/>
    <s v="CARABOBO"/>
    <s v="CORPORACIÓN FIBEX TELECOM, C.A."/>
    <n v="2672573314"/>
    <s v="JOSE MANUEL RANGEL UZCATEGUI"/>
    <n v="18748734"/>
    <x v="1"/>
    <s v="O&amp;M"/>
    <s v="PENDIENTE INFORMACIÓN"/>
    <x v="0"/>
    <d v="2025-04-01T00:00:00"/>
    <x v="1"/>
    <d v="2025-11-01T00:00:00"/>
    <x v="0"/>
    <s v="-"/>
    <x v="0"/>
    <s v="-"/>
    <s v="-"/>
    <s v="SI"/>
    <m/>
    <n v="1"/>
  </r>
  <r>
    <x v="3"/>
    <s v="CARABOBO"/>
    <s v="CORPORACIÓN FIBEX TELECOM, C.A."/>
    <n v="2672573314"/>
    <s v="WILLIAM STARLYN MOREY ACOSTA"/>
    <n v="24629986"/>
    <x v="0"/>
    <s v="MDC"/>
    <s v="PENDIENTE INFORMACIÓN"/>
    <x v="0"/>
    <d v="2025-04-01T00:00:00"/>
    <x v="1"/>
    <d v="2025-11-01T00:00:00"/>
    <x v="0"/>
    <s v="-"/>
    <x v="0"/>
    <s v="-"/>
    <s v="-"/>
    <s v="SI"/>
    <m/>
    <n v="1"/>
  </r>
  <r>
    <x v="3"/>
    <s v="CARABOBO"/>
    <s v="CORPORACIÓN FIBEX TELECOM, C.A."/>
    <n v="2672573314"/>
    <s v="TERSY ALI FERRER ROMERO"/>
    <n v="16449647"/>
    <x v="1"/>
    <s v="MDC"/>
    <s v="PENDIENTE INFORMACIÓN"/>
    <x v="0"/>
    <d v="2025-04-01T00:00:00"/>
    <x v="1"/>
    <d v="2025-11-01T00:00:00"/>
    <x v="0"/>
    <s v="-"/>
    <x v="0"/>
    <s v="-"/>
    <s v="-"/>
    <s v="SI"/>
    <m/>
    <n v="1"/>
  </r>
  <r>
    <x v="3"/>
    <s v="CARABOBO"/>
    <s v="CORPORACIÓN FIBEX TELECOM, C.A."/>
    <n v="2672573314"/>
    <s v="CARLOS DAVID LINARES HERNANDEZ                             "/>
    <n v="27111205"/>
    <x v="0"/>
    <s v="MDC"/>
    <s v="PENDIENTE INFORMACIÓN"/>
    <x v="0"/>
    <d v="2025-04-01T00:00:00"/>
    <x v="1"/>
    <d v="2025-11-01T00:00:00"/>
    <x v="0"/>
    <s v="-"/>
    <x v="0"/>
    <s v="-"/>
    <s v="-"/>
    <s v="SI"/>
    <m/>
    <n v="1"/>
  </r>
  <r>
    <x v="3"/>
    <s v="CARABOBO"/>
    <s v="CORPORACIÓN FIBEX TELECOM, C.A."/>
    <n v="2672573314"/>
    <s v="RICHARD ALEJANDRO DIAZ DIAZ                            "/>
    <n v="27548643"/>
    <x v="1"/>
    <s v="MDC"/>
    <s v="PENDIENTE INFORMACIÓN"/>
    <x v="0"/>
    <d v="2025-04-01T00:00:00"/>
    <x v="1"/>
    <d v="2025-11-01T00:00:00"/>
    <x v="0"/>
    <s v="-"/>
    <x v="0"/>
    <s v="-"/>
    <s v="-"/>
    <s v="SI"/>
    <m/>
    <n v="1"/>
  </r>
  <r>
    <x v="3"/>
    <s v="CARABOBO"/>
    <s v="CORPORACIÓN FIBEX TELECOM, C.A."/>
    <n v="2672573314"/>
    <s v="JESUS EDUARDO MENDOZA MERCADO"/>
    <n v="28113122"/>
    <x v="1"/>
    <s v="MDC"/>
    <s v="PENDIENTE INFORMACIÓN"/>
    <x v="0"/>
    <d v="2025-04-01T00:00:00"/>
    <x v="1"/>
    <d v="2025-11-01T00:00:00"/>
    <x v="0"/>
    <s v="-"/>
    <x v="0"/>
    <s v="-"/>
    <s v="-"/>
    <s v="SI"/>
    <m/>
    <n v="1"/>
  </r>
  <r>
    <x v="3"/>
    <s v="CARABOBO"/>
    <s v="CORPORACIÓN FIBEX TELECOM, C.A."/>
    <n v="2672573314"/>
    <s v="CRISTHIAN JOSE GUEVARA GUEVARA"/>
    <n v="19021730"/>
    <x v="0"/>
    <s v="MDC"/>
    <s v="PENDIENTE INFORMACIÓN"/>
    <x v="0"/>
    <d v="2025-04-01T00:00:00"/>
    <x v="1"/>
    <d v="2025-11-01T00:00:00"/>
    <x v="0"/>
    <s v="-"/>
    <x v="0"/>
    <s v="-"/>
    <s v="-"/>
    <s v="SI"/>
    <m/>
    <n v="1"/>
  </r>
  <r>
    <x v="3"/>
    <s v="CARABOBO"/>
    <s v="CORPORACIÓN FIBEX TELECOM, C.A."/>
    <n v="2672573314"/>
    <s v="FRANKLIN JAVIER SALAZAR GALLARDO                         "/>
    <n v="20700562"/>
    <x v="0"/>
    <s v="MDC"/>
    <s v="PENDIENTE INFORMACIÓN"/>
    <x v="0"/>
    <d v="2025-04-01T00:00:00"/>
    <x v="1"/>
    <d v="2025-11-01T00:00:00"/>
    <x v="0"/>
    <s v="-"/>
    <x v="0"/>
    <s v="-"/>
    <s v="-"/>
    <s v="SI"/>
    <m/>
    <n v="1"/>
  </r>
  <r>
    <x v="3"/>
    <s v="CARABOBO"/>
    <s v="CORPORACIÓN FIBEX TELECOM, C.A."/>
    <n v="2672573314"/>
    <s v="RICARDO DAVID CASTILLO RONDON"/>
    <n v="30096039"/>
    <x v="1"/>
    <s v="MDC"/>
    <s v="PENDIENTE INFORMACIÓN"/>
    <x v="0"/>
    <d v="2025-04-01T00:00:00"/>
    <x v="1"/>
    <d v="2025-11-01T00:00:00"/>
    <x v="0"/>
    <s v="-"/>
    <x v="0"/>
    <s v="-"/>
    <s v="-"/>
    <s v="SI"/>
    <m/>
    <n v="1"/>
  </r>
  <r>
    <x v="3"/>
    <s v="CARABOBO"/>
    <s v="CORPORACIÓN FIBEX TELECOM, C.A."/>
    <n v="2672573314"/>
    <s v="EDGAR JOSE FLORES MARTINEZ"/>
    <n v="19781281"/>
    <x v="1"/>
    <s v="O&amp;M"/>
    <s v="PENDIENTE INFORMACIÓN"/>
    <x v="0"/>
    <d v="2025-04-01T00:00:00"/>
    <x v="1"/>
    <d v="2025-11-01T00:00:00"/>
    <x v="0"/>
    <s v="-"/>
    <x v="0"/>
    <s v="-"/>
    <s v="-"/>
    <s v="SI"/>
    <m/>
    <n v="1"/>
  </r>
  <r>
    <x v="3"/>
    <s v="CARABOBO"/>
    <s v="CORPORACIÓN FIBEX TELECOM, C.A."/>
    <n v="2672573314"/>
    <s v="JULIO CESAR AROCHA BRITO"/>
    <n v="14571391"/>
    <x v="1"/>
    <s v="O&amp;M"/>
    <s v="PENDIENTE INFORMACIÓN"/>
    <x v="0"/>
    <d v="2025-04-01T00:00:00"/>
    <x v="1"/>
    <d v="2025-11-01T00:00:00"/>
    <x v="0"/>
    <s v="-"/>
    <x v="0"/>
    <s v="-"/>
    <s v="-"/>
    <s v="SI"/>
    <m/>
    <n v="1"/>
  </r>
  <r>
    <x v="3"/>
    <s v="CARABOBO"/>
    <s v="CORPORACIÓN FIBEX TELECOM, C.A."/>
    <n v="2672573314"/>
    <s v="FRANKLIN JESUS LOPEZ DELGADO"/>
    <n v="25969677"/>
    <x v="0"/>
    <s v="O&amp;M"/>
    <s v="PENDIENTE INFORMACIÓN"/>
    <x v="0"/>
    <d v="2025-04-01T00:00:00"/>
    <x v="1"/>
    <d v="2025-11-01T00:00:00"/>
    <x v="0"/>
    <s v="-"/>
    <x v="0"/>
    <s v="-"/>
    <s v="-"/>
    <s v="SI"/>
    <m/>
    <n v="1"/>
  </r>
  <r>
    <x v="3"/>
    <s v="CARABOBO"/>
    <s v="CORPORACIÓN FIBEX TELECOM, C.A."/>
    <n v="2672573314"/>
    <s v="JONATHAN ALEJANDRO ALVARADO MENDOZA"/>
    <n v="29525255"/>
    <x v="4"/>
    <s v="O&amp;M"/>
    <s v="PENDIENTE INFORMACIÓN"/>
    <x v="0"/>
    <d v="2025-04-01T00:00:00"/>
    <x v="1"/>
    <d v="2025-11-01T00:00:00"/>
    <x v="0"/>
    <s v="-"/>
    <x v="0"/>
    <s v="-"/>
    <s v="-"/>
    <s v="SI"/>
    <m/>
    <n v="1"/>
  </r>
  <r>
    <x v="3"/>
    <s v="CARABOBO"/>
    <s v="CORPORACIÓN FIBEX TELECOM, C.A."/>
    <n v="2672573314"/>
    <s v="ANDRES DAVID MARTINEZ CASTRO"/>
    <n v="27228497"/>
    <x v="3"/>
    <s v="O&amp;M"/>
    <s v="PENDIENTE INFORMACIÓN"/>
    <x v="0"/>
    <d v="2025-04-01T00:00:00"/>
    <x v="1"/>
    <d v="2025-11-01T00:00:00"/>
    <x v="0"/>
    <s v="-"/>
    <x v="0"/>
    <s v="-"/>
    <s v="-"/>
    <s v="SI"/>
    <m/>
    <n v="1"/>
  </r>
  <r>
    <x v="3"/>
    <s v="CARABOBO"/>
    <s v="CORPORACIÓN FIBEX TELECOM, C.A."/>
    <n v="2672573314"/>
    <s v="ANDRES JOSE BRITO RODRIGUEZ"/>
    <n v="23439354"/>
    <x v="0"/>
    <s v="O&amp;M"/>
    <s v="PENDIENTE INFORMACIÓN"/>
    <x v="0"/>
    <d v="2025-04-01T00:00:00"/>
    <x v="1"/>
    <d v="2025-11-01T00:00:00"/>
    <x v="0"/>
    <s v="-"/>
    <x v="0"/>
    <s v="-"/>
    <s v="-"/>
    <s v="SI"/>
    <m/>
    <n v="1"/>
  </r>
  <r>
    <x v="3"/>
    <s v="CARABOBO"/>
    <s v="CORPORACIÓN FIBEX TELECOM, C.A."/>
    <n v="2672573314"/>
    <s v="KEIBER JOEL RODRIGUEZ VILLALOBOS"/>
    <n v="24569140"/>
    <x v="0"/>
    <s v="O&amp;M"/>
    <s v="PENDIENTE INFORMACIÓN"/>
    <x v="0"/>
    <d v="2025-04-01T00:00:00"/>
    <x v="1"/>
    <d v="2025-11-01T00:00:00"/>
    <x v="0"/>
    <s v="-"/>
    <x v="0"/>
    <s v="-"/>
    <s v="-"/>
    <s v="SI"/>
    <m/>
    <n v="1"/>
  </r>
  <r>
    <x v="3"/>
    <s v="CARABOBO"/>
    <s v="CORPORACIÓN FIBEX TELECOM, C.A."/>
    <n v="2672573314"/>
    <s v="WILMER THOMAS OCHOA MARTINEZ"/>
    <n v="27853422"/>
    <x v="0"/>
    <s v="O&amp;M"/>
    <s v="PENDIENTE INFORMACIÓN"/>
    <x v="0"/>
    <d v="2025-04-01T00:00:00"/>
    <x v="1"/>
    <d v="2025-11-01T00:00:00"/>
    <x v="0"/>
    <s v="-"/>
    <x v="0"/>
    <s v="-"/>
    <s v="-"/>
    <s v="SI"/>
    <m/>
    <n v="1"/>
  </r>
  <r>
    <x v="3"/>
    <s v="CARABOBO"/>
    <s v="CORPORACIÓN FIBEX TELECOM, C.A."/>
    <n v="2672573314"/>
    <s v="DAVID ALEXANDER VILLANUEVA JIMENEZ"/>
    <n v="16153508"/>
    <x v="1"/>
    <s v="O&amp;M"/>
    <s v="PENDIENTE INFORMACIÓN"/>
    <x v="0"/>
    <d v="2025-04-01T00:00:00"/>
    <x v="1"/>
    <d v="2025-11-01T00:00:00"/>
    <x v="0"/>
    <s v="-"/>
    <x v="0"/>
    <s v="-"/>
    <s v="-"/>
    <s v="SI"/>
    <m/>
    <n v="1"/>
  </r>
  <r>
    <x v="3"/>
    <s v="CARABOBO"/>
    <s v="CORPORACIÓN FIBEX TELECOM, C.A."/>
    <n v="2672573314"/>
    <s v="JESUS ANIBAL MILLA RODRIGUEZ"/>
    <n v="23428900"/>
    <x v="0"/>
    <s v="O&amp;M"/>
    <s v="PENDIENTE INFORMACIÓN"/>
    <x v="0"/>
    <d v="2025-04-01T00:00:00"/>
    <x v="1"/>
    <d v="2025-11-01T00:00:00"/>
    <x v="0"/>
    <s v="-"/>
    <x v="0"/>
    <s v="-"/>
    <s v="-"/>
    <s v="SI"/>
    <m/>
    <n v="1"/>
  </r>
  <r>
    <x v="3"/>
    <s v="CARABOBO"/>
    <s v="CORPORACIÓN FIBEX TELECOM, C.A."/>
    <n v="2672573314"/>
    <s v="DIEGO ALBERTO VALERA OLIVERA"/>
    <n v="27856677"/>
    <x v="1"/>
    <s v="O&amp;M"/>
    <s v="PENDIENTE INFORMACIÓN"/>
    <x v="0"/>
    <d v="2025-04-01T00:00:00"/>
    <x v="1"/>
    <d v="2025-11-01T00:00:00"/>
    <x v="0"/>
    <s v="-"/>
    <x v="0"/>
    <s v="-"/>
    <s v="-"/>
    <s v="SI"/>
    <m/>
    <n v="1"/>
  </r>
  <r>
    <x v="3"/>
    <s v="CARABOBO"/>
    <s v="CORPORACIÓN FIBEX TELECOM, C.A."/>
    <n v="2672573314"/>
    <s v="FELIZARDO EWINSON FABELO PEREZ"/>
    <n v="27343317"/>
    <x v="1"/>
    <s v="O&amp;M"/>
    <s v="PENDIENTE INFORMACIÓN"/>
    <x v="0"/>
    <d v="2025-04-01T00:00:00"/>
    <x v="1"/>
    <d v="2025-11-01T00:00:00"/>
    <x v="0"/>
    <s v="-"/>
    <x v="0"/>
    <s v="-"/>
    <s v="-"/>
    <s v="SI"/>
    <m/>
    <n v="1"/>
  </r>
  <r>
    <x v="3"/>
    <s v="CARABOBO"/>
    <s v="CORPORACIÓN FIBEX TELECOM, C.A."/>
    <n v="2672573314"/>
    <s v="EDGAR ALBERTO OJEDA FLORES"/>
    <n v="22556069"/>
    <x v="0"/>
    <s v="O&amp;M"/>
    <s v="PENDIENTE INFORMACIÓN"/>
    <x v="0"/>
    <d v="2025-04-01T00:00:00"/>
    <x v="1"/>
    <d v="2025-11-01T00:00:00"/>
    <x v="0"/>
    <s v="-"/>
    <x v="0"/>
    <s v="-"/>
    <s v="-"/>
    <s v="SI"/>
    <m/>
    <n v="1"/>
  </r>
  <r>
    <x v="3"/>
    <s v="CARABOBO"/>
    <s v="CORPORACIÓN FIBEX TELECOM, C.A."/>
    <n v="2672573314"/>
    <s v="GABRIEL ALEJANDRO CursadoLVA HERRERA"/>
    <n v="26160665"/>
    <x v="0"/>
    <s v="O&amp;M"/>
    <s v="PENDIENTE INFORMACIÓN"/>
    <x v="0"/>
    <d v="2025-04-01T00:00:00"/>
    <x v="1"/>
    <d v="2025-11-01T00:00:00"/>
    <x v="0"/>
    <s v="-"/>
    <x v="0"/>
    <s v="-"/>
    <s v="-"/>
    <s v="SI"/>
    <m/>
    <n v="1"/>
  </r>
  <r>
    <x v="3"/>
    <s v="CARABOBO"/>
    <s v="CORPORACIÓN FIBEX TELECOM, C.A."/>
    <n v="2672573314"/>
    <s v="RODOLFO ALEXANDER ESCALONA PAREDES"/>
    <n v="22223195"/>
    <x v="1"/>
    <s v="O&amp;M"/>
    <s v="PENDIENTE INFORMACIÓN"/>
    <x v="0"/>
    <d v="2025-04-01T00:00:00"/>
    <x v="1"/>
    <d v="2025-11-01T00:00:00"/>
    <x v="0"/>
    <s v="-"/>
    <x v="0"/>
    <s v="-"/>
    <s v="-"/>
    <s v="SI"/>
    <m/>
    <n v="1"/>
  </r>
  <r>
    <x v="3"/>
    <s v="CARABOBO"/>
    <s v="CORPORACIÓN FIBEX TELECOM, C.A."/>
    <n v="2672573314"/>
    <s v="ENDRY RAFAEL DIAZ NOGUERA"/>
    <n v="26547722"/>
    <x v="0"/>
    <s v="O&amp;M"/>
    <s v="PENDIENTE INFORMACIÓN"/>
    <x v="0"/>
    <d v="2025-04-01T00:00:00"/>
    <x v="1"/>
    <d v="2025-11-01T00:00:00"/>
    <x v="0"/>
    <s v="-"/>
    <x v="0"/>
    <s v="-"/>
    <s v="-"/>
    <s v="SI"/>
    <m/>
    <n v="1"/>
  </r>
  <r>
    <x v="3"/>
    <s v="CARABOBO"/>
    <s v="CORPORACIÓN FIBEX TELECOM, C.A."/>
    <n v="2672573314"/>
    <s v="MANUEL ALEJANDRO ESPITIA PULIDO"/>
    <n v="18957458"/>
    <x v="0"/>
    <s v="O&amp;M"/>
    <s v="PENDIENTE INFORMACIÓN"/>
    <x v="0"/>
    <d v="2025-04-01T00:00:00"/>
    <x v="1"/>
    <d v="2025-11-01T00:00:00"/>
    <x v="0"/>
    <s v="-"/>
    <x v="0"/>
    <s v="-"/>
    <s v="-"/>
    <s v="SI"/>
    <m/>
    <n v="1"/>
  </r>
  <r>
    <x v="3"/>
    <s v="CARABOBO"/>
    <s v="CORPORACIÓN FIBEX TELECOM, C.A."/>
    <n v="2672573314"/>
    <s v="GREGORI DE  JESUS VILORIA OLIVO"/>
    <n v="21479038"/>
    <x v="0"/>
    <s v="O&amp;M"/>
    <s v="PENDIENTE INFORMACIÓN"/>
    <x v="0"/>
    <d v="2025-04-01T00:00:00"/>
    <x v="1"/>
    <d v="2025-11-01T00:00:00"/>
    <x v="0"/>
    <s v="-"/>
    <x v="0"/>
    <s v="-"/>
    <s v="-"/>
    <s v="SI"/>
    <m/>
    <n v="1"/>
  </r>
  <r>
    <x v="3"/>
    <s v="CARABOBO"/>
    <s v="CORPORACIÓN FIBEX TELECOM, C.A."/>
    <n v="2672573314"/>
    <s v="MANUEL JESUS MARCHAN DIAZ"/>
    <n v="27429749"/>
    <x v="0"/>
    <s v="O&amp;M"/>
    <s v="PENDIENTE INFORMACIÓN"/>
    <x v="0"/>
    <d v="2025-04-01T00:00:00"/>
    <x v="1"/>
    <d v="2025-11-01T00:00:00"/>
    <x v="0"/>
    <s v="-"/>
    <x v="0"/>
    <s v="-"/>
    <s v="-"/>
    <s v="SI"/>
    <m/>
    <n v="1"/>
  </r>
  <r>
    <x v="3"/>
    <s v="CARABOBO"/>
    <s v="CORPORACIÓN FIBEX TELECOM, C.A."/>
    <n v="2672573314"/>
    <s v="GREGORY ALEXANDER ZAPATA OLIVEROS"/>
    <n v="21584523"/>
    <x v="1"/>
    <s v="O&amp;M"/>
    <s v="PENDIENTE INFORMACIÓN"/>
    <x v="0"/>
    <d v="2025-04-01T00:00:00"/>
    <x v="1"/>
    <d v="2025-11-01T00:00:00"/>
    <x v="0"/>
    <s v="-"/>
    <x v="0"/>
    <s v="-"/>
    <s v="-"/>
    <s v="SI"/>
    <m/>
    <n v="1"/>
  </r>
  <r>
    <x v="3"/>
    <s v="CARABOBO"/>
    <s v="CORPORACIÓN FIBEX TELECOM, C.A."/>
    <n v="2672573314"/>
    <s v="KELVIN ALBERTO GARCIA VILLEGAS"/>
    <n v="24630491"/>
    <x v="1"/>
    <s v="O&amp;M"/>
    <s v="PENDIENTE INFORMACIÓN"/>
    <x v="0"/>
    <d v="2025-04-01T00:00:00"/>
    <x v="1"/>
    <d v="2025-11-01T00:00:00"/>
    <x v="0"/>
    <s v="-"/>
    <x v="0"/>
    <s v="-"/>
    <s v="-"/>
    <s v="SI"/>
    <m/>
    <n v="1"/>
  </r>
  <r>
    <x v="3"/>
    <s v="CARABOBO"/>
    <s v="CORPORACIÓN FIBEX TELECOM, C.A."/>
    <n v="2672573314"/>
    <s v="CARLOS LUIS NAVEDA LOPEZ"/>
    <n v="21242031"/>
    <x v="1"/>
    <s v="O&amp;M"/>
    <s v="PENDIENTE INFORMACIÓN"/>
    <x v="0"/>
    <d v="2025-04-01T00:00:00"/>
    <x v="1"/>
    <d v="2025-11-01T00:00:00"/>
    <x v="0"/>
    <s v="-"/>
    <x v="0"/>
    <s v="-"/>
    <s v="-"/>
    <s v="SI"/>
    <m/>
    <n v="1"/>
  </r>
  <r>
    <x v="3"/>
    <s v="CARABOBO"/>
    <s v="CORPORACIÓN FIBEX TELECOM, C.A."/>
    <n v="2672573314"/>
    <s v="OSCAR ALBERTO HERRERA HERNANDEZ"/>
    <n v="17258128"/>
    <x v="0"/>
    <s v="O&amp;M"/>
    <s v="PENDIENTE INFORMACIÓN"/>
    <x v="0"/>
    <d v="2025-04-01T00:00:00"/>
    <x v="1"/>
    <d v="2025-11-01T00:00:00"/>
    <x v="0"/>
    <s v="-"/>
    <x v="0"/>
    <s v="-"/>
    <s v="-"/>
    <s v="SI"/>
    <m/>
    <n v="1"/>
  </r>
  <r>
    <x v="3"/>
    <s v="CARABOBO"/>
    <s v="CORPORACIÓN FIBEX TELECOM, C.A."/>
    <n v="2672573314"/>
    <s v="RAIBER ERNESTO ROJAS ROJAS"/>
    <n v="26505710"/>
    <x v="1"/>
    <s v="O&amp;M"/>
    <s v="PENDIENTE INFORMACIÓN"/>
    <x v="0"/>
    <d v="2025-04-01T00:00:00"/>
    <x v="1"/>
    <d v="2025-11-01T00:00:00"/>
    <x v="0"/>
    <s v="-"/>
    <x v="0"/>
    <s v="-"/>
    <s v="-"/>
    <s v="SI"/>
    <m/>
    <n v="1"/>
  </r>
  <r>
    <x v="3"/>
    <s v="CARABOBO"/>
    <s v="CORPORACIÓN FIBEX TELECOM, C.A."/>
    <n v="2672573314"/>
    <s v="JACKSSON RAMON LINERO HERNANDEZ"/>
    <n v="12477987"/>
    <x v="1"/>
    <s v="O&amp;M"/>
    <s v="PENDIENTE INFORMACIÓN"/>
    <x v="0"/>
    <d v="2025-04-01T00:00:00"/>
    <x v="1"/>
    <d v="2025-11-01T00:00:00"/>
    <x v="0"/>
    <s v="-"/>
    <x v="0"/>
    <s v="-"/>
    <s v="-"/>
    <s v="SI"/>
    <m/>
    <n v="1"/>
  </r>
  <r>
    <x v="3"/>
    <s v="CARABOBO"/>
    <s v="CORPORACIÓN FIBEX TELECOM, C.A."/>
    <n v="2672573314"/>
    <s v="RAFAEL ANDRES MARTINEZ REBOLLEDO"/>
    <n v="10983025"/>
    <x v="1"/>
    <s v="O&amp;M"/>
    <s v="PENDIENTE INFORMACIÓN"/>
    <x v="0"/>
    <d v="2025-04-01T00:00:00"/>
    <x v="1"/>
    <d v="2025-11-01T00:00:00"/>
    <x v="0"/>
    <s v="-"/>
    <x v="0"/>
    <s v="-"/>
    <s v="-"/>
    <s v="SI"/>
    <m/>
    <n v="1"/>
  </r>
  <r>
    <x v="3"/>
    <s v="CARABOBO"/>
    <s v="CORPORACIÓN FIBEX TELECOM, C.A."/>
    <n v="2672573314"/>
    <s v="EMMANUEL HUMBERTO ZILLIANNI NIÑO"/>
    <n v="19021731"/>
    <x v="0"/>
    <s v="O&amp;M"/>
    <s v="PENDIENTE INFORMACIÓN"/>
    <x v="0"/>
    <d v="2025-04-01T00:00:00"/>
    <x v="1"/>
    <d v="2025-11-01T00:00:00"/>
    <x v="0"/>
    <s v="-"/>
    <x v="0"/>
    <s v="-"/>
    <s v="-"/>
    <s v="SI"/>
    <m/>
    <n v="1"/>
  </r>
  <r>
    <x v="3"/>
    <s v="CARABOBO"/>
    <s v="CORPORACIÓN FIBEX TELECOM, C.A."/>
    <n v="2672573314"/>
    <s v="DANIEL ENRIQUE PALENCIA ESCALONA"/>
    <n v="24423848"/>
    <x v="0"/>
    <s v="O&amp;M"/>
    <s v="PENDIENTE INFORMACIÓN"/>
    <x v="0"/>
    <d v="2025-04-01T00:00:00"/>
    <x v="1"/>
    <d v="2025-11-01T00:00:00"/>
    <x v="0"/>
    <s v="-"/>
    <x v="0"/>
    <s v="-"/>
    <s v="-"/>
    <s v="SI"/>
    <m/>
    <n v="1"/>
  </r>
  <r>
    <x v="3"/>
    <s v="CARABOBO"/>
    <s v="CORPORACIÓN FIBEX TELECOM, C.A."/>
    <n v="2672573314"/>
    <s v="ARGENIS ALEXANDER RODRIGUEZ AMAYA"/>
    <n v="17066007"/>
    <x v="0"/>
    <s v="O&amp;M"/>
    <s v="PENDIENTE INFORMACIÓN"/>
    <x v="0"/>
    <d v="2025-04-01T00:00:00"/>
    <x v="1"/>
    <d v="2025-11-01T00:00:00"/>
    <x v="0"/>
    <s v="-"/>
    <x v="0"/>
    <s v="-"/>
    <s v="-"/>
    <s v="SI"/>
    <m/>
    <n v="1"/>
  </r>
  <r>
    <x v="3"/>
    <s v="CARABOBO"/>
    <s v="CORPORACIÓN FIBEX TELECOM, C.A."/>
    <n v="2672573314"/>
    <s v="YONATHAN RAFAEL TERAN GONZALEZ"/>
    <n v="19983654"/>
    <x v="1"/>
    <s v="O&amp;M"/>
    <s v="PENDIENTE INFORMACIÓN"/>
    <x v="0"/>
    <d v="2025-04-01T00:00:00"/>
    <x v="1"/>
    <d v="2025-11-01T00:00:00"/>
    <x v="0"/>
    <s v="-"/>
    <x v="0"/>
    <s v="-"/>
    <s v="-"/>
    <s v="SI"/>
    <m/>
    <n v="1"/>
  </r>
  <r>
    <x v="3"/>
    <s v="CARABOBO"/>
    <s v="CORPORACIÓN FIBEX TELECOM, C.A."/>
    <n v="2672573314"/>
    <s v="ENYER JOSE SEMPRUN SOLARTE"/>
    <n v="20162683"/>
    <x v="0"/>
    <s v="O&amp;M"/>
    <s v="PENDIENTE INFORMACIÓN"/>
    <x v="0"/>
    <d v="2025-04-01T00:00:00"/>
    <x v="1"/>
    <d v="2025-11-01T00:00:00"/>
    <x v="0"/>
    <s v="-"/>
    <x v="0"/>
    <s v="-"/>
    <s v="-"/>
    <s v="SI"/>
    <m/>
    <n v="1"/>
  </r>
  <r>
    <x v="3"/>
    <s v="CARABOBO"/>
    <s v="CORPORACIÓN FIBEX TELECOM, C.A."/>
    <n v="2672573314"/>
    <s v="JESUS ABRAHAN FLORES BARRETO"/>
    <n v="25317710"/>
    <x v="0"/>
    <s v="O&amp;M"/>
    <s v="PENDIENTE INFORMACIÓN"/>
    <x v="0"/>
    <d v="2025-04-01T00:00:00"/>
    <x v="1"/>
    <d v="2025-11-01T00:00:00"/>
    <x v="0"/>
    <s v="-"/>
    <x v="0"/>
    <s v="-"/>
    <s v="-"/>
    <s v="SI"/>
    <m/>
    <n v="1"/>
  </r>
  <r>
    <x v="3"/>
    <s v="CARABOBO"/>
    <s v="CORPORACIÓN FIBEX TELECOM, C.A."/>
    <n v="2672573314"/>
    <s v="LENNER ALBERTO ROSARIO ERA"/>
    <n v="13518832"/>
    <x v="1"/>
    <s v="O&amp;M"/>
    <s v="PENDIENTE INFORMACIÓN"/>
    <x v="0"/>
    <d v="2025-04-01T00:00:00"/>
    <x v="1"/>
    <d v="2025-11-01T00:00:00"/>
    <x v="0"/>
    <s v="-"/>
    <x v="0"/>
    <s v="-"/>
    <s v="-"/>
    <s v="SI"/>
    <m/>
    <n v="1"/>
  </r>
  <r>
    <x v="3"/>
    <s v="CARABOBO"/>
    <s v="CORPORACIÓN FIBEX TELECOM, C.A."/>
    <n v="2672573314"/>
    <s v="DAMASO JUNIOR MONTECSINOS PINTO"/>
    <n v="19129032"/>
    <x v="0"/>
    <s v="O&amp;M"/>
    <s v="PENDIENTE INFORMACIÓN"/>
    <x v="0"/>
    <d v="2025-04-01T00:00:00"/>
    <x v="1"/>
    <d v="2025-11-01T00:00:00"/>
    <x v="0"/>
    <s v="-"/>
    <x v="0"/>
    <s v="-"/>
    <s v="-"/>
    <s v="SI"/>
    <m/>
    <n v="1"/>
  </r>
  <r>
    <x v="3"/>
    <s v="CARABOBO"/>
    <s v="CORPORACIÓN FIBEX TELECOM, C.A."/>
    <n v="2672573314"/>
    <s v="ANTONIO SEGUNDO MORILLO CHIRINOS"/>
    <n v="15310284"/>
    <x v="1"/>
    <s v="O&amp;M"/>
    <s v="PENDIENTE INFORMACIÓN"/>
    <x v="0"/>
    <d v="2025-04-01T00:00:00"/>
    <x v="1"/>
    <d v="2025-11-01T00:00:00"/>
    <x v="0"/>
    <s v="-"/>
    <x v="0"/>
    <s v="-"/>
    <s v="-"/>
    <s v="SI"/>
    <m/>
    <n v="1"/>
  </r>
  <r>
    <x v="3"/>
    <s v="CARABOBO"/>
    <s v="CORPORACIÓN FIBEX TELECOM, C.A."/>
    <n v="2672573314"/>
    <s v="YOAN ANTONIO TERAN PINTO"/>
    <n v="22515360"/>
    <x v="1"/>
    <s v="O&amp;M"/>
    <s v="PENDIENTE INFORMACIÓN"/>
    <x v="0"/>
    <d v="2025-04-01T00:00:00"/>
    <x v="1"/>
    <d v="2025-11-01T00:00:00"/>
    <x v="0"/>
    <s v="-"/>
    <x v="0"/>
    <s v="-"/>
    <s v="-"/>
    <s v="SI"/>
    <m/>
    <n v="1"/>
  </r>
  <r>
    <x v="3"/>
    <s v="CARABOBO"/>
    <s v="CORPORACIÓN FIBEX TELECOM, C.A."/>
    <n v="2672573314"/>
    <s v="CESAR ELIAS LEAL GUTIERREZ"/>
    <n v="29785845"/>
    <x v="0"/>
    <s v="CDR"/>
    <s v="PENDIENTE INFORMACIÓN"/>
    <x v="0"/>
    <d v="2025-04-01T00:00:00"/>
    <x v="1"/>
    <d v="2025-11-01T00:00:00"/>
    <x v="0"/>
    <s v="-"/>
    <x v="0"/>
    <s v="-"/>
    <s v="-"/>
    <s v="SI"/>
    <m/>
    <n v="1"/>
  </r>
  <r>
    <x v="3"/>
    <s v="CARABOBO"/>
    <s v="CORPORACIÓN FIBEX TELECOM, C.A."/>
    <n v="2672573314"/>
    <s v="FERNANDO ADOLFO CASTILLO FRANCO"/>
    <n v="18611964"/>
    <x v="0"/>
    <s v="CDR"/>
    <s v="PENDIENTE INFORMACIÓN"/>
    <x v="0"/>
    <d v="2025-04-01T00:00:00"/>
    <x v="1"/>
    <d v="2025-11-01T00:00:00"/>
    <x v="0"/>
    <s v="-"/>
    <x v="0"/>
    <s v="-"/>
    <s v="-"/>
    <s v="SI"/>
    <m/>
    <n v="1"/>
  </r>
  <r>
    <x v="3"/>
    <s v="CARABOBO"/>
    <s v="CORPORACIÓN FIBEX TELECOM, C.A."/>
    <n v="2672573314"/>
    <s v="JOEL ARGENIS JIMENEZ CASTILLO"/>
    <n v="17595772"/>
    <x v="0"/>
    <s v="CDR"/>
    <s v="PENDIENTE INFORMACIÓN"/>
    <x v="0"/>
    <d v="2025-04-01T00:00:00"/>
    <x v="1"/>
    <d v="2025-11-01T00:00:00"/>
    <x v="0"/>
    <s v="-"/>
    <x v="0"/>
    <s v="-"/>
    <s v="-"/>
    <s v="SI"/>
    <m/>
    <n v="1"/>
  </r>
  <r>
    <x v="3"/>
    <s v="CARABOBO"/>
    <s v="CORPORACIÓN FIBEX TELECOM, C.A."/>
    <n v="2672573314"/>
    <s v="RODRIGO JOSE FLORES ABREU"/>
    <n v="30046821"/>
    <x v="1"/>
    <s v="CDR"/>
    <s v="PENDIENTE INFORMACIÓN"/>
    <x v="0"/>
    <d v="2025-04-01T00:00:00"/>
    <x v="1"/>
    <d v="2025-11-01T00:00:00"/>
    <x v="0"/>
    <s v="-"/>
    <x v="0"/>
    <s v="-"/>
    <s v="-"/>
    <s v="SI"/>
    <m/>
    <n v="1"/>
  </r>
  <r>
    <x v="3"/>
    <s v="CARABOBO"/>
    <s v="CORPORACIÓN FIBEX TELECOM, C.A."/>
    <n v="2672573314"/>
    <s v="LUIS EDUARDO ROJAS SALVATIERRA"/>
    <n v="17990552"/>
    <x v="1"/>
    <s v="CDR"/>
    <s v="PENDIENTE INFORMACIÓN"/>
    <x v="0"/>
    <d v="2025-04-01T00:00:00"/>
    <x v="1"/>
    <d v="2025-11-01T00:00:00"/>
    <x v="0"/>
    <s v="-"/>
    <x v="0"/>
    <s v="-"/>
    <s v="-"/>
    <s v="SI"/>
    <m/>
    <n v="1"/>
  </r>
  <r>
    <x v="3"/>
    <s v="CARABOBO"/>
    <s v="CORPORACIÓN FIBEX TELECOM, C.A."/>
    <n v="2672573314"/>
    <s v="EDUARDO JESUS RAMOS  TRAVIESO"/>
    <n v="18468285"/>
    <x v="1"/>
    <s v="CDR"/>
    <s v="PENDIENTE INFORMACIÓN"/>
    <x v="0"/>
    <d v="2025-04-01T00:00:00"/>
    <x v="1"/>
    <d v="2025-11-01T00:00:00"/>
    <x v="0"/>
    <s v="-"/>
    <x v="0"/>
    <s v="-"/>
    <s v="-"/>
    <s v="SI"/>
    <m/>
    <n v="1"/>
  </r>
  <r>
    <x v="3"/>
    <s v="CARABOBO"/>
    <s v="CORPORACIÓN FIBEX TELECOM, C.A."/>
    <n v="2672573314"/>
    <s v="YOSMAN JOSE VEGAS REATIGA"/>
    <n v="18254802"/>
    <x v="1"/>
    <s v="CDR"/>
    <s v="PENDIENTE INFORMACIÓN"/>
    <x v="0"/>
    <d v="2025-04-01T00:00:00"/>
    <x v="1"/>
    <d v="2025-11-01T00:00:00"/>
    <x v="0"/>
    <s v="-"/>
    <x v="0"/>
    <s v="-"/>
    <s v="-"/>
    <s v="SI"/>
    <m/>
    <n v="1"/>
  </r>
  <r>
    <x v="3"/>
    <s v="CARABOBO"/>
    <s v="CORPORACIÓN FIBEX TELECOM, C.A."/>
    <n v="2672573314"/>
    <s v="ARMANDO JOSE PADILLA FERMIN"/>
    <n v="20959115"/>
    <x v="1"/>
    <s v="O&amp;M"/>
    <s v="PENDIENTE INFORMACIÓN"/>
    <x v="0"/>
    <d v="2025-04-01T00:00:00"/>
    <x v="1"/>
    <d v="2025-11-01T00:00:00"/>
    <x v="0"/>
    <s v="-"/>
    <x v="0"/>
    <s v="-"/>
    <s v="-"/>
    <s v="SI"/>
    <m/>
    <n v="1"/>
  </r>
  <r>
    <x v="3"/>
    <s v="CARABOBO"/>
    <s v="CORPORACIÓN FIBEX TELECOM, C.A."/>
    <n v="2672573314"/>
    <s v="LUIS ALBERTO NAVEDA BORREGALES"/>
    <n v="10230740"/>
    <x v="0"/>
    <s v="O&amp;M"/>
    <s v="PENDIENTE INFORMACIÓN"/>
    <x v="0"/>
    <d v="2025-04-01T00:00:00"/>
    <x v="1"/>
    <d v="2025-11-01T00:00:00"/>
    <x v="0"/>
    <s v="-"/>
    <x v="0"/>
    <s v="-"/>
    <s v="-"/>
    <s v="SI"/>
    <m/>
    <n v="1"/>
  </r>
  <r>
    <x v="3"/>
    <s v="CARABOBO"/>
    <s v="CORPORACIÓN FIBEX TELECOM, C.A."/>
    <n v="2672573314"/>
    <s v="HANS SVEIN GUTIERREZ VARGAS"/>
    <n v="6197994"/>
    <x v="0"/>
    <s v="O&amp;M"/>
    <s v="PENDIENTE INFORMACIÓN"/>
    <x v="0"/>
    <d v="2025-04-01T00:00:00"/>
    <x v="1"/>
    <d v="2025-11-01T00:00:00"/>
    <x v="0"/>
    <s v="-"/>
    <x v="0"/>
    <s v="-"/>
    <s v="-"/>
    <s v="SI"/>
    <m/>
    <n v="1"/>
  </r>
  <r>
    <x v="3"/>
    <s v="CARABOBO"/>
    <s v="CORPORACIÓN FIBEX TELECOM, C.A."/>
    <n v="2672573314"/>
    <s v="CRISTOPHER BILLY GUTIERREZ ARCILA"/>
    <n v="15606713"/>
    <x v="1"/>
    <s v="O&amp;M"/>
    <s v="PENDIENTE INFORMACIÓN"/>
    <x v="0"/>
    <d v="2025-04-01T00:00:00"/>
    <x v="1"/>
    <d v="2025-11-01T00:00:00"/>
    <x v="0"/>
    <s v="-"/>
    <x v="0"/>
    <s v="-"/>
    <s v="-"/>
    <s v="SI"/>
    <m/>
    <n v="1"/>
  </r>
  <r>
    <x v="3"/>
    <s v="CARABOBO"/>
    <s v="CORPORACIÓN FIBEX TELECOM, C.A."/>
    <n v="2672573314"/>
    <s v="JOSE ANTONIO ARIAS RAMOS"/>
    <n v="25476329"/>
    <x v="1"/>
    <s v="O&amp;M"/>
    <s v="PENDIENTE INFORMACIÓN"/>
    <x v="0"/>
    <d v="2025-04-01T00:00:00"/>
    <x v="1"/>
    <d v="2025-11-01T00:00:00"/>
    <x v="0"/>
    <s v="-"/>
    <x v="0"/>
    <s v="-"/>
    <s v="-"/>
    <s v="SI"/>
    <m/>
    <n v="1"/>
  </r>
  <r>
    <x v="3"/>
    <s v="CARABOBO"/>
    <s v="CORPORACIÓN FIBEX TELECOM, C.A."/>
    <n v="2672573314"/>
    <s v="NELSON JESUS FLORES ESCORCHA"/>
    <n v="17905449"/>
    <x v="0"/>
    <s v="O&amp;M"/>
    <s v="PENDIENTE INFORMACIÓN"/>
    <x v="0"/>
    <d v="2025-04-01T00:00:00"/>
    <x v="1"/>
    <d v="2025-11-01T00:00:00"/>
    <x v="0"/>
    <s v="-"/>
    <x v="0"/>
    <s v="-"/>
    <s v="-"/>
    <s v="SI"/>
    <m/>
    <n v="1"/>
  </r>
  <r>
    <x v="3"/>
    <s v="CARABOBO"/>
    <s v="CORPORACIÓN FIBEX TELECOM, C.A."/>
    <n v="2672573314"/>
    <s v="JESUS ALEXIS MARTINEZ TOVAR"/>
    <n v="24972191"/>
    <x v="0"/>
    <s v="MDC"/>
    <s v="PENDIENTE INFORMACIÓN"/>
    <x v="1"/>
    <s v="-"/>
    <x v="0"/>
    <s v="-"/>
    <x v="0"/>
    <s v="-"/>
    <x v="0"/>
    <s v="-"/>
    <s v="-"/>
    <s v="SI"/>
    <m/>
    <n v="1"/>
  </r>
  <r>
    <x v="3"/>
    <s v="CARABOBO"/>
    <s v="CORPORACIÓN FIBEX TELECOM, C.A."/>
    <n v="2672573314"/>
    <s v="CESAR AUGUSTO BRICEÑO CASTILLO "/>
    <n v="18422251"/>
    <x v="0"/>
    <s v="MDC"/>
    <s v="PENDIENTE INFORMACIÓN"/>
    <x v="1"/>
    <s v="-"/>
    <x v="0"/>
    <s v="-"/>
    <x v="0"/>
    <s v="-"/>
    <x v="0"/>
    <s v="-"/>
    <s v="-"/>
    <s v="SI"/>
    <m/>
    <n v="1"/>
  </r>
  <r>
    <x v="3"/>
    <s v="CARABOBO"/>
    <s v="CORPORACIÓN FIBEX TELECOM, C.A."/>
    <n v="2672573314"/>
    <s v="LUIS ALFONZO HERNANDEZ MOLINA"/>
    <n v="14383233"/>
    <x v="0"/>
    <s v="O&amp;M"/>
    <s v="PENDIENTE INFORMACIÓN"/>
    <x v="1"/>
    <s v="-"/>
    <x v="1"/>
    <d v="2025-11-01T00:00:00"/>
    <x v="0"/>
    <s v="-"/>
    <x v="0"/>
    <s v="-"/>
    <s v="-"/>
    <s v="SI"/>
    <m/>
    <n v="1"/>
  </r>
  <r>
    <x v="3"/>
    <s v="CARABOBO"/>
    <s v="CORPORACIÓN FIBEX TELECOM, C.A."/>
    <n v="2672573314"/>
    <s v="MARK MACGWIRE EDUARDO LOYO MORILLO "/>
    <n v="28082113"/>
    <x v="1"/>
    <s v="O&amp;M"/>
    <s v="PENDIENTE INFORMACIÓN"/>
    <x v="1"/>
    <s v="-"/>
    <x v="0"/>
    <s v="-"/>
    <x v="0"/>
    <s v="-"/>
    <x v="0"/>
    <s v="-"/>
    <s v="-"/>
    <s v="SI"/>
    <m/>
    <n v="1"/>
  </r>
  <r>
    <x v="3"/>
    <s v="CARABOBO"/>
    <s v="CORPORACIÓN FIBEX TELECOM, C.A."/>
    <n v="2672573314"/>
    <s v="ESTEBAN ISIDRO COLINA CONTRERAS"/>
    <n v="16104188"/>
    <x v="1"/>
    <s v="O&amp;M"/>
    <s v="PENDIENTE INFORMACIÓN"/>
    <x v="1"/>
    <s v="-"/>
    <x v="1"/>
    <d v="2025-11-01T00:00:00"/>
    <x v="0"/>
    <s v="-"/>
    <x v="0"/>
    <s v="-"/>
    <s v="-"/>
    <s v="SI"/>
    <m/>
    <n v="1"/>
  </r>
  <r>
    <x v="3"/>
    <s v="CARABOBO"/>
    <s v="CORPORACIÓN FIBEX TELECOM, C.A."/>
    <n v="2672573314"/>
    <s v="STEVEN JAVIER CASTILLO BAZAN"/>
    <n v="26233912"/>
    <x v="0"/>
    <s v="O&amp;M"/>
    <s v="PENDIENTE INFORMACIÓN"/>
    <x v="1"/>
    <s v="-"/>
    <x v="1"/>
    <d v="2025-11-01T00:00:00"/>
    <x v="0"/>
    <s v="-"/>
    <x v="0"/>
    <s v="-"/>
    <s v="-"/>
    <s v="SI"/>
    <m/>
    <n v="1"/>
  </r>
  <r>
    <x v="3"/>
    <s v="CARABOBO"/>
    <s v="CORPORACIÓN FIBEX TELECOM, C.A."/>
    <n v="2672573314"/>
    <s v="NEIBER CAMPOS OJEDA"/>
    <n v="28529130"/>
    <x v="0"/>
    <s v="O&amp;M"/>
    <s v="PENDIENTE INFORMACIÓN"/>
    <x v="1"/>
    <s v="-"/>
    <x v="1"/>
    <d v="2025-11-01T00:00:00"/>
    <x v="0"/>
    <s v="-"/>
    <x v="0"/>
    <s v="-"/>
    <s v="-"/>
    <s v="SI"/>
    <m/>
    <n v="1"/>
  </r>
  <r>
    <x v="3"/>
    <s v="CARABOBO"/>
    <s v="CORPORACIÓN FIBEX TELECOM, C.A."/>
    <n v="2672573314"/>
    <s v="ARNOLD DAMIEL ATENCIO OJEDA"/>
    <n v="20700337"/>
    <x v="0"/>
    <s v="O&amp;M"/>
    <s v="PENDIENTE INFORMACIÓN"/>
    <x v="1"/>
    <s v="-"/>
    <x v="1"/>
    <d v="2025-11-01T00:00:00"/>
    <x v="0"/>
    <s v="-"/>
    <x v="0"/>
    <s v="-"/>
    <s v="-"/>
    <s v="SI"/>
    <m/>
    <n v="1"/>
  </r>
  <r>
    <x v="3"/>
    <s v="CARABOBO"/>
    <s v="CORPORACIÓN FIBEX TELECOM, C.A."/>
    <n v="2672573314"/>
    <s v="GABRIEL EFRAIN PARRA RODRIGUEZ"/>
    <n v="19667127"/>
    <x v="1"/>
    <s v="O&amp;M"/>
    <s v="PENDIENTE INFORMACIÓN"/>
    <x v="1"/>
    <s v="-"/>
    <x v="1"/>
    <d v="2025-11-01T00:00:00"/>
    <x v="0"/>
    <s v="-"/>
    <x v="0"/>
    <s v="-"/>
    <s v="-"/>
    <s v="SI"/>
    <m/>
    <n v="1"/>
  </r>
  <r>
    <x v="3"/>
    <s v="CARABOBO"/>
    <s v="CORPORACIÓN FIBEX TELECOM, C.A."/>
    <n v="2672573314"/>
    <s v="BRANDON SHANE ESTRADA SALGUERO"/>
    <n v="24710684"/>
    <x v="0"/>
    <s v="O&amp;M"/>
    <s v="PENDIENTE INFORMACIÓN"/>
    <x v="1"/>
    <s v="-"/>
    <x v="1"/>
    <d v="2025-11-01T00:00:00"/>
    <x v="0"/>
    <s v="-"/>
    <x v="0"/>
    <s v="-"/>
    <s v="-"/>
    <s v="SI"/>
    <m/>
    <n v="1"/>
  </r>
  <r>
    <x v="3"/>
    <s v="CARABOBO"/>
    <s v="CORPORACIÓN FIBEX TELECOM, C.A."/>
    <n v="2672573314"/>
    <s v="CARLOS DANIEL PEROZO INFANTE"/>
    <n v="27084198"/>
    <x v="1"/>
    <s v="O&amp;M"/>
    <s v="PENDIENTE INFORMACIÓN"/>
    <x v="1"/>
    <s v="-"/>
    <x v="1"/>
    <d v="2025-11-01T00:00:00"/>
    <x v="0"/>
    <s v="-"/>
    <x v="0"/>
    <s v="-"/>
    <s v="-"/>
    <s v="SI"/>
    <m/>
    <n v="1"/>
  </r>
  <r>
    <x v="3"/>
    <s v="CARABOBO"/>
    <s v="CORPORACIÓN FIBEX TELECOM, C.A."/>
    <n v="2672573314"/>
    <s v=" ACER ANTONIO MUÑOZ CursadoERRA"/>
    <n v="19621336"/>
    <x v="1"/>
    <s v="O&amp;M"/>
    <s v="PENDIENTE INFORMACIÓN"/>
    <x v="1"/>
    <s v="-"/>
    <x v="1"/>
    <d v="2025-12-01T00:00:00"/>
    <x v="0"/>
    <s v="-"/>
    <x v="0"/>
    <s v="-"/>
    <s v="-"/>
    <s v="SI"/>
    <m/>
    <n v="1"/>
  </r>
  <r>
    <x v="3"/>
    <s v="CARABOBO"/>
    <s v="CORPORACIÓN FIBEX TELECOM, C.A."/>
    <n v="2672573314"/>
    <s v="ERICK CASTILLO CASTILLO"/>
    <n v="15496280"/>
    <x v="0"/>
    <s v="O&amp;M"/>
    <s v="PENDIENTE INFORMACIÓN"/>
    <x v="1"/>
    <s v="-"/>
    <x v="1"/>
    <d v="2025-11-01T00:00:00"/>
    <x v="0"/>
    <s v="-"/>
    <x v="0"/>
    <s v="-"/>
    <s v="-"/>
    <s v="SI"/>
    <m/>
    <n v="1"/>
  </r>
  <r>
    <x v="3"/>
    <s v="CARABOBO"/>
    <s v="CORPORACIÓN FIBEX TELECOM, C.A."/>
    <n v="2672573314"/>
    <s v="DANIEL ALEJANDRO AMAYA LOPEZ"/>
    <n v="24859431"/>
    <x v="1"/>
    <s v="O&amp;M"/>
    <s v="PENDIENTE INFORMACIÓN"/>
    <x v="1"/>
    <s v="-"/>
    <x v="1"/>
    <d v="2025-11-01T00:00:00"/>
    <x v="0"/>
    <s v="-"/>
    <x v="0"/>
    <s v="-"/>
    <s v="-"/>
    <s v="SI"/>
    <m/>
    <n v="1"/>
  </r>
  <r>
    <x v="3"/>
    <s v="CARABOBO"/>
    <s v="CORPORACIÓN FIBEX TELECOM, C.A."/>
    <n v="2672573314"/>
    <s v="JOEL RODRIGUEZ"/>
    <n v="12753168"/>
    <x v="0"/>
    <s v="O&amp;M"/>
    <s v="PENDIENTE INFORMACIÓN"/>
    <x v="1"/>
    <s v="-"/>
    <x v="1"/>
    <d v="2025-11-01T00:00:00"/>
    <x v="0"/>
    <s v="-"/>
    <x v="0"/>
    <s v="-"/>
    <s v="-"/>
    <s v="SI"/>
    <m/>
    <n v="1"/>
  </r>
  <r>
    <x v="3"/>
    <s v="CARABOBO"/>
    <s v="CORPORACIÓN FIBEX TELECOM, C.A."/>
    <n v="2672573314"/>
    <s v="JORGE LUIS GAUNA SUAREZ"/>
    <n v="19666658"/>
    <x v="1"/>
    <s v="O&amp;M"/>
    <s v="PENDIENTE INFORMACIÓN"/>
    <x v="1"/>
    <s v="-"/>
    <x v="1"/>
    <d v="2025-11-01T00:00:00"/>
    <x v="0"/>
    <s v="-"/>
    <x v="0"/>
    <s v="-"/>
    <s v="-"/>
    <s v="SI"/>
    <m/>
    <n v="1"/>
  </r>
  <r>
    <x v="3"/>
    <s v="CARABOBO"/>
    <s v="CORPORACIÓN FIBEX TELECOM, C.A."/>
    <n v="2672573314"/>
    <s v=" JOAN ERNESTO MORENO VARON"/>
    <n v="15653907"/>
    <x v="0"/>
    <s v="O&amp;M"/>
    <s v="PENDIENTE INFORMACIÓN"/>
    <x v="1"/>
    <s v="-"/>
    <x v="0"/>
    <s v="-"/>
    <x v="0"/>
    <s v="-"/>
    <x v="0"/>
    <s v="-"/>
    <s v="-"/>
    <s v="SI"/>
    <m/>
    <n v="1"/>
  </r>
  <r>
    <x v="3"/>
    <s v="CARABOBO"/>
    <s v="CORPORACIÓN FIBEX TELECOM, C.A."/>
    <n v="2672573314"/>
    <s v="SIERRA LOPEZ, ARNOL"/>
    <n v="83028013"/>
    <x v="4"/>
    <s v="NUEVOS PROYECTOS"/>
    <s v="PENDIENTE INFORMACIÓN"/>
    <x v="1"/>
    <s v="-"/>
    <x v="0"/>
    <s v="-"/>
    <x v="0"/>
    <s v="-"/>
    <x v="0"/>
    <s v="-"/>
    <s v="-"/>
    <s v="SI"/>
    <m/>
    <n v="1"/>
  </r>
  <r>
    <x v="3"/>
    <s v="CARABOBO"/>
    <s v="CORPORACIÓN FIBEX TELECOM, C.A."/>
    <n v="2672573314"/>
    <s v="GONZALEZ, CARLOS ALBERTO"/>
    <n v="14024246"/>
    <x v="4"/>
    <s v="EMPALME"/>
    <s v="PENDIENTE INFORMACIÓN"/>
    <x v="1"/>
    <s v="-"/>
    <x v="0"/>
    <s v="-"/>
    <x v="0"/>
    <s v="-"/>
    <x v="0"/>
    <s v="-"/>
    <s v="-"/>
    <s v="SI"/>
    <m/>
    <n v="1"/>
  </r>
  <r>
    <x v="3"/>
    <s v="CARABOBO"/>
    <s v="CORPORACIÓN FIBEX TELECOM, C.A."/>
    <n v="2672573314"/>
    <s v="HERNANDEZ DIAZ, DARWIN ARTURO"/>
    <n v="19667981"/>
    <x v="4"/>
    <s v="MANTENIMIENTO DE TRONCALES"/>
    <s v="PENDIENTE INFORMACIÓN"/>
    <x v="1"/>
    <s v="-"/>
    <x v="0"/>
    <s v="-"/>
    <x v="0"/>
    <s v="-"/>
    <x v="0"/>
    <s v="-"/>
    <s v="-"/>
    <s v="SI"/>
    <m/>
    <n v="1"/>
  </r>
  <r>
    <x v="3"/>
    <s v="CARABOBO"/>
    <s v="CORPORACIÓN FIBEX TELECOM, C.A."/>
    <n v="2672573314"/>
    <s v="MENDOZA LEIDNS, PAOLA WALKIRIA"/>
    <n v="26011552"/>
    <x v="4"/>
    <s v="MDA"/>
    <s v="PENDIENTE INFORMACIÓN"/>
    <x v="1"/>
    <s v="-"/>
    <x v="0"/>
    <s v="-"/>
    <x v="0"/>
    <s v="-"/>
    <x v="0"/>
    <s v="-"/>
    <s v="-"/>
    <s v="SI"/>
    <m/>
    <n v="1"/>
  </r>
  <r>
    <x v="3"/>
    <s v="CARABOBO"/>
    <s v="CORPORACIÓN FIBEX TELECOM, C.A."/>
    <n v="2672573314"/>
    <s v="GONZALEZ CASTILLO, YANNELYS DEL CARMEN"/>
    <n v="27548134"/>
    <x v="4"/>
    <s v="MDA"/>
    <s v="PENDIENTE INFORMACIÓN"/>
    <x v="1"/>
    <s v="-"/>
    <x v="0"/>
    <s v="-"/>
    <x v="0"/>
    <s v="-"/>
    <x v="0"/>
    <s v="-"/>
    <s v="-"/>
    <s v="SI"/>
    <m/>
    <n v="1"/>
  </r>
  <r>
    <x v="3"/>
    <s v="CARABOBO"/>
    <s v="CORPORACIÓN FIBEX TELECOM, C.A."/>
    <n v="2672573314"/>
    <s v="HECTOR OMAR CARMESA RODRIGUEZ"/>
    <n v="16447676"/>
    <x v="1"/>
    <s v="O&amp;M"/>
    <s v="PENDIENTE INFORMACIÓN"/>
    <x v="1"/>
    <s v="-"/>
    <x v="1"/>
    <d v="2025-11-01T00:00:00"/>
    <x v="0"/>
    <s v="-"/>
    <x v="0"/>
    <s v="-"/>
    <s v="-"/>
    <s v="SI"/>
    <m/>
    <n v="1"/>
  </r>
  <r>
    <x v="3"/>
    <s v="CARABOBO"/>
    <s v="CORPORACIÓN FIBEX TELECOM, C.A."/>
    <n v="2672573314"/>
    <s v="GONZALEZ AGUIRRE, SAMUEL RAUL"/>
    <n v="18085675"/>
    <x v="3"/>
    <s v="PLANTA EXTERNA"/>
    <s v="PENDIENTE INFORMACIÓN"/>
    <x v="1"/>
    <s v="-"/>
    <x v="0"/>
    <s v="-"/>
    <x v="0"/>
    <s v="-"/>
    <x v="0"/>
    <s v="-"/>
    <s v="-"/>
    <s v="SI"/>
    <m/>
    <n v="1"/>
  </r>
  <r>
    <x v="3"/>
    <s v="CARABOBO"/>
    <s v="CORPORACIÓN FIBEX TELECOM, C.A."/>
    <n v="2672573314"/>
    <s v="LEON PERNIA, JENIFER LEE"/>
    <n v="27550821"/>
    <x v="3"/>
    <s v="PLANTA INTERNA"/>
    <s v="PENDIENTE INFORMACIÓN"/>
    <x v="1"/>
    <s v="-"/>
    <x v="0"/>
    <s v="-"/>
    <x v="0"/>
    <s v="-"/>
    <x v="0"/>
    <s v="-"/>
    <s v="-"/>
    <s v="SI"/>
    <m/>
    <n v="1"/>
  </r>
  <r>
    <x v="3"/>
    <s v="CARABOBO"/>
    <s v="CORPORACIÓN FIBEX TELECOM, C.A."/>
    <n v="2672573314"/>
    <s v="MARTINEZ TOVAR, GENESIS DEL VALLE"/>
    <n v="20731312"/>
    <x v="3"/>
    <s v="EMPALME"/>
    <s v="PENDIENTE INFORMACIÓN"/>
    <x v="1"/>
    <s v="-"/>
    <x v="0"/>
    <s v="-"/>
    <x v="0"/>
    <s v="-"/>
    <x v="0"/>
    <s v="-"/>
    <s v="-"/>
    <s v="SI"/>
    <m/>
    <n v="1"/>
  </r>
  <r>
    <x v="3"/>
    <s v="CARABOBO"/>
    <s v="CORPORACIÓN FIBEX TELECOM, C.A."/>
    <n v="2672573314"/>
    <s v="VALENTE CONTRERAS, ANGELIMAR"/>
    <n v="24554800"/>
    <x v="3"/>
    <s v="EMPALME"/>
    <s v="PENDIENTE INFORMACIÓN"/>
    <x v="1"/>
    <s v="-"/>
    <x v="0"/>
    <s v="-"/>
    <x v="0"/>
    <s v="-"/>
    <x v="0"/>
    <s v="-"/>
    <s v="-"/>
    <s v="SI"/>
    <m/>
    <n v="1"/>
  </r>
  <r>
    <x v="3"/>
    <s v="CARABOBO"/>
    <s v="CORPORACIÓN FIBEX TELECOM, C.A."/>
    <n v="2672573314"/>
    <s v="EMILY KARLY ABREU ZARRAGA"/>
    <n v="18361073"/>
    <x v="2"/>
    <s v="DOCUMENTACIÓN Y DISEÑO"/>
    <s v="PENDIENTE INFORMACIÓN"/>
    <x v="1"/>
    <s v="-"/>
    <x v="0"/>
    <s v="-"/>
    <x v="0"/>
    <s v="-"/>
    <x v="0"/>
    <s v="-"/>
    <s v="-"/>
    <s v="SI"/>
    <m/>
    <n v="1"/>
  </r>
  <r>
    <x v="3"/>
    <s v="CARABOBO"/>
    <s v="CORPORACIÓN FIBEX TELECOM, C.A."/>
    <n v="2672573314"/>
    <s v="PEDRO JAVIER MENDEZ PINTO"/>
    <n v="21213718"/>
    <x v="2"/>
    <s v="DOCUMENTACIÓN Y DISEÑO"/>
    <s v="PENDIENTE INFORMACIÓN"/>
    <x v="1"/>
    <s v="-"/>
    <x v="0"/>
    <s v="-"/>
    <x v="0"/>
    <s v="-"/>
    <x v="0"/>
    <s v="-"/>
    <s v="-"/>
    <s v="SI"/>
    <m/>
    <n v="1"/>
  </r>
  <r>
    <x v="3"/>
    <s v="CARABOBO"/>
    <s v="CORPORACIÓN FIBEX TELECOM, C.A."/>
    <n v="2672573314"/>
    <s v="FRANCIS NATHALY PEREZ HERRERA"/>
    <n v="22013739"/>
    <x v="2"/>
    <s v="DOCUMENTACIÓN Y DISEÑO"/>
    <s v="PENDIENTE INFORMACIÓN"/>
    <x v="1"/>
    <s v="-"/>
    <x v="0"/>
    <s v="-"/>
    <x v="0"/>
    <s v="-"/>
    <x v="0"/>
    <s v="-"/>
    <s v="-"/>
    <s v="SI"/>
    <m/>
    <n v="1"/>
  </r>
  <r>
    <x v="3"/>
    <s v="CARABOBO"/>
    <s v="CORPORACIÓN FIBEX TELECOM, C.A."/>
    <n v="2672573314"/>
    <s v="JOSEPH SEBASTIAN SANCHEZ BARRAGAN"/>
    <n v="25754316"/>
    <x v="2"/>
    <s v="DOCUMENTACIÓN Y DISEÑO"/>
    <s v="PENDIENTE INFORMACIÓN"/>
    <x v="1"/>
    <s v="-"/>
    <x v="0"/>
    <s v="-"/>
    <x v="0"/>
    <s v="-"/>
    <x v="0"/>
    <s v="-"/>
    <s v="-"/>
    <s v="SI"/>
    <m/>
    <n v="1"/>
  </r>
  <r>
    <x v="3"/>
    <s v="CARABOBO"/>
    <s v="CORPORACIÓN FIBEX TELECOM, C.A."/>
    <n v="2672573314"/>
    <s v="MAURICIO ANDRES GUERRA CAMACARO"/>
    <n v="26011786"/>
    <x v="2"/>
    <s v="DOCUMENTACIÓN Y DISEÑO"/>
    <s v="PENDIENTE INFORMACIÓN"/>
    <x v="1"/>
    <s v="-"/>
    <x v="0"/>
    <s v="-"/>
    <x v="0"/>
    <s v="-"/>
    <x v="0"/>
    <s v="-"/>
    <s v="-"/>
    <s v="SI"/>
    <m/>
    <n v="1"/>
  </r>
  <r>
    <x v="3"/>
    <s v="CARABOBO"/>
    <s v="CORPORACIÓN FIBEX TELECOM, C.A."/>
    <n v="2672573314"/>
    <s v="GLEDYS SOFIA PORRAS ESCOBAR"/>
    <n v="26392093"/>
    <x v="2"/>
    <s v="DOCUMENTACIÓN Y DISEÑO"/>
    <s v="PENDIENTE INFORMACIÓN"/>
    <x v="1"/>
    <s v="-"/>
    <x v="0"/>
    <s v="-"/>
    <x v="0"/>
    <s v="-"/>
    <x v="0"/>
    <s v="-"/>
    <s v="-"/>
    <s v="SI"/>
    <m/>
    <n v="1"/>
  </r>
  <r>
    <x v="3"/>
    <s v="CARABOBO"/>
    <s v="CORPORACIÓN FIBEX TELECOM, C.A."/>
    <n v="2672573314"/>
    <s v="RICARDO ANDRES TORRES ROSALES"/>
    <n v="30430837"/>
    <x v="2"/>
    <s v="DOCUMENTACIÓN Y DISEÑO"/>
    <s v="PENDIENTE INFORMACIÓN"/>
    <x v="1"/>
    <s v="-"/>
    <x v="0"/>
    <s v="-"/>
    <x v="0"/>
    <s v="-"/>
    <x v="0"/>
    <s v="-"/>
    <s v="-"/>
    <s v="SI"/>
    <m/>
    <n v="1"/>
  </r>
  <r>
    <x v="3"/>
    <s v="CARABOBO"/>
    <s v="CORPORACIÓN FIBEX TELECOM, C.A."/>
    <n v="2672573314"/>
    <s v="ANGEL GABRIEL LOPEZ MORALES"/>
    <n v="30585620"/>
    <x v="2"/>
    <s v="DOCUMENTACIÓN Y DISEÑO"/>
    <s v="PENDIENTE INFORMACIÓN"/>
    <x v="1"/>
    <s v="-"/>
    <x v="0"/>
    <s v="-"/>
    <x v="0"/>
    <s v="-"/>
    <x v="0"/>
    <s v="-"/>
    <s v="-"/>
    <s v="SI"/>
    <m/>
    <n v="1"/>
  </r>
  <r>
    <x v="3"/>
    <s v="CARABOBO"/>
    <s v="CORPORACIÓN FIBEX TELECOM, C.A."/>
    <n v="2672573314"/>
    <s v="YULVELIN AIDA ACOSTA HERNANDEZ"/>
    <n v="14465104"/>
    <x v="2"/>
    <s v="MDC"/>
    <s v="PENDIENTE INFORMACIÓN"/>
    <x v="1"/>
    <s v="-"/>
    <x v="0"/>
    <s v="-"/>
    <x v="0"/>
    <s v="-"/>
    <x v="0"/>
    <s v="-"/>
    <s v="-"/>
    <s v="SI"/>
    <m/>
    <n v="1"/>
  </r>
  <r>
    <x v="3"/>
    <s v="CARABOBO"/>
    <s v="CORPORACIÓN FIBEX TELECOM, C.A."/>
    <n v="2672573314"/>
    <s v="YESENIA ANAIS ROJAS MESA"/>
    <n v="16446854"/>
    <x v="2"/>
    <s v="MDC"/>
    <s v="PENDIENTE INFORMACIÓN"/>
    <x v="1"/>
    <s v="-"/>
    <x v="0"/>
    <s v="-"/>
    <x v="0"/>
    <s v="-"/>
    <x v="0"/>
    <s v="-"/>
    <s v="-"/>
    <s v="SI"/>
    <m/>
    <n v="1"/>
  </r>
  <r>
    <x v="3"/>
    <s v="CARABOBO"/>
    <s v="CORPORACIÓN FIBEX TELECOM, C.A."/>
    <n v="2672573314"/>
    <s v="DAYANA YOBELIN JIMENEZ MENDOZA"/>
    <n v="16775155"/>
    <x v="2"/>
    <s v="MDC"/>
    <s v="PENDIENTE INFORMACIÓN"/>
    <x v="1"/>
    <s v="-"/>
    <x v="0"/>
    <s v="-"/>
    <x v="0"/>
    <s v="-"/>
    <x v="0"/>
    <s v="-"/>
    <s v="-"/>
    <s v="SI"/>
    <m/>
    <n v="1"/>
  </r>
  <r>
    <x v="3"/>
    <s v="CARABOBO"/>
    <s v="CORPORACIÓN FIBEX TELECOM, C.A."/>
    <n v="2672573314"/>
    <s v="ELYSMEL DOLORES CANO DELGADO"/>
    <n v="17329551"/>
    <x v="2"/>
    <s v="MDC"/>
    <s v="PENDIENTE INFORMACIÓN"/>
    <x v="1"/>
    <s v="-"/>
    <x v="0"/>
    <s v="-"/>
    <x v="0"/>
    <s v="-"/>
    <x v="0"/>
    <s v="-"/>
    <s v="-"/>
    <s v="SI"/>
    <m/>
    <n v="1"/>
  </r>
  <r>
    <x v="3"/>
    <s v="CARABOBO"/>
    <s v="CORPORACIÓN FIBEX TELECOM, C.A."/>
    <n v="2672573314"/>
    <s v="JUAN JOSE TORREYES PARRA"/>
    <n v="19991100"/>
    <x v="2"/>
    <s v="MDC"/>
    <s v="PENDIENTE INFORMACIÓN"/>
    <x v="1"/>
    <s v="-"/>
    <x v="0"/>
    <s v="-"/>
    <x v="0"/>
    <s v="-"/>
    <x v="0"/>
    <s v="-"/>
    <s v="-"/>
    <s v="SI"/>
    <m/>
    <n v="1"/>
  </r>
  <r>
    <x v="3"/>
    <s v="CARABOBO"/>
    <s v="CORPORACIÓN FIBEX TELECOM, C.A."/>
    <n v="2672573314"/>
    <s v="CHRISTOPHER ANTONIO VILLEGAS MELENDEZ"/>
    <n v="24108282"/>
    <x v="2"/>
    <s v="MDC"/>
    <s v="PENDIENTE INFORMACIÓN"/>
    <x v="1"/>
    <s v="-"/>
    <x v="0"/>
    <s v="-"/>
    <x v="0"/>
    <s v="-"/>
    <x v="0"/>
    <s v="-"/>
    <s v="-"/>
    <s v="SI"/>
    <m/>
    <n v="1"/>
  </r>
  <r>
    <x v="3"/>
    <s v="CARABOBO"/>
    <s v="CORPORACIÓN FIBEX TELECOM, C.A."/>
    <n v="2672573314"/>
    <s v="VICMELIS LISNEL DELGADO DELGADO"/>
    <n v="24495294"/>
    <x v="2"/>
    <s v="MDC"/>
    <s v="PENDIENTE INFORMACIÓN"/>
    <x v="1"/>
    <s v="-"/>
    <x v="0"/>
    <s v="-"/>
    <x v="0"/>
    <s v="-"/>
    <x v="0"/>
    <s v="-"/>
    <s v="-"/>
    <s v="SI"/>
    <m/>
    <n v="1"/>
  </r>
  <r>
    <x v="3"/>
    <s v="CARABOBO"/>
    <s v="CORPORACIÓN FIBEX TELECOM, C.A."/>
    <n v="2672573314"/>
    <s v="WISNAILY  ANDREINA BENCOMO GOMEZ"/>
    <n v="27064119"/>
    <x v="2"/>
    <s v="MDC"/>
    <s v="PENDIENTE INFORMACIÓN"/>
    <x v="1"/>
    <s v="-"/>
    <x v="0"/>
    <s v="-"/>
    <x v="0"/>
    <s v="-"/>
    <x v="0"/>
    <s v="-"/>
    <s v="-"/>
    <s v="SI"/>
    <m/>
    <n v="1"/>
  </r>
  <r>
    <x v="3"/>
    <s v="CARABOBO"/>
    <s v="CORPORACIÓN FIBEX TELECOM, C.A."/>
    <n v="2672573314"/>
    <s v="EILA BETZABE AVELLANEDA FERNANDEZ"/>
    <n v="28035923"/>
    <x v="2"/>
    <s v="MDC"/>
    <s v="PENDIENTE INFORMACIÓN"/>
    <x v="1"/>
    <s v="-"/>
    <x v="0"/>
    <s v="-"/>
    <x v="0"/>
    <s v="-"/>
    <x v="0"/>
    <s v="-"/>
    <s v="-"/>
    <s v="SI"/>
    <m/>
    <n v="1"/>
  </r>
  <r>
    <x v="3"/>
    <s v="CARABOBO"/>
    <s v="CORPORACIÓN FIBEX TELECOM, C.A."/>
    <n v="2672573314"/>
    <s v="JOSE ANDRES BLANCO GARCIA"/>
    <n v="28465754"/>
    <x v="2"/>
    <s v="MDC"/>
    <s v="PENDIENTE INFORMACIÓN"/>
    <x v="1"/>
    <s v="-"/>
    <x v="0"/>
    <s v="-"/>
    <x v="0"/>
    <s v="-"/>
    <x v="0"/>
    <s v="-"/>
    <s v="-"/>
    <s v="SI"/>
    <m/>
    <n v="1"/>
  </r>
  <r>
    <x v="3"/>
    <s v="CARABOBO"/>
    <s v="CORPORACIÓN FIBEX TELECOM, C.A."/>
    <n v="2672573314"/>
    <s v="SOFIA CAMILA CORONA PEÑALVER"/>
    <n v="28714979"/>
    <x v="2"/>
    <s v="MDC"/>
    <s v="PENDIENTE INFORMACIÓN"/>
    <x v="1"/>
    <s v="-"/>
    <x v="0"/>
    <s v="-"/>
    <x v="0"/>
    <s v="-"/>
    <x v="0"/>
    <s v="-"/>
    <s v="-"/>
    <s v="SI"/>
    <m/>
    <n v="1"/>
  </r>
  <r>
    <x v="3"/>
    <s v="CARABOBO"/>
    <s v="CORPORACIÓN FIBEX TELECOM, C.A."/>
    <n v="2672573314"/>
    <s v="GABRIEL ADRIAN QUEVEDO RINCON"/>
    <n v="29769765"/>
    <x v="2"/>
    <s v="MDC"/>
    <s v="PENDIENTE INFORMACIÓN"/>
    <x v="1"/>
    <s v="-"/>
    <x v="0"/>
    <s v="-"/>
    <x v="0"/>
    <s v="-"/>
    <x v="0"/>
    <s v="-"/>
    <s v="-"/>
    <s v="SI"/>
    <m/>
    <n v="1"/>
  </r>
  <r>
    <x v="3"/>
    <s v="CARABOBO"/>
    <s v="CORPORACIÓN FIBEX TELECOM, C.A."/>
    <n v="2672573314"/>
    <s v="EMILIO JOSE MONTERO GONZALEZ"/>
    <n v="29821051"/>
    <x v="2"/>
    <s v="MDC"/>
    <s v="PENDIENTE INFORMACIÓN"/>
    <x v="1"/>
    <s v="-"/>
    <x v="0"/>
    <s v="-"/>
    <x v="0"/>
    <s v="-"/>
    <x v="0"/>
    <s v="-"/>
    <s v="-"/>
    <s v="SI"/>
    <m/>
    <n v="1"/>
  </r>
  <r>
    <x v="3"/>
    <s v="CARABOBO"/>
    <s v="CORPORACIÓN FIBEX TELECOM, C.A."/>
    <n v="2672573314"/>
    <s v="JORGE DAVID NOGUERA ARAUJO"/>
    <n v="30603796"/>
    <x v="2"/>
    <s v="MDC"/>
    <s v="PENDIENTE INFORMACIÓN"/>
    <x v="1"/>
    <s v="-"/>
    <x v="0"/>
    <s v="-"/>
    <x v="0"/>
    <s v="-"/>
    <x v="0"/>
    <s v="-"/>
    <s v="-"/>
    <s v="SI"/>
    <m/>
    <n v="1"/>
  </r>
  <r>
    <x v="3"/>
    <s v="CARABOBO"/>
    <s v="CORPORACIÓN FIBEX TELECOM, C.A."/>
    <n v="2672573314"/>
    <s v="FERNANDO ANTONIO GUERRERO TORRES"/>
    <n v="32401451"/>
    <x v="2"/>
    <s v="MDC"/>
    <s v="PENDIENTE INFORMACIÓN"/>
    <x v="1"/>
    <s v="-"/>
    <x v="0"/>
    <s v="-"/>
    <x v="0"/>
    <s v="-"/>
    <x v="0"/>
    <s v="-"/>
    <s v="-"/>
    <s v="SI"/>
    <m/>
    <n v="1"/>
  </r>
  <r>
    <x v="3"/>
    <s v="CARABOBO"/>
    <s v="CORPORACIÓN FIBEX TELECOM, C.A."/>
    <n v="2672573314"/>
    <s v="JOSE RAFAEL GUEVARA HERRERA"/>
    <n v="11360425"/>
    <x v="1"/>
    <s v="EMPALME"/>
    <s v="PENDIENTE INFORMACIÓN"/>
    <x v="1"/>
    <s v="-"/>
    <x v="0"/>
    <s v="-"/>
    <x v="0"/>
    <s v="-"/>
    <x v="0"/>
    <s v="-"/>
    <s v="-"/>
    <s v="SI"/>
    <m/>
    <n v="1"/>
  </r>
  <r>
    <x v="4"/>
    <s v="CARABOBO / PTO. CABELLO"/>
    <s v="CORPORACIÓN FIBEX TELECOM, C.A."/>
    <n v="2672573314"/>
    <s v="KARLINA YERARDINE MICHELENA DURAN"/>
    <n v="19920612"/>
    <x v="4"/>
    <s v="CDR"/>
    <s v="PENDIENTE INFORMACIÓN"/>
    <x v="1"/>
    <s v="-"/>
    <x v="0"/>
    <s v="-"/>
    <x v="0"/>
    <s v="-"/>
    <x v="0"/>
    <s v="-"/>
    <s v="-"/>
    <s v="SI"/>
    <m/>
    <n v="1"/>
  </r>
  <r>
    <x v="4"/>
    <s v="CARABOBO / PTO. CABELLO"/>
    <s v="CORPORACIÓN FIBEX TELECOM, C.A."/>
    <n v="2672573314"/>
    <s v="WILMER LUIS BLANCO CARMONA"/>
    <n v="11197770"/>
    <x v="3"/>
    <s v="O&amp;M"/>
    <s v="PENDIENTE INFORMACIÓN"/>
    <x v="0"/>
    <d v="2025-04-01T00:00:00"/>
    <x v="1"/>
    <d v="2025-11-01T00:00:00"/>
    <x v="0"/>
    <s v="-"/>
    <x v="0"/>
    <s v="-"/>
    <s v="-"/>
    <s v="SI"/>
    <m/>
    <n v="1"/>
  </r>
  <r>
    <x v="4"/>
    <s v="CARABOBO / PTO. CABELLO"/>
    <s v="CORPORACIÓN FIBEX TELECOM, C.A."/>
    <n v="2672573314"/>
    <s v="HUMBERTO JOSE MARVAL"/>
    <n v="17899815"/>
    <x v="0"/>
    <s v="O&amp;M"/>
    <s v="PENDIENTE INFORMACIÓN"/>
    <x v="0"/>
    <d v="2025-04-01T00:00:00"/>
    <x v="1"/>
    <d v="2025-11-01T00:00:00"/>
    <x v="0"/>
    <s v="-"/>
    <x v="0"/>
    <s v="-"/>
    <s v="-"/>
    <s v="SI"/>
    <m/>
    <n v="1"/>
  </r>
  <r>
    <x v="4"/>
    <s v="CARABOBO / PTO. CABELLO"/>
    <s v="CORPORACIÓN FIBEX TELECOM, C.A."/>
    <n v="2672573314"/>
    <s v="JAVIER ENRIQUE VILCHEZ APARICIO"/>
    <n v="27393998"/>
    <x v="1"/>
    <s v="O&amp;M"/>
    <s v="PENDIENTE INFORMACIÓN"/>
    <x v="0"/>
    <d v="2025-04-01T00:00:00"/>
    <x v="1"/>
    <d v="2025-11-01T00:00:00"/>
    <x v="0"/>
    <s v="-"/>
    <x v="0"/>
    <s v="-"/>
    <s v="-"/>
    <s v="SI"/>
    <m/>
    <n v="1"/>
  </r>
  <r>
    <x v="4"/>
    <s v="CARABOBO / PTO. CABELLO"/>
    <s v="CORPORACIÓN FIBEX TELECOM, C.A."/>
    <n v="2672573314"/>
    <s v="JERITZON CESAR VANEGAS BERNAL"/>
    <n v="17811795"/>
    <x v="0"/>
    <s v="CDR"/>
    <s v="PENDIENTE INFORMACIÓN"/>
    <x v="1"/>
    <s v="-"/>
    <x v="0"/>
    <s v="-"/>
    <x v="0"/>
    <s v="-"/>
    <x v="0"/>
    <s v="-"/>
    <s v="-"/>
    <s v="SI"/>
    <m/>
    <n v="1"/>
  </r>
  <r>
    <x v="4"/>
    <s v="CARABOBO / PTO. CABELLO"/>
    <s v="CORPORACIÓN FIBEX TELECOM, C.A."/>
    <n v="2672573314"/>
    <s v="JHONNATA WLADIMIR SALDIVIA"/>
    <n v="14379748"/>
    <x v="1"/>
    <s v="CDR"/>
    <s v="PENDIENTE INFORMACIÓN"/>
    <x v="1"/>
    <s v="-"/>
    <x v="0"/>
    <s v="-"/>
    <x v="0"/>
    <s v="-"/>
    <x v="0"/>
    <s v="-"/>
    <s v="-"/>
    <s v="SI"/>
    <m/>
    <n v="1"/>
  </r>
  <r>
    <x v="4"/>
    <s v="CARABOBO / PTO. CABELLO"/>
    <s v="CORPORACIÓN FIBEX TELECOM, C.A."/>
    <n v="2672573314"/>
    <s v="EDUIN JOSUE FABIAN SANOJA"/>
    <n v="24303318"/>
    <x v="0"/>
    <s v="O&amp;M"/>
    <s v="PENDIENTE INFORMACIÓN"/>
    <x v="1"/>
    <s v="-"/>
    <x v="1"/>
    <d v="2025-11-01T00:00:00"/>
    <x v="0"/>
    <s v="-"/>
    <x v="0"/>
    <s v="-"/>
    <s v="-"/>
    <s v="SI"/>
    <m/>
    <n v="1"/>
  </r>
  <r>
    <x v="4"/>
    <s v="CARABOBO / PTO. CABELLO"/>
    <s v="CORPORACIÓN FIBEX TELECOM, C.A."/>
    <n v="2672573314"/>
    <s v="EDWARD WILFREDO MONTERO VASQUEZ"/>
    <n v="19890608"/>
    <x v="1"/>
    <s v="O&amp;M"/>
    <s v="PENDIENTE INFORMACIÓN"/>
    <x v="1"/>
    <s v="-"/>
    <x v="1"/>
    <d v="2025-11-01T00:00:00"/>
    <x v="0"/>
    <s v="-"/>
    <x v="0"/>
    <s v="-"/>
    <s v="-"/>
    <s v="SI"/>
    <m/>
    <n v="1"/>
  </r>
  <r>
    <x v="4"/>
    <s v="CARABOBO / PTO. CABELLO"/>
    <s v="CORPORACIÓN FIBEX TELECOM, C.A."/>
    <n v="2672573314"/>
    <s v="BLADIMIR JOSE TAGLIAFERRO GARRIDO"/>
    <n v="24304448"/>
    <x v="1"/>
    <s v="O&amp;M"/>
    <s v="PENDIENTE INFORMACIÓN"/>
    <x v="1"/>
    <s v="-"/>
    <x v="1"/>
    <d v="2025-11-01T00:00:00"/>
    <x v="0"/>
    <s v="-"/>
    <x v="0"/>
    <s v="-"/>
    <s v="-"/>
    <s v="SI"/>
    <m/>
    <n v="1"/>
  </r>
  <r>
    <x v="4"/>
    <s v="CARABOBO / PTO. CABELLO"/>
    <s v="CORPORACIÓN FIBEX TELECOM, C.A."/>
    <n v="2672573314"/>
    <s v="ALYISSA TERESA ROSSI MORON"/>
    <n v="24914114"/>
    <x v="2"/>
    <s v="MDC"/>
    <s v="PENDIENTE INFORMACIÓN"/>
    <x v="1"/>
    <s v="-"/>
    <x v="0"/>
    <s v="-"/>
    <x v="0"/>
    <s v="-"/>
    <x v="0"/>
    <s v="-"/>
    <s v="-"/>
    <s v="SI"/>
    <m/>
    <n v="1"/>
  </r>
  <r>
    <x v="4"/>
    <s v="CARABOBO / PTO. CABELLO"/>
    <s v="CORPORACIÓN FIBEX TELECOM, C.A."/>
    <n v="2672573314"/>
    <s v="ARLYNA ALEJANDRA FIGUEREDO PIÑERO"/>
    <n v="30584938"/>
    <x v="2"/>
    <s v="MDC"/>
    <s v="PENDIENTE INFORMACIÓN"/>
    <x v="1"/>
    <s v="-"/>
    <x v="0"/>
    <s v="-"/>
    <x v="0"/>
    <s v="-"/>
    <x v="0"/>
    <s v="-"/>
    <s v="-"/>
    <s v="SI"/>
    <m/>
    <n v="1"/>
  </r>
  <r>
    <x v="4"/>
    <s v="CARABOBO / PTO. CABELLO"/>
    <s v="CORPORACIÓN FIBEX TELECOM, C.A."/>
    <n v="2672573314"/>
    <s v="ANTHONY DANIEL SANDOVAL RIVAS"/>
    <n v="27850492"/>
    <x v="0"/>
    <s v="EMPALME"/>
    <s v="PENDIENTE INFORMACIÓN"/>
    <x v="1"/>
    <s v="-"/>
    <x v="0"/>
    <s v="-"/>
    <x v="0"/>
    <s v="-"/>
    <x v="0"/>
    <s v="-"/>
    <s v="-"/>
    <s v="SI"/>
    <m/>
    <n v="1"/>
  </r>
  <r>
    <x v="5"/>
    <s v="CARACAS"/>
    <s v="CORPORACIÓN FIBEX TELECOM, C.A."/>
    <n v="2672573314"/>
    <s v="DANNY JOSE CARRENO BASTARDO"/>
    <n v="13075335"/>
    <x v="4"/>
    <s v="O&amp;M"/>
    <s v="PENDIENTE INFORMACIÓN"/>
    <x v="1"/>
    <s v="-"/>
    <x v="0"/>
    <s v="-"/>
    <x v="0"/>
    <s v="-"/>
    <x v="0"/>
    <s v="-"/>
    <s v="-"/>
    <s v="SI"/>
    <m/>
    <n v="1"/>
  </r>
  <r>
    <x v="5"/>
    <s v="CARACAS"/>
    <s v="CORPORACIÓN FIBEX TELECOM, C.A."/>
    <n v="2672573314"/>
    <s v="MILAGROS SILVA"/>
    <n v="13576767"/>
    <x v="4"/>
    <s v="O&amp;M"/>
    <s v="PENDIENTE INFORMACIÓN"/>
    <x v="1"/>
    <s v="-"/>
    <x v="0"/>
    <s v="-"/>
    <x v="0"/>
    <s v="-"/>
    <x v="0"/>
    <s v="-"/>
    <s v="-"/>
    <s v="SI"/>
    <m/>
    <n v="1"/>
  </r>
  <r>
    <x v="5"/>
    <s v="CARACAS"/>
    <s v="CORPORACIÓN FIBEX TELECOM, C.A."/>
    <n v="2672573314"/>
    <s v="CLAYRIS TORREALBA"/>
    <n v="24895569"/>
    <x v="2"/>
    <s v="O&amp;M"/>
    <s v="PENDIENTE INFORMACIÓN"/>
    <x v="1"/>
    <s v="-"/>
    <x v="0"/>
    <s v="-"/>
    <x v="0"/>
    <s v="-"/>
    <x v="0"/>
    <s v="-"/>
    <s v="-"/>
    <s v="SI"/>
    <m/>
    <n v="1"/>
  </r>
  <r>
    <x v="5"/>
    <s v="CARACAS"/>
    <s v="CORPORACIÓN FIBEX TELECOM, C.A."/>
    <n v="2672573314"/>
    <s v="JHONNY XAVIER JIMENEZ MEZA"/>
    <n v="20606065"/>
    <x v="0"/>
    <s v="NUEVOS PROYECTOS"/>
    <s v="PENDIENTE INFORMACIÓN"/>
    <x v="0"/>
    <d v="2025-04-01T00:00:00"/>
    <x v="1"/>
    <d v="2025-11-01T00:00:00"/>
    <x v="0"/>
    <s v="-"/>
    <x v="0"/>
    <s v="-"/>
    <s v="-"/>
    <s v="SI"/>
    <m/>
    <n v="1"/>
  </r>
  <r>
    <x v="5"/>
    <s v="CARACAS"/>
    <s v="CORPORACIÓN FIBEX TELECOM, C.A."/>
    <n v="2672573314"/>
    <s v="MESAE OSWALDO MILLAN MAZA"/>
    <n v="16106452"/>
    <x v="0"/>
    <s v="O&amp;M"/>
    <s v="PENDIENTE INFORMACIÓN"/>
    <x v="1"/>
    <s v="-"/>
    <x v="1"/>
    <d v="2025-11-01T00:00:00"/>
    <x v="0"/>
    <s v="-"/>
    <x v="0"/>
    <s v="-"/>
    <s v="-"/>
    <s v="SI"/>
    <m/>
    <n v="1"/>
  </r>
  <r>
    <x v="5"/>
    <s v="CARACAS"/>
    <s v="CORPORACIÓN FIBEX TELECOM, C.A."/>
    <n v="2672573314"/>
    <s v="ABRAHAN JOSE DANIEL MARTINEZ MARTINEZ"/>
    <n v="32010998"/>
    <x v="1"/>
    <s v="NUEVOS PROYECTOS"/>
    <s v="PENDIENTE INFORMACIÓN"/>
    <x v="1"/>
    <s v="-"/>
    <x v="1"/>
    <d v="2025-11-01T00:00:00"/>
    <x v="0"/>
    <s v="-"/>
    <x v="0"/>
    <s v="-"/>
    <s v="-"/>
    <s v="SI"/>
    <m/>
    <n v="1"/>
  </r>
  <r>
    <x v="5"/>
    <s v="CARACAS"/>
    <s v="CORPORACIÓN FIBEX TELECOM, C.A."/>
    <n v="2672573314"/>
    <s v="ENRIQUE REINALDO GOTA RONDON"/>
    <n v="31068327"/>
    <x v="0"/>
    <s v="CDR"/>
    <s v="PENDIENTE INFORMACIÓN"/>
    <x v="1"/>
    <s v="-"/>
    <x v="1"/>
    <d v="2025-11-01T00:00:00"/>
    <x v="0"/>
    <s v="-"/>
    <x v="0"/>
    <s v="-"/>
    <s v="-"/>
    <s v="SI"/>
    <m/>
    <n v="1"/>
  </r>
  <r>
    <x v="5"/>
    <s v="CARACAS"/>
    <s v="CORPORACIÓN FIBEX TELECOM, C.A."/>
    <n v="2672573314"/>
    <s v="DAVID ALEXANDER CADIZ"/>
    <n v="14301139"/>
    <x v="0"/>
    <s v="CDR"/>
    <s v="PENDIENTE INFORMACIÓN"/>
    <x v="1"/>
    <s v="-"/>
    <x v="1"/>
    <d v="2025-11-01T00:00:00"/>
    <x v="0"/>
    <s v="-"/>
    <x v="0"/>
    <s v="-"/>
    <s v="-"/>
    <s v="SI"/>
    <m/>
    <n v="1"/>
  </r>
  <r>
    <x v="5"/>
    <s v="CARACAS"/>
    <s v="CORPORACIÓN FIBEX TELECOM, C.A."/>
    <n v="2672573314"/>
    <s v="JHOJAN JESUS VILLEGAS VILLAHERMOSA"/>
    <n v="19257168"/>
    <x v="1"/>
    <s v="CDR"/>
    <s v="PENDIENTE INFORMACIÓN"/>
    <x v="1"/>
    <s v="-"/>
    <x v="1"/>
    <d v="2025-11-01T00:00:00"/>
    <x v="0"/>
    <s v="-"/>
    <x v="0"/>
    <s v="-"/>
    <s v="-"/>
    <s v="SI"/>
    <m/>
    <n v="1"/>
  </r>
  <r>
    <x v="5"/>
    <s v="CARACAS"/>
    <s v="CORPORACIÓN FIBEX TELECOM, C.A."/>
    <n v="2672573314"/>
    <s v="HERNAN ENRIQUE RODRIGUEZ"/>
    <n v="10525882"/>
    <x v="0"/>
    <s v="NUEVOS PROYECTOS"/>
    <s v="PENDIENTE INFORMACIÓN"/>
    <x v="1"/>
    <s v="-"/>
    <x v="1"/>
    <d v="2025-11-01T00:00:00"/>
    <x v="0"/>
    <s v="-"/>
    <x v="0"/>
    <s v="-"/>
    <s v="-"/>
    <s v="SI"/>
    <m/>
    <n v="1"/>
  </r>
  <r>
    <x v="5"/>
    <s v="CARACAS"/>
    <s v="CORPORACIÓN FIBEX TELECOM, C.A."/>
    <n v="2672573314"/>
    <s v="JOSE ANGEL BANDRES ROJAS"/>
    <n v="28754101"/>
    <x v="0"/>
    <s v="NUEVOS PROYECTOS"/>
    <s v="PENDIENTE INFORMACIÓN"/>
    <x v="1"/>
    <s v="-"/>
    <x v="1"/>
    <d v="2025-11-01T00:00:00"/>
    <x v="0"/>
    <s v="-"/>
    <x v="0"/>
    <s v="-"/>
    <s v="-"/>
    <s v="SI"/>
    <m/>
    <n v="1"/>
  </r>
  <r>
    <x v="5"/>
    <s v="CARACAS"/>
    <s v="CORPORACIÓN FIBEX TELECOM, C.A."/>
    <n v="2672573314"/>
    <s v="JEANPIERRE ADRIAN PEÑUELA GUERRERO"/>
    <n v="30158012"/>
    <x v="1"/>
    <s v="NUEVOS PROYECTOS"/>
    <s v="PENDIENTE INFORMACIÓN"/>
    <x v="1"/>
    <s v="-"/>
    <x v="1"/>
    <d v="2025-11-01T00:00:00"/>
    <x v="0"/>
    <s v="-"/>
    <x v="0"/>
    <s v="-"/>
    <s v="-"/>
    <s v="SI"/>
    <m/>
    <n v="1"/>
  </r>
  <r>
    <x v="5"/>
    <s v="CARACAS"/>
    <s v="CORPORACIÓN FIBEX TELECOM, C.A."/>
    <n v="2672573314"/>
    <s v="JARO JOSMAN VILORIA"/>
    <n v="6306724"/>
    <x v="1"/>
    <s v="NUEVOS PROYECTOS"/>
    <s v="PENDIENTE INFORMACIÓN"/>
    <x v="1"/>
    <s v="-"/>
    <x v="1"/>
    <d v="2025-11-01T00:00:00"/>
    <x v="0"/>
    <s v="-"/>
    <x v="0"/>
    <s v="-"/>
    <s v="-"/>
    <s v="SI"/>
    <m/>
    <n v="1"/>
  </r>
  <r>
    <x v="5"/>
    <s v="CARACAS"/>
    <s v="CORPORACIÓN FIBEX TELECOM, C.A."/>
    <n v="2672573314"/>
    <s v="ROBERT ANTONIO VARGAS LINARES"/>
    <n v="15701445"/>
    <x v="0"/>
    <s v="O&amp;M"/>
    <s v="PENDIENTE INFORMACIÓN"/>
    <x v="1"/>
    <s v="-"/>
    <x v="1"/>
    <d v="2025-11-01T00:00:00"/>
    <x v="0"/>
    <s v="-"/>
    <x v="0"/>
    <s v="-"/>
    <s v="-"/>
    <s v="SI"/>
    <m/>
    <n v="1"/>
  </r>
  <r>
    <x v="5"/>
    <s v="CARACAS"/>
    <s v="CORPORACIÓN FIBEX TELECOM, C.A."/>
    <n v="2672573314"/>
    <s v="LUIS DARIO PIÑANGO BOHORQUEZ"/>
    <n v="12417655"/>
    <x v="1"/>
    <s v="O&amp;M"/>
    <s v="PENDIENTE INFORMACIÓN"/>
    <x v="1"/>
    <s v="-"/>
    <x v="0"/>
    <s v="-"/>
    <x v="0"/>
    <s v="-"/>
    <x v="0"/>
    <s v="-"/>
    <s v="-"/>
    <s v="SI"/>
    <m/>
    <n v="1"/>
  </r>
  <r>
    <x v="5"/>
    <s v="CARACAS"/>
    <s v="CORPORACIÓN FIBEX TELECOM, C.A."/>
    <n v="2672573314"/>
    <s v="JOSÉ LUIS OLIVO SANCHEZ"/>
    <n v="19424950"/>
    <x v="0"/>
    <s v="O&amp;M"/>
    <s v="PENDIENTE INFORMACIÓN"/>
    <x v="1"/>
    <s v="-"/>
    <x v="1"/>
    <d v="2025-11-01T00:00:00"/>
    <x v="0"/>
    <s v="-"/>
    <x v="0"/>
    <s v="-"/>
    <s v="-"/>
    <s v="SI"/>
    <m/>
    <n v="1"/>
  </r>
  <r>
    <x v="5"/>
    <s v="CARACAS"/>
    <s v="CORPORACIÓN FIBEX TELECOM, C.A."/>
    <n v="2672573314"/>
    <s v="ISRAEL  COLMENARES LOPEZ"/>
    <n v="19223552"/>
    <x v="0"/>
    <s v="O&amp;M"/>
    <s v="PENDIENTE INFORMACIÓN"/>
    <x v="1"/>
    <s v="-"/>
    <x v="1"/>
    <d v="2025-11-01T00:00:00"/>
    <x v="0"/>
    <s v="-"/>
    <x v="0"/>
    <s v="-"/>
    <s v="-"/>
    <s v="SI"/>
    <m/>
    <n v="1"/>
  </r>
  <r>
    <x v="5"/>
    <s v="CARACAS"/>
    <s v="CORPORACIÓN FIBEX TELECOM, C.A."/>
    <n v="2672573314"/>
    <s v="ARGENIS JOSE NUÑEZ MATOS"/>
    <n v="20629532"/>
    <x v="0"/>
    <s v="O&amp;M"/>
    <s v="PENDIENTE INFORMACIÓN"/>
    <x v="1"/>
    <s v="-"/>
    <x v="1"/>
    <d v="2025-11-01T00:00:00"/>
    <x v="0"/>
    <s v="-"/>
    <x v="0"/>
    <s v="-"/>
    <s v="-"/>
    <s v="SI"/>
    <m/>
    <n v="1"/>
  </r>
  <r>
    <x v="5"/>
    <s v="CARACAS"/>
    <s v="CORPORACIÓN FIBEX TELECOM, C.A."/>
    <n v="2672573314"/>
    <s v="ANDRY VICENTE FLORES SALAZAR"/>
    <n v="27039004"/>
    <x v="1"/>
    <s v="MDC"/>
    <s v="PENDIENTE INFORMACIÓN"/>
    <x v="1"/>
    <s v="-"/>
    <x v="1"/>
    <d v="2025-11-01T00:00:00"/>
    <x v="0"/>
    <s v="-"/>
    <x v="0"/>
    <s v="-"/>
    <s v="-"/>
    <s v="SI"/>
    <m/>
    <n v="1"/>
  </r>
  <r>
    <x v="5"/>
    <s v="CARACAS"/>
    <s v="CORPORACIÓN FIBEX TELECOM, C.A."/>
    <n v="2672573314"/>
    <s v="TITO JOSE GARCIA BELLO"/>
    <n v="16509925"/>
    <x v="0"/>
    <s v="O&amp;M"/>
    <s v="PENDIENTE INFORMACIÓN"/>
    <x v="1"/>
    <s v="-"/>
    <x v="1"/>
    <d v="2025-11-01T00:00:00"/>
    <x v="0"/>
    <s v="-"/>
    <x v="0"/>
    <s v="-"/>
    <s v="-"/>
    <s v="SI"/>
    <m/>
    <n v="1"/>
  </r>
  <r>
    <x v="5"/>
    <s v="CARACAS"/>
    <s v="CORPORACIÓN FIBEX TELECOM, C.A."/>
    <n v="2672573314"/>
    <s v="ROOUSBELTH ROSNIEL HERNANDEZ ACOSTA"/>
    <n v="21195076"/>
    <x v="0"/>
    <s v="O&amp;M"/>
    <s v="PENDIENTE INFORMACIÓN"/>
    <x v="1"/>
    <s v="-"/>
    <x v="0"/>
    <s v="-"/>
    <x v="0"/>
    <s v="-"/>
    <x v="0"/>
    <s v="-"/>
    <s v="-"/>
    <s v="SI"/>
    <m/>
    <n v="1"/>
  </r>
  <r>
    <x v="5"/>
    <s v="CARACAS"/>
    <s v="CORPORACIÓN FIBEX TELECOM, C.A."/>
    <n v="2672573314"/>
    <s v="ALEXIS JOSE CASTRO MUÑOZ"/>
    <n v="28338494"/>
    <x v="0"/>
    <s v="O&amp;M"/>
    <s v="PENDIENTE INFORMACIÓN"/>
    <x v="1"/>
    <s v="-"/>
    <x v="1"/>
    <d v="2025-11-01T00:00:00"/>
    <x v="0"/>
    <s v="-"/>
    <x v="0"/>
    <s v="-"/>
    <s v="-"/>
    <s v="SI"/>
    <m/>
    <n v="1"/>
  </r>
  <r>
    <x v="5"/>
    <s v="CARACAS"/>
    <s v="CORPORACIÓN FIBEX TELECOM, C.A."/>
    <n v="2672573314"/>
    <s v="JOHAN RAFAEL APONTE BLANCO"/>
    <n v="18554085"/>
    <x v="0"/>
    <s v="O&amp;M"/>
    <s v="PENDIENTE INFORMACIÓN"/>
    <x v="1"/>
    <s v="-"/>
    <x v="1"/>
    <d v="2025-11-01T00:00:00"/>
    <x v="0"/>
    <s v="-"/>
    <x v="0"/>
    <s v="-"/>
    <s v="-"/>
    <s v="SI"/>
    <m/>
    <n v="1"/>
  </r>
  <r>
    <x v="5"/>
    <s v="CARACAS"/>
    <s v="CORPORACIÓN FIBEX TELECOM, C.A."/>
    <n v="2672573314"/>
    <s v="PEDRO PABLO RAMIREZ HERNANDEZ "/>
    <n v="15587040"/>
    <x v="0"/>
    <s v="O&amp;M"/>
    <s v="PENDIENTE INFORMACIÓN"/>
    <x v="1"/>
    <s v="-"/>
    <x v="1"/>
    <d v="2025-11-01T00:00:00"/>
    <x v="0"/>
    <s v="-"/>
    <x v="0"/>
    <s v="-"/>
    <s v="-"/>
    <s v="SI"/>
    <m/>
    <n v="1"/>
  </r>
  <r>
    <x v="5"/>
    <s v="CARACAS"/>
    <s v="CORPORACIÓN FIBEX TELECOM, C.A."/>
    <n v="2672573314"/>
    <s v="JEFFERSON ORLANDO LAREZ MARIN"/>
    <n v="20127698"/>
    <x v="1"/>
    <s v="O&amp;M"/>
    <s v="PENDIENTE INFORMACIÓN"/>
    <x v="1"/>
    <s v="-"/>
    <x v="1"/>
    <d v="2025-11-01T00:00:00"/>
    <x v="0"/>
    <s v="-"/>
    <x v="0"/>
    <s v="-"/>
    <s v="-"/>
    <s v="SI"/>
    <m/>
    <n v="1"/>
  </r>
  <r>
    <x v="5"/>
    <s v="CARACAS"/>
    <s v="CORPORACIÓN FIBEX TELECOM, C.A."/>
    <n v="2672573314"/>
    <s v="JORGE LUIS JOSE RODRIGUEZ MUÑOZ"/>
    <n v="18270472"/>
    <x v="1"/>
    <s v="O&amp;M"/>
    <s v="PENDIENTE INFORMACIÓN"/>
    <x v="1"/>
    <s v="-"/>
    <x v="1"/>
    <d v="2025-11-01T00:00:00"/>
    <x v="0"/>
    <s v="-"/>
    <x v="0"/>
    <s v="-"/>
    <s v="-"/>
    <s v="SI"/>
    <m/>
    <n v="1"/>
  </r>
  <r>
    <x v="5"/>
    <s v="CARACAS"/>
    <s v="CORPORACIÓN FIBEX TELECOM, C.A."/>
    <n v="2672573314"/>
    <s v="KEVIN JOSE NAVA VIERAS"/>
    <n v="17152866"/>
    <x v="1"/>
    <s v="O&amp;M"/>
    <s v="PENDIENTE INFORMACIÓN"/>
    <x v="1"/>
    <s v="-"/>
    <x v="1"/>
    <d v="2025-11-01T00:00:00"/>
    <x v="0"/>
    <s v="-"/>
    <x v="0"/>
    <s v="-"/>
    <s v="-"/>
    <s v="SI"/>
    <m/>
    <n v="1"/>
  </r>
  <r>
    <x v="5"/>
    <s v="CARACAS"/>
    <s v="CORPORACIÓN FIBEX TELECOM, C.A."/>
    <n v="2672573314"/>
    <s v="JESUS ANTONIO AÑEZ GUARACO"/>
    <n v="17562063"/>
    <x v="1"/>
    <s v="O&amp;M"/>
    <s v="PENDIENTE INFORMACIÓN"/>
    <x v="1"/>
    <s v="-"/>
    <x v="1"/>
    <d v="2025-11-01T00:00:00"/>
    <x v="0"/>
    <s v="-"/>
    <x v="0"/>
    <s v="-"/>
    <s v="-"/>
    <s v="SI"/>
    <m/>
    <n v="1"/>
  </r>
  <r>
    <x v="5"/>
    <s v="CARACAS"/>
    <s v="CORPORACIÓN FIBEX TELECOM, C.A."/>
    <n v="2672573314"/>
    <s v="ALEXANDER JOSE TERAN RAMIREZ"/>
    <n v="14758526"/>
    <x v="0"/>
    <s v="O&amp;M"/>
    <s v="PENDIENTE INFORMACIÓN"/>
    <x v="1"/>
    <s v="-"/>
    <x v="1"/>
    <d v="2025-11-01T00:00:00"/>
    <x v="0"/>
    <s v="-"/>
    <x v="0"/>
    <s v="-"/>
    <s v="-"/>
    <s v="SI"/>
    <m/>
    <n v="1"/>
  </r>
  <r>
    <x v="5"/>
    <s v="CARACAS"/>
    <s v="CORPORACIÓN FIBEX TELECOM, C.A."/>
    <n v="2672573314"/>
    <s v="CARLOS EDUARDO ROJAS NIEVES"/>
    <n v="16074491"/>
    <x v="3"/>
    <s v="NUEVOS PROYECTOS"/>
    <s v="PENDIENTE INFORMACIÓN"/>
    <x v="1"/>
    <s v="-"/>
    <x v="0"/>
    <s v="-"/>
    <x v="0"/>
    <s v="-"/>
    <x v="0"/>
    <s v="-"/>
    <s v="-"/>
    <s v="SI"/>
    <m/>
    <n v="1"/>
  </r>
  <r>
    <x v="5"/>
    <s v="CARACAS"/>
    <s v="CORPORACIÓN FIBEX TELECOM, C.A."/>
    <n v="2672573314"/>
    <s v="ANDRES GIOBERTTY TERAN VALBUENA"/>
    <n v="26901515"/>
    <x v="1"/>
    <s v="NUEVOS PROYECTOS"/>
    <s v="PENDIENTE INFORMACIÓN"/>
    <x v="1"/>
    <s v="-"/>
    <x v="1"/>
    <d v="2025-11-01T00:00:00"/>
    <x v="0"/>
    <s v="-"/>
    <x v="0"/>
    <s v="-"/>
    <s v="-"/>
    <s v="SI"/>
    <m/>
    <n v="1"/>
  </r>
  <r>
    <x v="5"/>
    <s v="CARACAS"/>
    <s v="CORPORACIÓN FIBEX TELECOM, C.A."/>
    <n v="2672573314"/>
    <s v="YENDELBETH ALEXANDER RODRIGUEZ GUTIERREZ"/>
    <n v="29571160"/>
    <x v="1"/>
    <s v="NUEVOS PROYECTOS"/>
    <s v="PENDIENTE INFORMACIÓN"/>
    <x v="1"/>
    <s v="-"/>
    <x v="1"/>
    <d v="2025-11-01T00:00:00"/>
    <x v="0"/>
    <s v="-"/>
    <x v="0"/>
    <s v="-"/>
    <s v="-"/>
    <s v="SI"/>
    <m/>
    <n v="1"/>
  </r>
  <r>
    <x v="5"/>
    <s v="CARACAS"/>
    <s v="CORPORACIÓN FIBEX TELECOM, C.A."/>
    <n v="2672573314"/>
    <s v="ANTONIO JOSE PONCE LINARES"/>
    <n v="19254876"/>
    <x v="1"/>
    <s v="NUEVOS PROYECTOS"/>
    <s v="PENDIENTE INFORMACIÓN"/>
    <x v="1"/>
    <s v="-"/>
    <x v="1"/>
    <d v="2025-11-01T00:00:00"/>
    <x v="0"/>
    <s v="-"/>
    <x v="0"/>
    <s v="-"/>
    <s v="-"/>
    <s v="SI"/>
    <m/>
    <n v="1"/>
  </r>
  <r>
    <x v="5"/>
    <s v="CARACAS"/>
    <s v="CORPORACIÓN FIBEX TELECOM, C.A."/>
    <n v="2672573314"/>
    <s v="JOIMER ALEXANDER ALVAREZ CursadoLVA"/>
    <n v="29969613"/>
    <x v="1"/>
    <s v="NUEVOS PROYECTOS"/>
    <s v="PENDIENTE INFORMACIÓN"/>
    <x v="1"/>
    <s v="-"/>
    <x v="1"/>
    <d v="2025-11-01T00:00:00"/>
    <x v="0"/>
    <s v="-"/>
    <x v="0"/>
    <s v="-"/>
    <s v="-"/>
    <s v="SI"/>
    <m/>
    <n v="1"/>
  </r>
  <r>
    <x v="5"/>
    <s v="CARACAS"/>
    <s v="CORPORACIÓN FIBEX TELECOM, C.A."/>
    <n v="2672573314"/>
    <s v="ROBERTO ANTONIO GUZMAN CANTILLO"/>
    <n v="84589609"/>
    <x v="3"/>
    <s v="NUEVOS PROYECTOS"/>
    <s v="PENDIENTE INFORMACIÓN"/>
    <x v="1"/>
    <s v="-"/>
    <x v="1"/>
    <d v="2025-11-01T00:00:00"/>
    <x v="0"/>
    <s v="-"/>
    <x v="0"/>
    <s v="-"/>
    <s v="-"/>
    <s v="SI"/>
    <m/>
    <n v="1"/>
  </r>
  <r>
    <x v="5"/>
    <s v="CARACAS"/>
    <s v="CORPORACIÓN FIBEX TELECOM, C.A."/>
    <n v="2672573314"/>
    <s v="TOMAS ALEXANDER PERFECTO GONZALEZ"/>
    <n v="31448244"/>
    <x v="1"/>
    <s v="NUEVOS PROYECTOS"/>
    <s v="PENDIENTE INFORMACIÓN"/>
    <x v="1"/>
    <s v="-"/>
    <x v="1"/>
    <d v="2025-11-01T00:00:00"/>
    <x v="0"/>
    <s v="-"/>
    <x v="0"/>
    <s v="-"/>
    <s v="-"/>
    <s v="SI"/>
    <m/>
    <n v="1"/>
  </r>
  <r>
    <x v="5"/>
    <s v="CARACAS"/>
    <s v="CORPORACIÓN FIBEX TELECOM, C.A."/>
    <n v="2672573314"/>
    <s v="WILLIS OBRAYAN OVIEDO RODRIGUEZ"/>
    <n v="25866051"/>
    <x v="1"/>
    <s v="NUEVOS PROYECTOS"/>
    <s v="PENDIENTE INFORMACIÓN"/>
    <x v="1"/>
    <s v="-"/>
    <x v="1"/>
    <d v="2025-11-01T00:00:00"/>
    <x v="0"/>
    <s v="-"/>
    <x v="0"/>
    <s v="-"/>
    <s v="-"/>
    <s v="SI"/>
    <m/>
    <n v="1"/>
  </r>
  <r>
    <x v="5"/>
    <s v="CARACAS"/>
    <s v="CORPORACIÓN FIBEX TELECOM, C.A."/>
    <n v="2672573314"/>
    <s v="RICARDO AZAEL GIL CASTILLO"/>
    <n v="28082163"/>
    <x v="1"/>
    <s v="O&amp;M"/>
    <s v="PENDIENTE INFORMACIÓN"/>
    <x v="1"/>
    <s v="-"/>
    <x v="1"/>
    <d v="2025-11-01T00:00:00"/>
    <x v="0"/>
    <s v="-"/>
    <x v="0"/>
    <s v="-"/>
    <s v="-"/>
    <s v="SI"/>
    <m/>
    <n v="1"/>
  </r>
  <r>
    <x v="5"/>
    <s v="CARACAS"/>
    <s v="CORPORACIÓN FIBEX TELECOM, C.A."/>
    <n v="2672573314"/>
    <s v="WARLIN EDUARDO GARCIA SANCHEZ"/>
    <n v="28324753"/>
    <x v="0"/>
    <s v="IMPLEMENTACION"/>
    <s v="PENDIENTE INFORMACIÓN"/>
    <x v="1"/>
    <s v="-"/>
    <x v="1"/>
    <d v="2025-11-01T00:00:00"/>
    <x v="0"/>
    <s v="-"/>
    <x v="0"/>
    <s v="-"/>
    <s v="-"/>
    <s v="SI"/>
    <m/>
    <n v="1"/>
  </r>
  <r>
    <x v="5"/>
    <s v="CARACAS"/>
    <s v="CORPORACIÓN FIBEX TELECOM, C.A."/>
    <n v="2672573314"/>
    <s v="SNAIDER LEONARDO ZUNIGA GALINDO"/>
    <n v="31784740"/>
    <x v="1"/>
    <s v="O&amp;M"/>
    <s v="PENDIENTE INFORMACIÓN"/>
    <x v="1"/>
    <s v="-"/>
    <x v="1"/>
    <d v="2025-11-01T00:00:00"/>
    <x v="0"/>
    <s v="-"/>
    <x v="0"/>
    <s v="-"/>
    <s v="-"/>
    <s v="SI"/>
    <m/>
    <n v="1"/>
  </r>
  <r>
    <x v="5"/>
    <s v="CARACAS"/>
    <s v="CORPORACIÓN FIBEX TELECOM, C.A."/>
    <n v="2672573314"/>
    <s v="LUIS ANTONIO IRIARTE URRIETA"/>
    <n v="10865648"/>
    <x v="3"/>
    <s v="O&amp;M"/>
    <s v="PENDIENTE INFORMACIÓN"/>
    <x v="1"/>
    <s v="-"/>
    <x v="1"/>
    <d v="2025-11-01T00:00:00"/>
    <x v="0"/>
    <s v="-"/>
    <x v="0"/>
    <s v="-"/>
    <s v="-"/>
    <s v="SI"/>
    <m/>
    <n v="1"/>
  </r>
  <r>
    <x v="5"/>
    <s v="CARACAS"/>
    <s v="CORPORACIÓN FIBEX TELECOM, C.A."/>
    <n v="2672573314"/>
    <s v="ANTHONY VALERA"/>
    <n v="20604349"/>
    <x v="0"/>
    <s v="O&amp;M"/>
    <s v="PENDIENTE INFORMACIÓN"/>
    <x v="1"/>
    <s v="-"/>
    <x v="1"/>
    <d v="2025-11-01T00:00:00"/>
    <x v="0"/>
    <s v="-"/>
    <x v="0"/>
    <s v="-"/>
    <s v="-"/>
    <s v="SI"/>
    <m/>
    <n v="1"/>
  </r>
  <r>
    <x v="5"/>
    <s v="CARACAS"/>
    <s v="CORPORACIÓN FIBEX TELECOM, C.A."/>
    <n v="2672573314"/>
    <s v="JOSE MANUEL PARRA NAVARRO"/>
    <n v="17142406"/>
    <x v="0"/>
    <s v="O&amp;M"/>
    <s v="PENDIENTE INFORMACIÓN"/>
    <x v="1"/>
    <s v="-"/>
    <x v="1"/>
    <d v="2025-11-01T00:00:00"/>
    <x v="0"/>
    <s v="-"/>
    <x v="0"/>
    <s v="-"/>
    <s v="-"/>
    <s v="SI"/>
    <m/>
    <n v="1"/>
  </r>
  <r>
    <x v="5"/>
    <s v="CARACAS"/>
    <s v="CORPORACIÓN FIBEX TELECOM, C.A."/>
    <n v="2672573314"/>
    <s v="LEONEL ALEXANDER CEDEÑO RIVAS"/>
    <n v="27667420"/>
    <x v="0"/>
    <s v="O&amp;M"/>
    <s v="PENDIENTE INFORMACIÓN"/>
    <x v="1"/>
    <s v="-"/>
    <x v="1"/>
    <d v="2025-11-01T00:00:00"/>
    <x v="0"/>
    <s v="-"/>
    <x v="0"/>
    <s v="-"/>
    <s v="-"/>
    <s v="SI"/>
    <m/>
    <n v="1"/>
  </r>
  <r>
    <x v="5"/>
    <s v="CARACAS"/>
    <s v="CORPORACIÓN FIBEX TELECOM, C.A."/>
    <n v="2672573314"/>
    <s v="YANEZ HERRERA, GREGSON JESUS"/>
    <n v="12785597"/>
    <x v="5"/>
    <s v="PLANTA INTERNA"/>
    <s v="PENDIENTE INFORMACIÓN"/>
    <x v="1"/>
    <s v="-"/>
    <x v="0"/>
    <s v="-"/>
    <x v="0"/>
    <s v="-"/>
    <x v="0"/>
    <s v="-"/>
    <s v="-"/>
    <s v="SI"/>
    <m/>
    <n v="1"/>
  </r>
  <r>
    <x v="5"/>
    <s v="CARACAS"/>
    <s v="CORPORACIÓN FIBEX TELECOM, C.A."/>
    <n v="2672573314"/>
    <s v="HERNANDEZ GUEVARA, MAURO ISRAEL"/>
    <n v="17077133"/>
    <x v="5"/>
    <s v="PLANTA INTERNA"/>
    <s v="PENDIENTE INFORMACIÓN"/>
    <x v="1"/>
    <s v="-"/>
    <x v="0"/>
    <s v="-"/>
    <x v="0"/>
    <s v="-"/>
    <x v="0"/>
    <s v="-"/>
    <s v="-"/>
    <s v="SI"/>
    <m/>
    <n v="1"/>
  </r>
  <r>
    <x v="5"/>
    <s v="CARACAS"/>
    <s v="CORPORACIÓN FIBEX TELECOM, C.A."/>
    <n v="2672573314"/>
    <s v="JOSE LUIS GONZALEZ CATIRE"/>
    <n v="17390765"/>
    <x v="2"/>
    <s v="EMPALME"/>
    <s v="PENDIENTE INFORMACIÓN"/>
    <x v="1"/>
    <s v="-"/>
    <x v="0"/>
    <s v="-"/>
    <x v="0"/>
    <s v="-"/>
    <x v="0"/>
    <s v="-"/>
    <s v="-"/>
    <s v="SI"/>
    <m/>
    <n v="1"/>
  </r>
  <r>
    <x v="5"/>
    <s v="CARACAS"/>
    <s v="CORPORACIÓN FIBEX TELECOM, C.A."/>
    <n v="2672573314"/>
    <s v="MARIA JOSE TOVAR MORILLO"/>
    <n v="28070903"/>
    <x v="2"/>
    <s v="EMPALME"/>
    <s v="PENDIENTE INFORMACIÓN"/>
    <x v="1"/>
    <s v="-"/>
    <x v="0"/>
    <s v="-"/>
    <x v="0"/>
    <s v="-"/>
    <x v="0"/>
    <s v="-"/>
    <s v="-"/>
    <s v="SI"/>
    <m/>
    <n v="1"/>
  </r>
  <r>
    <x v="5"/>
    <s v="CARACAS"/>
    <s v="CORPORACIÓN FIBEX TELECOM, C.A."/>
    <n v="2672573314"/>
    <s v="JESUS TORRES"/>
    <n v="16095522"/>
    <x v="2"/>
    <s v="MDC"/>
    <s v="PENDIENTE INFORMACIÓN"/>
    <x v="1"/>
    <s v="-"/>
    <x v="0"/>
    <s v="-"/>
    <x v="0"/>
    <s v="-"/>
    <x v="0"/>
    <s v="-"/>
    <s v="-"/>
    <s v="SI"/>
    <m/>
    <n v="1"/>
  </r>
  <r>
    <x v="5"/>
    <s v="CARACAS"/>
    <s v="CORPORACIÓN FIBEX TELECOM, C.A."/>
    <n v="2672573314"/>
    <s v="ANGEL EDUARDO AGUILAR URBINA"/>
    <n v="21482200"/>
    <x v="2"/>
    <s v="MDC"/>
    <s v="PENDIENTE INFORMACIÓN"/>
    <x v="1"/>
    <s v="-"/>
    <x v="0"/>
    <s v="-"/>
    <x v="0"/>
    <s v="-"/>
    <x v="0"/>
    <s v="-"/>
    <s v="-"/>
    <s v="SI"/>
    <m/>
    <n v="1"/>
  </r>
  <r>
    <x v="5"/>
    <s v="CARACAS"/>
    <s v="CORPORACIÓN FIBEX TELECOM, C.A."/>
    <n v="2672573314"/>
    <s v="KENNY GABRIEL CEDEÑO"/>
    <n v="25019808"/>
    <x v="2"/>
    <s v="MDC"/>
    <s v="PENDIENTE INFORMACIÓN"/>
    <x v="1"/>
    <s v="-"/>
    <x v="0"/>
    <s v="-"/>
    <x v="0"/>
    <s v="-"/>
    <x v="0"/>
    <s v="-"/>
    <s v="-"/>
    <s v="SI"/>
    <m/>
    <n v="1"/>
  </r>
  <r>
    <x v="5"/>
    <s v="CARACAS"/>
    <s v="CORPORACIÓN FIBEX TELECOM, C.A."/>
    <n v="2672573314"/>
    <s v="NANDY GREGORIO MARTINEZ MONASTERIO"/>
    <n v="15931722"/>
    <x v="1"/>
    <s v="EMPALME"/>
    <s v="PENDIENTE INFORMACIÓN"/>
    <x v="1"/>
    <s v="-"/>
    <x v="0"/>
    <s v="-"/>
    <x v="0"/>
    <s v="-"/>
    <x v="0"/>
    <s v="-"/>
    <s v="-"/>
    <s v="SI"/>
    <m/>
    <n v="1"/>
  </r>
  <r>
    <x v="5"/>
    <s v="CARACAS"/>
    <s v="CORPORACIÓN FIBEX TELECOM, C.A."/>
    <n v="2672573314"/>
    <s v="BRIAN JAVIER GUERRERO OLIVEROS"/>
    <n v="25258063"/>
    <x v="1"/>
    <s v="EMPALME"/>
    <s v="PENDIENTE INFORMACIÓN"/>
    <x v="1"/>
    <s v="-"/>
    <x v="0"/>
    <s v="-"/>
    <x v="0"/>
    <s v="-"/>
    <x v="0"/>
    <s v="-"/>
    <s v="-"/>
    <s v="SI"/>
    <m/>
    <n v="1"/>
  </r>
  <r>
    <x v="5"/>
    <s v="CARACAS"/>
    <s v="CORPORACIÓN FIBEX TELECOM, C.A."/>
    <n v="2672573314"/>
    <s v="SERGIO LEANDRO MEDINA MONTILLA"/>
    <n v="29584813"/>
    <x v="1"/>
    <s v="EMPALME"/>
    <s v="PENDIENTE INFORMACIÓN"/>
    <x v="1"/>
    <s v="-"/>
    <x v="0"/>
    <s v="-"/>
    <x v="0"/>
    <s v="-"/>
    <x v="0"/>
    <s v="-"/>
    <s v="-"/>
    <s v="SI"/>
    <m/>
    <n v="1"/>
  </r>
  <r>
    <x v="5"/>
    <s v="CARACAS"/>
    <s v="CORPORACIÓN FIBEX TELECOM, C.A."/>
    <n v="2672573314"/>
    <s v="CRISTIAN JESUS MEDINA ESTANGA"/>
    <n v="29898115"/>
    <x v="1"/>
    <s v="EMPALME"/>
    <s v="PENDIENTE INFORMACIÓN"/>
    <x v="1"/>
    <s v="-"/>
    <x v="0"/>
    <s v="-"/>
    <x v="0"/>
    <s v="-"/>
    <x v="0"/>
    <s v="-"/>
    <s v="-"/>
    <s v="SI"/>
    <m/>
    <n v="1"/>
  </r>
  <r>
    <x v="5"/>
    <s v="CARACAS"/>
    <s v="CORPORACIÓN FIBEX TELECOM, C.A."/>
    <n v="2672573314"/>
    <s v="JULIO JESUS ROSILLO RAMOS"/>
    <n v="12385103"/>
    <x v="0"/>
    <s v="O&amp;M"/>
    <s v="PENDIENTE INFORMACIÓN"/>
    <x v="1"/>
    <s v="-"/>
    <x v="0"/>
    <s v="-"/>
    <x v="0"/>
    <s v="-"/>
    <x v="0"/>
    <s v="-"/>
    <s v="-"/>
    <s v="SI"/>
    <m/>
    <n v="1"/>
  </r>
  <r>
    <x v="6"/>
    <s v="COJEDES"/>
    <s v="CORPORACIÓN FIBEX TELECOM, C.A."/>
    <n v="2672573314"/>
    <s v="JESUS MANUEL REYES NADAL"/>
    <n v="27890716"/>
    <x v="4"/>
    <s v="O&amp;M"/>
    <s v="JESUS REYES NADAL"/>
    <x v="1"/>
    <s v="-"/>
    <x v="1"/>
    <d v="2025-12-01T00:00:00"/>
    <x v="0"/>
    <s v="-"/>
    <x v="0"/>
    <s v="-"/>
    <s v="-"/>
    <s v="SI"/>
    <m/>
    <n v="1"/>
  </r>
  <r>
    <x v="6"/>
    <s v="COJEDES"/>
    <s v="CORPORACIÓN FIBEX TELECOM, C.A."/>
    <n v="2672573314"/>
    <s v="ROSO JOSE QUIROZ TORREALBA"/>
    <n v="25332341"/>
    <x v="3"/>
    <s v="O&amp;M"/>
    <s v="JESUS REYES NADAL"/>
    <x v="1"/>
    <s v="-"/>
    <x v="1"/>
    <d v="2025-12-01T00:00:00"/>
    <x v="0"/>
    <s v="-"/>
    <x v="0"/>
    <s v="-"/>
    <s v="-"/>
    <s v="SI"/>
    <m/>
    <n v="1"/>
  </r>
  <r>
    <x v="6"/>
    <s v="COJEDES"/>
    <s v="CORPORACIÓN FIBEX TELECOM, C.A."/>
    <n v="2672573314"/>
    <s v="YOSMAR YVAN COBO ORTIZ"/>
    <n v="20700330"/>
    <x v="0"/>
    <s v="CDR"/>
    <s v="JESUS REYES NADAL"/>
    <x v="0"/>
    <d v="2025-04-01T00:00:00"/>
    <x v="1"/>
    <d v="2025-11-01T00:00:00"/>
    <x v="0"/>
    <s v="-"/>
    <x v="0"/>
    <s v="-"/>
    <s v="-"/>
    <s v="SI"/>
    <m/>
    <n v="1"/>
  </r>
  <r>
    <x v="6"/>
    <s v="COJEDES"/>
    <s v="CORPORACIÓN FIBEX TELECOM, C.A."/>
    <n v="2672573314"/>
    <s v="JOSETH STALIN FIGUEROA LOPEZ"/>
    <n v="30371821"/>
    <x v="0"/>
    <s v="CDR"/>
    <s v="JESUS REYES NADAL"/>
    <x v="0"/>
    <d v="2025-04-01T00:00:00"/>
    <x v="1"/>
    <d v="2025-11-01T00:00:00"/>
    <x v="0"/>
    <s v="-"/>
    <x v="0"/>
    <s v="-"/>
    <s v="-"/>
    <s v="SI"/>
    <m/>
    <n v="1"/>
  </r>
  <r>
    <x v="6"/>
    <s v="COJEDES"/>
    <s v="CORPORACIÓN FIBEX TELECOM, C.A."/>
    <n v="2672573314"/>
    <s v="MAURO JOSE AGUILAR SUAREZ"/>
    <n v="19260284"/>
    <x v="0"/>
    <s v="O&amp;M"/>
    <s v="JESUS REYES NADAL"/>
    <x v="0"/>
    <d v="2025-04-01T00:00:00"/>
    <x v="1"/>
    <d v="2025-11-01T00:00:00"/>
    <x v="0"/>
    <s v="-"/>
    <x v="0"/>
    <s v="-"/>
    <s v="-"/>
    <s v="SI"/>
    <m/>
    <n v="1"/>
  </r>
  <r>
    <x v="6"/>
    <s v="COJEDES"/>
    <s v="CORPORACIÓN FIBEX TELECOM, C.A."/>
    <n v="2672573314"/>
    <s v="JOSE MANUEL BRITO MONTIEL"/>
    <n v="27013056"/>
    <x v="0"/>
    <s v="O&amp;M"/>
    <s v="JESUS REYES NADAL"/>
    <x v="0"/>
    <d v="2025-04-01T00:00:00"/>
    <x v="1"/>
    <d v="2025-11-01T00:00:00"/>
    <x v="0"/>
    <s v="-"/>
    <x v="0"/>
    <s v="-"/>
    <s v="-"/>
    <s v="SI"/>
    <m/>
    <n v="1"/>
  </r>
  <r>
    <x v="6"/>
    <s v="COJEDES"/>
    <s v="CORPORACIÓN FIBEX TELECOM, C.A."/>
    <n v="2672573314"/>
    <s v="MARCOS MARCEL PEREZ REYES"/>
    <n v="26145382"/>
    <x v="0"/>
    <s v="O&amp;M"/>
    <s v="JESUS REYES NADAL"/>
    <x v="0"/>
    <d v="2025-04-01T00:00:00"/>
    <x v="1"/>
    <d v="2025-11-01T00:00:00"/>
    <x v="0"/>
    <s v="-"/>
    <x v="0"/>
    <s v="-"/>
    <s v="-"/>
    <s v="SI"/>
    <m/>
    <n v="1"/>
  </r>
  <r>
    <x v="6"/>
    <s v="COJEDES"/>
    <s v="CORPORACIÓN FIBEX TELECOM, C.A."/>
    <n v="2672573314"/>
    <s v="LUIS ALEJANDRO APARICIO HERRERA"/>
    <n v="25534806"/>
    <x v="0"/>
    <s v="O&amp;M"/>
    <s v="JESUS REYES NADAL"/>
    <x v="0"/>
    <d v="2025-04-01T00:00:00"/>
    <x v="1"/>
    <d v="2025-11-01T00:00:00"/>
    <x v="0"/>
    <s v="-"/>
    <x v="0"/>
    <s v="-"/>
    <s v="-"/>
    <s v="SI"/>
    <m/>
    <n v="1"/>
  </r>
  <r>
    <x v="6"/>
    <s v="COJEDES"/>
    <s v="CORPORACIÓN FIBEX TELECOM, C.A."/>
    <n v="2672573314"/>
    <s v="JOSE ALFREDO MIRELES BENITES"/>
    <n v="20041117"/>
    <x v="1"/>
    <s v="O&amp;M"/>
    <s v="JESUS REYES NADAL"/>
    <x v="0"/>
    <d v="2025-04-01T00:00:00"/>
    <x v="1"/>
    <d v="2025-11-01T00:00:00"/>
    <x v="0"/>
    <s v="-"/>
    <x v="0"/>
    <s v="-"/>
    <s v="-"/>
    <s v="SI"/>
    <m/>
    <n v="1"/>
  </r>
  <r>
    <x v="6"/>
    <s v="COJEDES"/>
    <s v="CORPORACIÓN FIBEX TELECOM, C.A."/>
    <n v="2672573314"/>
    <s v="AMILCAR ALEJANDRO REYES NATERA"/>
    <n v="14414733"/>
    <x v="0"/>
    <s v="CDR"/>
    <s v="JESUS REYES NADAL"/>
    <x v="1"/>
    <s v="-"/>
    <x v="1"/>
    <d v="2025-11-01T00:00:00"/>
    <x v="0"/>
    <s v="-"/>
    <x v="0"/>
    <s v="-"/>
    <s v="-"/>
    <s v="SI"/>
    <m/>
    <n v="1"/>
  </r>
  <r>
    <x v="6"/>
    <s v="COJEDES"/>
    <s v="CORPORACIÓN FIBEX TELECOM, C.A."/>
    <n v="2672573314"/>
    <s v="FIDEL JOSE ANDRADES SANDOVAL"/>
    <n v="25954162"/>
    <x v="1"/>
    <s v="CDR"/>
    <s v="JESUS REYES NADAL"/>
    <x v="1"/>
    <s v="-"/>
    <x v="1"/>
    <d v="2025-11-01T00:00:00"/>
    <x v="0"/>
    <s v="-"/>
    <x v="0"/>
    <s v="-"/>
    <s v="-"/>
    <s v="SI"/>
    <m/>
    <n v="1"/>
  </r>
  <r>
    <x v="6"/>
    <s v="COJEDES"/>
    <s v="CORPORACIÓN FIBEX TELECOM, C.A."/>
    <n v="2672573314"/>
    <s v="JESUS MANUEL SEQUERA MONTENEGRO"/>
    <n v="28339838"/>
    <x v="1"/>
    <s v="CDR"/>
    <s v="JESUS REYES NADAL"/>
    <x v="1"/>
    <s v="-"/>
    <x v="1"/>
    <d v="2025-11-01T00:00:00"/>
    <x v="0"/>
    <s v="-"/>
    <x v="0"/>
    <s v="-"/>
    <s v="-"/>
    <s v="SI"/>
    <m/>
    <n v="1"/>
  </r>
  <r>
    <x v="6"/>
    <s v="COJEDES"/>
    <s v="CORPORACIÓN FIBEX TELECOM, C.A."/>
    <n v="2672573314"/>
    <s v="ANDERSON BETANIO CANCINES DELGADO"/>
    <n v="24793644"/>
    <x v="1"/>
    <s v="CDR"/>
    <s v="JESUS REYES NADAL"/>
    <x v="1"/>
    <s v="-"/>
    <x v="1"/>
    <d v="2025-11-01T00:00:00"/>
    <x v="0"/>
    <s v="-"/>
    <x v="0"/>
    <s v="-"/>
    <s v="-"/>
    <s v="SI"/>
    <m/>
    <n v="1"/>
  </r>
  <r>
    <x v="6"/>
    <s v="COJEDES"/>
    <s v="CORPORACIÓN FIBEX TELECOM, C.A."/>
    <n v="2672573314"/>
    <s v="MIGUEL ANGEL LOPEZ BLANCO"/>
    <n v="18850224"/>
    <x v="1"/>
    <s v="O&amp;M"/>
    <s v="JESUS REYES NADAL"/>
    <x v="1"/>
    <s v="-"/>
    <x v="1"/>
    <d v="2025-12-01T00:00:00"/>
    <x v="0"/>
    <s v="-"/>
    <x v="0"/>
    <s v="-"/>
    <s v="-"/>
    <s v="SI"/>
    <m/>
    <n v="1"/>
  </r>
  <r>
    <x v="6"/>
    <s v="COJEDES"/>
    <s v="CORPORACIÓN FIBEX TELECOM, C.A."/>
    <n v="2672573314"/>
    <s v="EDUARDO JOSE SANDOVAL DIAZ"/>
    <n v="22597048"/>
    <x v="1"/>
    <s v="O&amp;M"/>
    <s v="JESUS REYES NADAL"/>
    <x v="1"/>
    <s v="-"/>
    <x v="1"/>
    <d v="2025-12-01T00:00:00"/>
    <x v="0"/>
    <s v="-"/>
    <x v="0"/>
    <s v="-"/>
    <s v="-"/>
    <s v="SI"/>
    <m/>
    <n v="1"/>
  </r>
  <r>
    <x v="6"/>
    <s v="COJEDES"/>
    <s v="CORPORACIÓN FIBEX TELECOM, C.A."/>
    <n v="2672573314"/>
    <s v="CARLOS MANUEL ADAMES HERNANDEZ"/>
    <n v="19182485"/>
    <x v="1"/>
    <s v="O&amp;M"/>
    <s v="JESUS REYES NADAL"/>
    <x v="1"/>
    <s v="-"/>
    <x v="1"/>
    <d v="2025-11-01T00:00:00"/>
    <x v="0"/>
    <s v="-"/>
    <x v="0"/>
    <s v="-"/>
    <s v="-"/>
    <s v="SI"/>
    <m/>
    <n v="1"/>
  </r>
  <r>
    <x v="6"/>
    <s v="COJEDES"/>
    <s v="CORPORACIÓN FIBEX TELECOM, C.A."/>
    <n v="2672573314"/>
    <s v="JOSE ANTONIO NAVAS ALVAREZ"/>
    <n v="19357155"/>
    <x v="1"/>
    <s v="O&amp;M"/>
    <s v="JESUS REYES NADAL"/>
    <x v="1"/>
    <s v="-"/>
    <x v="1"/>
    <d v="2025-11-01T00:00:00"/>
    <x v="0"/>
    <s v="-"/>
    <x v="0"/>
    <s v="-"/>
    <s v="-"/>
    <s v="SI"/>
    <m/>
    <n v="1"/>
  </r>
  <r>
    <x v="6"/>
    <s v="COJEDES"/>
    <s v="CORPORACIÓN FIBEX TELECOM, C.A."/>
    <n v="2672573314"/>
    <s v="YOHAN ANTONIO PERAZA CASTEL"/>
    <n v="20641121"/>
    <x v="0"/>
    <s v="O&amp;M"/>
    <s v="JESUS REYES NADAL"/>
    <x v="1"/>
    <s v="-"/>
    <x v="1"/>
    <d v="2025-11-01T00:00:00"/>
    <x v="0"/>
    <s v="-"/>
    <x v="0"/>
    <s v="-"/>
    <s v="-"/>
    <s v="SI"/>
    <m/>
    <n v="1"/>
  </r>
  <r>
    <x v="6"/>
    <s v="COJEDES"/>
    <s v="CORPORACIÓN FIBEX TELECOM, C.A."/>
    <n v="2672573314"/>
    <s v="ARMANDO JESUS CAICEDO ANGARITA"/>
    <n v="26400401"/>
    <x v="1"/>
    <s v="O&amp;M"/>
    <s v="JESUS REYES NADAL"/>
    <x v="1"/>
    <s v="-"/>
    <x v="1"/>
    <d v="2025-11-01T00:00:00"/>
    <x v="0"/>
    <s v="-"/>
    <x v="0"/>
    <s v="-"/>
    <s v="-"/>
    <s v="SI"/>
    <m/>
    <n v="1"/>
  </r>
  <r>
    <x v="6"/>
    <s v="COJEDES"/>
    <s v="CORPORACIÓN FIBEX TELECOM, C.A."/>
    <n v="2672573314"/>
    <s v="LUIS JOSE FRANCHI MORLES"/>
    <n v="23959129"/>
    <x v="0"/>
    <s v="O&amp;M"/>
    <s v="JESUS REYES NADAL"/>
    <x v="1"/>
    <s v="-"/>
    <x v="1"/>
    <d v="2025-12-01T00:00:00"/>
    <x v="0"/>
    <s v="-"/>
    <x v="0"/>
    <s v="-"/>
    <s v="-"/>
    <s v="SI"/>
    <m/>
    <n v="1"/>
  </r>
  <r>
    <x v="6"/>
    <s v="COJEDES"/>
    <s v="CORPORACIÓN FIBEX TELECOM, C.A."/>
    <n v="2672573314"/>
    <s v="EUDIMAR ANTONIO AGUIRRE SALCEDO"/>
    <n v="19542063"/>
    <x v="1"/>
    <s v="O&amp;M"/>
    <s v="JESUS REYES NADAL"/>
    <x v="1"/>
    <s v="-"/>
    <x v="1"/>
    <d v="2025-12-01T00:00:00"/>
    <x v="0"/>
    <s v="-"/>
    <x v="0"/>
    <s v="-"/>
    <s v="-"/>
    <s v="SI"/>
    <m/>
    <n v="1"/>
  </r>
  <r>
    <x v="6"/>
    <s v="COJEDES"/>
    <s v="CORPORACIÓN FIBEX TELECOM, C.A."/>
    <n v="2672573314"/>
    <s v="GUSTAVO JOSE ALVARADO RODRIGUEZ"/>
    <n v="24793601"/>
    <x v="0"/>
    <s v="O&amp;M"/>
    <s v="JESUS REYES NADAL"/>
    <x v="1"/>
    <s v="-"/>
    <x v="1"/>
    <d v="2025-12-01T00:00:00"/>
    <x v="0"/>
    <s v="-"/>
    <x v="0"/>
    <s v="-"/>
    <s v="-"/>
    <s v="SI"/>
    <m/>
    <n v="1"/>
  </r>
  <r>
    <x v="6"/>
    <s v="COJEDES"/>
    <s v="CORPORACIÓN FIBEX TELECOM, C.A."/>
    <n v="2672573314"/>
    <s v="KEVIN ALBERTO YABLONKIS GARCIA"/>
    <n v="29920753"/>
    <x v="1"/>
    <s v="O&amp;M"/>
    <s v="JESUS REYES NADAL"/>
    <x v="1"/>
    <s v="-"/>
    <x v="1"/>
    <d v="2025-11-01T00:00:00"/>
    <x v="0"/>
    <s v="-"/>
    <x v="0"/>
    <s v="-"/>
    <s v="-"/>
    <s v="SI"/>
    <m/>
    <n v="1"/>
  </r>
  <r>
    <x v="6"/>
    <s v="COJEDES"/>
    <s v="CORPORACIÓN FIBEX TELECOM, C.A."/>
    <n v="2672573314"/>
    <s v="DOMYSMER VICTOR PEREZ  MORALES"/>
    <n v="25954652"/>
    <x v="0"/>
    <s v="O&amp;M"/>
    <s v="JESUS REYES NADAL"/>
    <x v="1"/>
    <s v="-"/>
    <x v="1"/>
    <d v="2025-12-01T00:00:00"/>
    <x v="0"/>
    <s v="-"/>
    <x v="0"/>
    <s v="-"/>
    <s v="-"/>
    <s v="SI"/>
    <m/>
    <n v="1"/>
  </r>
  <r>
    <x v="6"/>
    <s v="COJEDES"/>
    <s v="CORPORACIÓN FIBEX TELECOM, C.A."/>
    <n v="2672573314"/>
    <s v="DANIEL HUMBERTO PARRA TORRES"/>
    <n v="24247265"/>
    <x v="1"/>
    <s v="O&amp;M"/>
    <s v="JESUS REYES NADAL"/>
    <x v="1"/>
    <s v="-"/>
    <x v="1"/>
    <d v="2025-12-01T00:00:00"/>
    <x v="0"/>
    <s v="-"/>
    <x v="0"/>
    <s v="-"/>
    <s v="-"/>
    <s v="SI"/>
    <m/>
    <n v="1"/>
  </r>
  <r>
    <x v="6"/>
    <s v="COJEDES"/>
    <s v="CORPORACIÓN FIBEX TELECOM, C.A."/>
    <n v="2672573314"/>
    <s v="ANDRES ANTONIO CASTILLO MEDINA"/>
    <n v="19356963"/>
    <x v="0"/>
    <s v="O&amp;M"/>
    <s v="JESUS REYES NADAL"/>
    <x v="1"/>
    <s v="-"/>
    <x v="1"/>
    <d v="2025-11-01T00:00:00"/>
    <x v="0"/>
    <s v="-"/>
    <x v="0"/>
    <s v="-"/>
    <s v="-"/>
    <s v="SI"/>
    <m/>
    <n v="1"/>
  </r>
  <r>
    <x v="6"/>
    <s v="COJEDES"/>
    <s v="CORPORACIÓN FIBEX TELECOM, C.A."/>
    <n v="2672573314"/>
    <s v="WILSON RAMON PONCE PONCE"/>
    <n v="25419378"/>
    <x v="1"/>
    <s v="O&amp;M"/>
    <s v="JESUS REYES NADAL"/>
    <x v="1"/>
    <s v="-"/>
    <x v="1"/>
    <d v="2025-11-01T00:00:00"/>
    <x v="0"/>
    <s v="-"/>
    <x v="0"/>
    <s v="-"/>
    <s v="-"/>
    <s v="SI"/>
    <m/>
    <n v="1"/>
  </r>
  <r>
    <x v="6"/>
    <s v="COJEDES"/>
    <s v="CORPORACIÓN FIBEX TELECOM, C.A."/>
    <n v="2672573314"/>
    <s v="LUIS DAVID FARFAN PIÑERO"/>
    <n v="21139746"/>
    <x v="0"/>
    <s v="O&amp;M"/>
    <s v="JESUS REYES NADAL"/>
    <x v="1"/>
    <s v="-"/>
    <x v="1"/>
    <d v="2025-12-01T00:00:00"/>
    <x v="0"/>
    <s v="-"/>
    <x v="0"/>
    <s v="-"/>
    <s v="-"/>
    <s v="SI"/>
    <m/>
    <n v="1"/>
  </r>
  <r>
    <x v="6"/>
    <s v="COJEDES"/>
    <s v="CORPORACIÓN FIBEX TELECOM, C.A."/>
    <n v="2672573314"/>
    <s v="JESUS ALFONSO BRITO MONTIEL"/>
    <n v="30241946"/>
    <x v="1"/>
    <s v="O&amp;M"/>
    <s v="JESUS REYES NADAL"/>
    <x v="1"/>
    <s v="-"/>
    <x v="1"/>
    <d v="2025-12-01T00:00:00"/>
    <x v="0"/>
    <s v="-"/>
    <x v="0"/>
    <s v="-"/>
    <s v="-"/>
    <s v="SI"/>
    <m/>
    <n v="1"/>
  </r>
  <r>
    <x v="6"/>
    <s v="COJEDES"/>
    <s v="CORPORACIÓN FIBEX TELECOM, C.A."/>
    <n v="2672573314"/>
    <s v="MOISES DAVID BERENZUELA CONTRERAS"/>
    <n v="29525224"/>
    <x v="0"/>
    <s v="O&amp;M"/>
    <s v="JESUS REYES NADAL"/>
    <x v="1"/>
    <s v="-"/>
    <x v="1"/>
    <d v="2025-12-01T00:00:00"/>
    <x v="0"/>
    <s v="-"/>
    <x v="0"/>
    <s v="-"/>
    <s v="-"/>
    <s v="SI"/>
    <m/>
    <n v="1"/>
  </r>
  <r>
    <x v="6"/>
    <s v="COJEDES"/>
    <s v="CORPORACIÓN FIBEX TELECOM, C.A."/>
    <n v="2672573314"/>
    <s v="KEYBER EDUARDO DA SILVA SULBARAN"/>
    <n v="31903946"/>
    <x v="1"/>
    <s v="O&amp;M"/>
    <s v="JESUS REYES NADAL"/>
    <x v="1"/>
    <s v="-"/>
    <x v="1"/>
    <d v="2025-12-01T00:00:00"/>
    <x v="0"/>
    <s v="-"/>
    <x v="0"/>
    <s v="-"/>
    <s v="-"/>
    <s v="SI"/>
    <m/>
    <n v="1"/>
  </r>
  <r>
    <x v="6"/>
    <s v="COJEDES"/>
    <s v="CORPORACIÓN FIBEX TELECOM, C.A."/>
    <n v="2672573314"/>
    <s v="ALAIN JOSE GARCIA GUTIERREZ"/>
    <n v="10992362"/>
    <x v="0"/>
    <s v="O&amp;M"/>
    <s v="JESUS REYES NADAL"/>
    <x v="1"/>
    <s v="-"/>
    <x v="1"/>
    <d v="2025-12-01T00:00:00"/>
    <x v="0"/>
    <s v="-"/>
    <x v="0"/>
    <s v="-"/>
    <s v="-"/>
    <s v="SI"/>
    <m/>
    <n v="1"/>
  </r>
  <r>
    <x v="6"/>
    <s v="COJEDES"/>
    <s v="CORPORACIÓN FIBEX TELECOM, C.A."/>
    <n v="2672573314"/>
    <s v="WILMER COLINA"/>
    <n v="12029969"/>
    <x v="3"/>
    <s v="O&amp;M"/>
    <s v="JESUS REYES NADAL"/>
    <x v="1"/>
    <s v="-"/>
    <x v="1"/>
    <d v="2025-11-01T00:00:00"/>
    <x v="0"/>
    <s v="-"/>
    <x v="0"/>
    <s v="-"/>
    <s v="-"/>
    <s v="SI"/>
    <m/>
    <n v="1"/>
  </r>
  <r>
    <x v="6"/>
    <s v="COJEDES"/>
    <s v="CORPORACIÓN FIBEX TELECOM, C.A."/>
    <n v="2672573314"/>
    <s v="JOSE JAVIER MAYOR MONTIEL"/>
    <n v="18322387"/>
    <x v="2"/>
    <s v="MDC"/>
    <s v="JESUS REYES NADAL"/>
    <x v="1"/>
    <s v="-"/>
    <x v="0"/>
    <s v="-"/>
    <x v="0"/>
    <s v="-"/>
    <x v="0"/>
    <s v="-"/>
    <s v="-"/>
    <s v="SI"/>
    <m/>
    <n v="1"/>
  </r>
  <r>
    <x v="6"/>
    <s v="COJEDES"/>
    <s v="CORPORACIÓN FIBEX TELECOM, C.A."/>
    <n v="2672573314"/>
    <s v="JHOAN MANUEL AGUILAR RODRIGUEZ"/>
    <n v="20949978"/>
    <x v="2"/>
    <s v="MDC"/>
    <s v="JESUS REYES NADAL"/>
    <x v="1"/>
    <s v="-"/>
    <x v="0"/>
    <s v="-"/>
    <x v="0"/>
    <s v="-"/>
    <x v="0"/>
    <s v="-"/>
    <s v="-"/>
    <s v="SI"/>
    <m/>
    <n v="1"/>
  </r>
  <r>
    <x v="6"/>
    <s v="COJEDES"/>
    <s v="CORPORACIÓN FIBEX TELECOM, C.A."/>
    <n v="2672573314"/>
    <s v="DARWIN JOSE MATUTE LIMA"/>
    <n v="21670559"/>
    <x v="2"/>
    <s v="MDC"/>
    <s v="JESUS REYES NADAL"/>
    <x v="1"/>
    <s v="-"/>
    <x v="0"/>
    <s v="-"/>
    <x v="0"/>
    <s v="-"/>
    <x v="0"/>
    <s v="-"/>
    <s v="-"/>
    <s v="SI"/>
    <m/>
    <n v="1"/>
  </r>
  <r>
    <x v="7"/>
    <s v="GUARICO"/>
    <s v="CORPORACIÓN FIBEX TELECOM, C.A."/>
    <n v="2672573314"/>
    <s v="YNIHEL JOSE REYES VARGAS"/>
    <n v="19543804"/>
    <x v="4"/>
    <s v="O&amp;M"/>
    <s v="YNIHEL REYES"/>
    <x v="1"/>
    <s v="-"/>
    <x v="0"/>
    <s v="-"/>
    <x v="0"/>
    <s v="-"/>
    <x v="0"/>
    <s v="-"/>
    <s v="-"/>
    <s v="SI"/>
    <m/>
    <n v="1"/>
  </r>
  <r>
    <x v="7"/>
    <s v="GUARICO"/>
    <s v="CORPORACIÓN FIBEX TELECOM, C.A."/>
    <n v="2672573314"/>
    <s v="RAMON CELESTINO RIOS SALOMON"/>
    <n v="16505021"/>
    <x v="3"/>
    <s v="O&amp;M"/>
    <s v="YNIHEL REYES"/>
    <x v="1"/>
    <s v="-"/>
    <x v="0"/>
    <s v="-"/>
    <x v="0"/>
    <s v="-"/>
    <x v="0"/>
    <s v="-"/>
    <s v="-"/>
    <s v="SI"/>
    <m/>
    <n v="1"/>
  </r>
  <r>
    <x v="7"/>
    <s v="GUARICO"/>
    <s v="CORPORACIÓN FIBEX TELECOM, C.A."/>
    <n v="2672573314"/>
    <s v="JOSE LUIS GONZALEZ ALSECO"/>
    <n v="27867242"/>
    <x v="0"/>
    <s v="CDR"/>
    <s v="YNIHEL REYES"/>
    <x v="1"/>
    <s v="-"/>
    <x v="0"/>
    <s v="-"/>
    <x v="0"/>
    <s v="-"/>
    <x v="0"/>
    <s v="-"/>
    <s v="-"/>
    <s v="SI"/>
    <m/>
    <n v="1"/>
  </r>
  <r>
    <x v="7"/>
    <s v="GUARICO"/>
    <s v="CORPORACIÓN FIBEX TELECOM, C.A."/>
    <n v="2672573314"/>
    <s v="BRAULIO SALVADOR CARRILLO  RODRIGUEZ"/>
    <n v="18972727"/>
    <x v="1"/>
    <s v="CDR"/>
    <s v="YNIHEL REYES"/>
    <x v="1"/>
    <s v="-"/>
    <x v="0"/>
    <s v="-"/>
    <x v="0"/>
    <s v="-"/>
    <x v="0"/>
    <s v="-"/>
    <s v="-"/>
    <s v="SI"/>
    <m/>
    <n v="1"/>
  </r>
  <r>
    <x v="7"/>
    <s v="GUARICO"/>
    <s v="CORPORACIÓN FIBEX TELECOM, C.A."/>
    <n v="2672573314"/>
    <s v="SIMON ANDRES VEGAS QUIRO"/>
    <n v="25130170"/>
    <x v="0"/>
    <s v="O&amp;M"/>
    <s v="YNIHEL REYES"/>
    <x v="1"/>
    <s v="-"/>
    <x v="0"/>
    <s v="-"/>
    <x v="0"/>
    <s v="-"/>
    <x v="0"/>
    <s v="-"/>
    <s v="-"/>
    <s v="SI"/>
    <m/>
    <n v="1"/>
  </r>
  <r>
    <x v="7"/>
    <s v="GUARICO"/>
    <s v="CORPORACIÓN FIBEX TELECOM, C.A."/>
    <n v="2672573314"/>
    <s v="HOLZNER JOSGRE CENTENO RIVAS"/>
    <n v="26973137"/>
    <x v="1"/>
    <s v="O&amp;M"/>
    <s v="YNIHEL REYES"/>
    <x v="1"/>
    <s v="-"/>
    <x v="0"/>
    <s v="-"/>
    <x v="0"/>
    <s v="-"/>
    <x v="0"/>
    <s v="-"/>
    <s v="-"/>
    <s v="SI"/>
    <m/>
    <n v="1"/>
  </r>
  <r>
    <x v="7"/>
    <s v="GUARICO"/>
    <s v="CORPORACIÓN FIBEX TELECOM, C.A."/>
    <n v="2672573314"/>
    <s v="ENDER ARMANDO SIDRAN BELISARIO"/>
    <n v="19600123"/>
    <x v="3"/>
    <s v="O&amp;M"/>
    <s v="YNIHEL REYES"/>
    <x v="1"/>
    <s v="-"/>
    <x v="0"/>
    <s v="-"/>
    <x v="0"/>
    <s v="-"/>
    <x v="0"/>
    <s v="-"/>
    <s v="-"/>
    <s v="SI"/>
    <m/>
    <n v="1"/>
  </r>
  <r>
    <x v="7"/>
    <s v="GUARICO"/>
    <s v="CORPORACIÓN FIBEX TELECOM, C.A."/>
    <n v="2672573314"/>
    <s v="SAMUEL JOSE PEREZ BELISARIO"/>
    <n v="30459887"/>
    <x v="2"/>
    <s v="O&amp;M"/>
    <s v="YNIHEL REYES"/>
    <x v="1"/>
    <s v="-"/>
    <x v="0"/>
    <s v="-"/>
    <x v="0"/>
    <s v="-"/>
    <x v="0"/>
    <s v="-"/>
    <s v="-"/>
    <s v="SI"/>
    <m/>
    <n v="1"/>
  </r>
  <r>
    <x v="7"/>
    <s v="GUARICO"/>
    <s v="CORPORACIÓN FIBEX TELECOM, C.A."/>
    <n v="2672573314"/>
    <s v="LUIS GUILLERMO ESTRADA VARGAS"/>
    <n v="20878360"/>
    <x v="2"/>
    <s v="O&amp;M"/>
    <s v="YNIHEL REYES"/>
    <x v="1"/>
    <s v="-"/>
    <x v="0"/>
    <s v="-"/>
    <x v="0"/>
    <s v="-"/>
    <x v="0"/>
    <s v="-"/>
    <s v="-"/>
    <s v="SI"/>
    <m/>
    <n v="1"/>
  </r>
  <r>
    <x v="7"/>
    <s v="GUARICO"/>
    <s v="CORPORACIÓN FIBEX TELECOM, C.A."/>
    <n v="2672573314"/>
    <s v="JOSE RAFAEL ASTUDILLO"/>
    <n v="10976485"/>
    <x v="1"/>
    <s v="O&amp;M"/>
    <s v="YNIHEL REYES"/>
    <x v="1"/>
    <s v="-"/>
    <x v="0"/>
    <s v="-"/>
    <x v="0"/>
    <s v="-"/>
    <x v="0"/>
    <s v="-"/>
    <s v="-"/>
    <s v="SI"/>
    <m/>
    <n v="1"/>
  </r>
  <r>
    <x v="7"/>
    <s v="GUARICO"/>
    <s v="CORPORACIÓN FIBEX TELECOM, C.A."/>
    <n v="2672573314"/>
    <s v="JOSE ALBERTO FLORES GONZALEZ"/>
    <n v="20908839"/>
    <x v="0"/>
    <s v="O&amp;M"/>
    <s v="YNIHEL REYES"/>
    <x v="1"/>
    <s v="-"/>
    <x v="0"/>
    <s v="-"/>
    <x v="0"/>
    <s v="-"/>
    <x v="0"/>
    <s v="-"/>
    <s v="-"/>
    <s v="SI"/>
    <m/>
    <n v="1"/>
  </r>
  <r>
    <x v="7"/>
    <s v="GUARICO"/>
    <s v="CORPORACIÓN FIBEX TELECOM, C.A."/>
    <n v="2672573314"/>
    <s v="MIGUEL ANGEL RODRIGUEZ SOLORZANO"/>
    <n v="10674969"/>
    <x v="0"/>
    <s v="O&amp;M"/>
    <s v="YNIHEL REYES"/>
    <x v="1"/>
    <s v="-"/>
    <x v="0"/>
    <s v="-"/>
    <x v="0"/>
    <s v="-"/>
    <x v="0"/>
    <s v="-"/>
    <s v="-"/>
    <s v="SI"/>
    <m/>
    <n v="1"/>
  </r>
  <r>
    <x v="7"/>
    <s v="GUARICO"/>
    <s v="CORPORACIÓN FIBEX TELECOM, C.A."/>
    <n v="2672573314"/>
    <s v="JOSE AMABLE DELGADO CARRILLO"/>
    <n v="25573222"/>
    <x v="1"/>
    <s v="O&amp;M"/>
    <s v="YNIHEL REYES"/>
    <x v="1"/>
    <s v="-"/>
    <x v="0"/>
    <s v="-"/>
    <x v="0"/>
    <s v="-"/>
    <x v="0"/>
    <s v="-"/>
    <s v="-"/>
    <s v="SI"/>
    <m/>
    <n v="1"/>
  </r>
  <r>
    <x v="7"/>
    <s v="GUARICO"/>
    <s v="CORPORACIÓN FIBEX TELECOM, C.A."/>
    <n v="2672573314"/>
    <s v="HECTOR RAMON FERNANDEZ MUNOZ"/>
    <n v="14147844"/>
    <x v="0"/>
    <s v="O&amp;M"/>
    <s v="YNIHEL REYES"/>
    <x v="1"/>
    <s v="-"/>
    <x v="0"/>
    <s v="-"/>
    <x v="0"/>
    <s v="-"/>
    <x v="0"/>
    <s v="-"/>
    <s v="-"/>
    <s v="SI"/>
    <m/>
    <n v="1"/>
  </r>
  <r>
    <x v="7"/>
    <s v="GUARICO"/>
    <s v="CORPORACIÓN FIBEX TELECOM, C.A."/>
    <n v="2672573314"/>
    <s v="MARCIAL AGUSTIN RISSO GIL"/>
    <n v="17714754"/>
    <x v="1"/>
    <s v="O&amp;M"/>
    <s v="YNIHEL REYES"/>
    <x v="1"/>
    <s v="-"/>
    <x v="0"/>
    <s v="-"/>
    <x v="0"/>
    <s v="-"/>
    <x v="0"/>
    <s v="-"/>
    <s v="-"/>
    <s v="SI"/>
    <m/>
    <n v="1"/>
  </r>
  <r>
    <x v="7"/>
    <s v="GUARICO"/>
    <s v="CORPORACIÓN FIBEX TELECOM, C.A."/>
    <n v="2672573314"/>
    <s v="MITCHELL JOSE RIVAS VICENT"/>
    <n v="19273427"/>
    <x v="0"/>
    <s v="O&amp;M"/>
    <s v="YNIHEL REYES"/>
    <x v="1"/>
    <s v="-"/>
    <x v="0"/>
    <s v="-"/>
    <x v="0"/>
    <s v="-"/>
    <x v="0"/>
    <s v="-"/>
    <s v="-"/>
    <s v="SI"/>
    <m/>
    <n v="1"/>
  </r>
  <r>
    <x v="7"/>
    <s v="GUARICO"/>
    <s v="CORPORACIÓN FIBEX TELECOM, C.A."/>
    <n v="2672573314"/>
    <s v="JAVIER JOSE RUIZ PERDOMO"/>
    <n v="23563451"/>
    <x v="1"/>
    <s v="O&amp;M"/>
    <s v="YNIHEL REYES"/>
    <x v="1"/>
    <s v="-"/>
    <x v="0"/>
    <s v="-"/>
    <x v="0"/>
    <s v="-"/>
    <x v="0"/>
    <s v="-"/>
    <s v="-"/>
    <s v="SI"/>
    <m/>
    <n v="1"/>
  </r>
  <r>
    <x v="7"/>
    <s v="GUARICO"/>
    <s v="CORPORACIÓN FIBEX TELECOM, C.A."/>
    <n v="2672573314"/>
    <s v="DAVID EMILIO GASSETE REQUENA"/>
    <n v="22610283"/>
    <x v="0"/>
    <s v="O&amp;M"/>
    <s v="YNIHEL REYES"/>
    <x v="1"/>
    <s v="-"/>
    <x v="0"/>
    <s v="-"/>
    <x v="0"/>
    <s v="-"/>
    <x v="0"/>
    <s v="-"/>
    <s v="-"/>
    <s v="SI"/>
    <m/>
    <n v="1"/>
  </r>
  <r>
    <x v="7"/>
    <s v="GUARICO"/>
    <s v="CORPORACIÓN FIBEX TELECOM, C.A."/>
    <n v="2672573314"/>
    <s v="HUGO RAFAEL MARTINEZ GARCIA"/>
    <n v="20247506"/>
    <x v="1"/>
    <s v="O&amp;M"/>
    <s v="YNIHEL REYES"/>
    <x v="1"/>
    <s v="-"/>
    <x v="0"/>
    <s v="-"/>
    <x v="0"/>
    <s v="-"/>
    <x v="0"/>
    <s v="-"/>
    <s v="-"/>
    <s v="SI"/>
    <m/>
    <n v="1"/>
  </r>
  <r>
    <x v="7"/>
    <s v="GUARICO"/>
    <s v="CORPORACIÓN FIBEX TELECOM, C.A."/>
    <n v="2672573314"/>
    <s v="MARTIN ANDRES URIBE BARRIOS"/>
    <n v="20958316"/>
    <x v="0"/>
    <s v="O&amp;M"/>
    <s v="YNIHEL REYES"/>
    <x v="1"/>
    <s v="-"/>
    <x v="0"/>
    <s v="-"/>
    <x v="0"/>
    <s v="-"/>
    <x v="0"/>
    <s v="-"/>
    <s v="-"/>
    <s v="SI"/>
    <m/>
    <n v="1"/>
  </r>
  <r>
    <x v="7"/>
    <s v="GUARICO"/>
    <s v="CORPORACIÓN FIBEX TELECOM, C.A."/>
    <n v="2672573314"/>
    <s v="JHONNY ALCIDES PERALTA MEDINA"/>
    <n v="13811292"/>
    <x v="0"/>
    <s v="O&amp;M"/>
    <s v="YNIHEL REYES"/>
    <x v="1"/>
    <s v="-"/>
    <x v="0"/>
    <s v="-"/>
    <x v="0"/>
    <s v="-"/>
    <x v="0"/>
    <s v="-"/>
    <s v="-"/>
    <s v="SI"/>
    <m/>
    <n v="1"/>
  </r>
  <r>
    <x v="7"/>
    <s v="GUARICO"/>
    <s v="CORPORACIÓN FIBEX TELECOM, C.A."/>
    <n v="2672573314"/>
    <s v="JOSE RAFAEL RANGEL SILVA"/>
    <n v="17252977"/>
    <x v="1"/>
    <s v="O&amp;M"/>
    <s v="YNIHEL REYES"/>
    <x v="1"/>
    <s v="-"/>
    <x v="0"/>
    <s v="-"/>
    <x v="0"/>
    <s v="-"/>
    <x v="0"/>
    <s v="-"/>
    <s v="-"/>
    <s v="SI"/>
    <m/>
    <n v="1"/>
  </r>
  <r>
    <x v="7"/>
    <s v="GUARICO"/>
    <s v="CORPORACIÓN FIBEX TELECOM, C.A."/>
    <n v="2672573314"/>
    <s v="WUILMAN JOSE SALVATIERRA RODRIGUEZ"/>
    <n v="19601377"/>
    <x v="1"/>
    <s v="O&amp;M"/>
    <s v="YNIHEL REYES"/>
    <x v="1"/>
    <s v="-"/>
    <x v="0"/>
    <s v="-"/>
    <x v="0"/>
    <s v="-"/>
    <x v="0"/>
    <s v="-"/>
    <s v="-"/>
    <s v="SI"/>
    <m/>
    <n v="1"/>
  </r>
  <r>
    <x v="7"/>
    <s v="GUARICO"/>
    <s v="CORPORACIÓN FIBEX TELECOM, C.A."/>
    <n v="2672573314"/>
    <s v="MARLON ELIEZER UTRERA  YLARRAZA"/>
    <n v="20247665"/>
    <x v="1"/>
    <s v="O&amp;M"/>
    <s v="YNIHEL REYES"/>
    <x v="1"/>
    <s v="-"/>
    <x v="0"/>
    <s v="-"/>
    <x v="0"/>
    <s v="-"/>
    <x v="0"/>
    <s v="-"/>
    <s v="-"/>
    <s v="SI"/>
    <m/>
    <n v="1"/>
  </r>
  <r>
    <x v="7"/>
    <s v="GUARICO"/>
    <s v="CORPORACIÓN FIBEX TELECOM, C.A."/>
    <n v="2672573314"/>
    <s v=" ROMULO APOLO RINCONES  ZAMBRANO"/>
    <n v="18616736"/>
    <x v="1"/>
    <s v="O&amp;M"/>
    <s v="YNIHEL REYES"/>
    <x v="1"/>
    <s v="-"/>
    <x v="0"/>
    <s v="-"/>
    <x v="0"/>
    <s v="-"/>
    <x v="0"/>
    <s v="-"/>
    <s v="-"/>
    <s v="SI"/>
    <m/>
    <n v="1"/>
  </r>
  <r>
    <x v="7"/>
    <s v="GUARICO"/>
    <s v="CORPORACIÓN FIBEX TELECOM, C.A."/>
    <n v="2672573314"/>
    <s v="ALIS ALEJANDRO ARANA  ROJAS"/>
    <n v="20521196"/>
    <x v="1"/>
    <s v="O&amp;M"/>
    <s v="YNIHEL REYES"/>
    <x v="1"/>
    <s v="-"/>
    <x v="0"/>
    <s v="-"/>
    <x v="0"/>
    <s v="-"/>
    <x v="0"/>
    <s v="-"/>
    <s v="-"/>
    <s v="SI"/>
    <m/>
    <n v="1"/>
  </r>
  <r>
    <x v="7"/>
    <s v="GUARICO"/>
    <s v="CORPORACIÓN FIBEX TELECOM, C.A."/>
    <n v="2672573314"/>
    <s v="FRANCISCO JAVIER BELISARIO LARA"/>
    <n v="19600124"/>
    <x v="1"/>
    <s v="O&amp;M"/>
    <s v="YNIHEL REYES"/>
    <x v="1"/>
    <s v="-"/>
    <x v="0"/>
    <s v="-"/>
    <x v="0"/>
    <s v="-"/>
    <x v="0"/>
    <s v="-"/>
    <s v="-"/>
    <s v="SI"/>
    <m/>
    <n v="1"/>
  </r>
  <r>
    <x v="7"/>
    <s v="GUARICO"/>
    <s v="CORPORACIÓN FIBEX TELECOM, C.A."/>
    <n v="2672573314"/>
    <s v="JOSE AGUSTIN GARRIDO UTRERA"/>
    <n v="26448805"/>
    <x v="1"/>
    <s v="O&amp;M"/>
    <s v="YNIHEL REYES"/>
    <x v="1"/>
    <s v="-"/>
    <x v="0"/>
    <s v="-"/>
    <x v="0"/>
    <s v="-"/>
    <x v="0"/>
    <s v="-"/>
    <s v="-"/>
    <s v="SI"/>
    <m/>
    <n v="1"/>
  </r>
  <r>
    <x v="7"/>
    <s v="GUARICO"/>
    <s v="CORPORACIÓN FIBEX TELECOM, C.A."/>
    <n v="2672573314"/>
    <s v="JOSE ANTONIO MARQUEZ BREA"/>
    <n v="30038779"/>
    <x v="1"/>
    <s v="CDR"/>
    <s v="YNIHEL REYES"/>
    <x v="1"/>
    <s v="-"/>
    <x v="0"/>
    <s v="-"/>
    <x v="0"/>
    <s v="-"/>
    <x v="0"/>
    <s v="-"/>
    <s v="-"/>
    <s v="SI"/>
    <m/>
    <n v="1"/>
  </r>
  <r>
    <x v="7"/>
    <s v="GUARICO"/>
    <s v="CORPORACIÓN FIBEX TELECOM, C.A."/>
    <n v="2672573314"/>
    <s v="ELIECER BLADIMIR SILVA MENDEZ"/>
    <n v="27698734"/>
    <x v="1"/>
    <s v="O&amp;M"/>
    <s v="YNIHEL REYES"/>
    <x v="1"/>
    <s v="-"/>
    <x v="0"/>
    <s v="-"/>
    <x v="0"/>
    <s v="-"/>
    <x v="0"/>
    <s v="-"/>
    <s v="-"/>
    <s v="SI"/>
    <m/>
    <n v="1"/>
  </r>
  <r>
    <x v="7"/>
    <s v="GUARICO"/>
    <s v="CORPORACIÓN FIBEX TELECOM, C.A."/>
    <n v="2672573314"/>
    <s v="VICTOR MANUEL ORTIZ FLORES"/>
    <n v="19657734"/>
    <x v="0"/>
    <s v="O&amp;M"/>
    <s v="YNIHEL REYES"/>
    <x v="1"/>
    <s v="-"/>
    <x v="0"/>
    <s v="-"/>
    <x v="0"/>
    <s v="-"/>
    <x v="0"/>
    <s v="-"/>
    <s v="-"/>
    <s v="SI"/>
    <m/>
    <n v="1"/>
  </r>
  <r>
    <x v="7"/>
    <s v="GUARICO"/>
    <s v="CORPORACIÓN FIBEX TELECOM, C.A."/>
    <n v="2672573314"/>
    <s v="EVEL JOSE CAMPOS MACHADO"/>
    <n v="19361262"/>
    <x v="1"/>
    <s v="O&amp;M"/>
    <s v="YNIHEL REYES"/>
    <x v="1"/>
    <s v="-"/>
    <x v="0"/>
    <s v="-"/>
    <x v="0"/>
    <s v="-"/>
    <x v="0"/>
    <s v="-"/>
    <s v="-"/>
    <s v="SI"/>
    <m/>
    <n v="1"/>
  </r>
  <r>
    <x v="7"/>
    <s v="GUARICO"/>
    <s v="CORPORACIÓN FIBEX TELECOM, C.A."/>
    <n v="2672573314"/>
    <s v="ARNALDO ANTONIO MARTINEZ"/>
    <n v="18834932"/>
    <x v="1"/>
    <s v="O&amp;M"/>
    <s v="YNIHEL REYES"/>
    <x v="1"/>
    <s v="-"/>
    <x v="0"/>
    <s v="-"/>
    <x v="0"/>
    <s v="-"/>
    <x v="0"/>
    <s v="-"/>
    <s v="-"/>
    <s v="SI"/>
    <m/>
    <n v="1"/>
  </r>
  <r>
    <x v="7"/>
    <s v="GUARICO"/>
    <s v="CORPORACIÓN FIBEX TELECOM, C.A."/>
    <n v="2672573314"/>
    <s v="JUAN JOSE SANTAELLA ROJAS"/>
    <n v="15823162"/>
    <x v="0"/>
    <s v="O&amp;M"/>
    <s v="YNIHEL REYES"/>
    <x v="1"/>
    <s v="-"/>
    <x v="0"/>
    <s v="-"/>
    <x v="0"/>
    <s v="-"/>
    <x v="0"/>
    <s v="-"/>
    <s v="-"/>
    <s v="SI"/>
    <m/>
    <n v="1"/>
  </r>
  <r>
    <x v="7"/>
    <s v="GUARICO"/>
    <s v="CORPORACIÓN FIBEX TELECOM, C.A."/>
    <n v="2672573314"/>
    <s v="ANTONIO EDUARDO CERRUTO OCHOA"/>
    <n v="19067089"/>
    <x v="1"/>
    <s v="O&amp;M"/>
    <s v="YNIHEL REYES"/>
    <x v="1"/>
    <s v="-"/>
    <x v="0"/>
    <s v="-"/>
    <x v="0"/>
    <s v="-"/>
    <x v="0"/>
    <s v="-"/>
    <s v="-"/>
    <s v="SI"/>
    <m/>
    <n v="1"/>
  </r>
  <r>
    <x v="7"/>
    <s v="GUARICO"/>
    <s v="CORPORACIÓN FIBEX TELECOM, C.A."/>
    <n v="2672573314"/>
    <s v="JHON ALEXANDER CHAVEZ RUJANO"/>
    <n v="21152260"/>
    <x v="0"/>
    <s v="O&amp;M"/>
    <s v="YNIHEL REYES"/>
    <x v="1"/>
    <s v="-"/>
    <x v="0"/>
    <s v="-"/>
    <x v="0"/>
    <s v="-"/>
    <x v="0"/>
    <s v="-"/>
    <s v="-"/>
    <s v="SI"/>
    <m/>
    <n v="1"/>
  </r>
  <r>
    <x v="7"/>
    <s v="GUARICO"/>
    <s v="CORPORACIÓN FIBEX TELECOM, C.A."/>
    <n v="2672573314"/>
    <s v="ALI JOSE TRANQUINI HERNANDEZ"/>
    <n v="27695464"/>
    <x v="1"/>
    <s v="O&amp;M"/>
    <s v="YNIHEL REYES"/>
    <x v="1"/>
    <s v="-"/>
    <x v="0"/>
    <s v="-"/>
    <x v="0"/>
    <s v="-"/>
    <x v="0"/>
    <s v="-"/>
    <s v="-"/>
    <s v="SI"/>
    <m/>
    <n v="1"/>
  </r>
  <r>
    <x v="7"/>
    <s v="GUARICO"/>
    <s v="CORPORACIÓN FIBEX TELECOM, C.A."/>
    <n v="2672573314"/>
    <s v="KIRMIA KARINA LOPEZ DELGADO"/>
    <n v="18972992"/>
    <x v="2"/>
    <s v="MDC"/>
    <s v="YNIHEL REYES"/>
    <x v="1"/>
    <s v="-"/>
    <x v="0"/>
    <s v="-"/>
    <x v="0"/>
    <s v="-"/>
    <x v="0"/>
    <s v="-"/>
    <s v="-"/>
    <s v="SI"/>
    <m/>
    <n v="1"/>
  </r>
  <r>
    <x v="7"/>
    <s v="GUARICO"/>
    <s v="CORPORACIÓN FIBEX TELECOM, C.A."/>
    <n v="2672573314"/>
    <s v="ODRA IVANA VALENTINA HERRERA MORGADO"/>
    <n v="28482162"/>
    <x v="2"/>
    <s v="MDC"/>
    <s v="YNIHEL REYES"/>
    <x v="1"/>
    <s v="-"/>
    <x v="0"/>
    <s v="-"/>
    <x v="0"/>
    <s v="-"/>
    <x v="0"/>
    <s v="-"/>
    <s v="-"/>
    <s v="SI"/>
    <m/>
    <n v="1"/>
  </r>
  <r>
    <x v="7"/>
    <s v="GUARICO"/>
    <s v="CORPORACIÓN FIBEX TELECOM, C.A."/>
    <n v="2672573314"/>
    <s v="PEDRO ANGEL RONDON ROJAS"/>
    <n v="29866305"/>
    <x v="2"/>
    <s v="MDC"/>
    <s v="YNIHEL REYES"/>
    <x v="1"/>
    <s v="-"/>
    <x v="0"/>
    <s v="-"/>
    <x v="0"/>
    <s v="-"/>
    <x v="0"/>
    <s v="-"/>
    <s v="-"/>
    <s v="SI"/>
    <m/>
    <n v="1"/>
  </r>
  <r>
    <x v="8"/>
    <s v="LA GUAIRA"/>
    <s v="CORPORACIÓN FIBEX TELECOM, C.A."/>
    <n v="2672573314"/>
    <s v="JORDY ALFREDO MC KENZIE TOVAR"/>
    <n v="18324998"/>
    <x v="1"/>
    <s v="O&amp;M"/>
    <s v="PENDIENTE INFORMACIÓN"/>
    <x v="1"/>
    <s v="-"/>
    <x v="1"/>
    <d v="2025-11-01T00:00:00"/>
    <x v="0"/>
    <s v="-"/>
    <x v="0"/>
    <s v="-"/>
    <s v="-"/>
    <s v="SI"/>
    <m/>
    <n v="1"/>
  </r>
  <r>
    <x v="8"/>
    <s v="LA GUAIRA"/>
    <s v="CORPORACIÓN FIBEX TELECOM, C.A."/>
    <n v="2672573314"/>
    <s v="RICHARTSON ERIMIG GUZMAN BANDRA"/>
    <n v="26938811"/>
    <x v="0"/>
    <s v="O&amp;M"/>
    <s v="PENDIENTE INFORMACIÓN"/>
    <x v="1"/>
    <s v="-"/>
    <x v="1"/>
    <d v="2025-11-01T00:00:00"/>
    <x v="0"/>
    <s v="-"/>
    <x v="0"/>
    <s v="-"/>
    <s v="-"/>
    <s v="SI"/>
    <m/>
    <n v="1"/>
  </r>
  <r>
    <x v="9"/>
    <s v="LARA"/>
    <s v="CORPORACIÓN FIBEX TELECOM, C.A."/>
    <n v="2672573314"/>
    <s v="ALEXIS LERMIT DURAN HERNANDEZ"/>
    <n v="17196736"/>
    <x v="0"/>
    <s v="O&amp;M"/>
    <s v="LALESKA PEÑA"/>
    <x v="1"/>
    <s v="-"/>
    <x v="1"/>
    <d v="2025-12-01T00:00:00"/>
    <x v="0"/>
    <s v="-"/>
    <x v="0"/>
    <s v="-"/>
    <s v="-"/>
    <s v="SI"/>
    <m/>
    <n v="1"/>
  </r>
  <r>
    <x v="9"/>
    <s v="LARA"/>
    <s v="CORPORACIÓN FIBEX TELECOM, C.A."/>
    <n v="2672573314"/>
    <s v="ANDRU DE LOS SANTOS FIGUEROA PEROZO"/>
    <n v="20943796"/>
    <x v="1"/>
    <s v="O&amp;M"/>
    <s v="LALESKA PEÑA"/>
    <x v="0"/>
    <d v="2025-04-01T00:00:00"/>
    <x v="1"/>
    <d v="2025-12-01T00:00:00"/>
    <x v="0"/>
    <s v="-"/>
    <x v="0"/>
    <s v="-"/>
    <s v="-"/>
    <s v="SI"/>
    <m/>
    <n v="1"/>
  </r>
  <r>
    <x v="9"/>
    <s v="LARA"/>
    <s v="CORPORACIÓN FIBEX TELECOM, C.A."/>
    <n v="2672573314"/>
    <s v="BRANDON  SEGUNDO GARRIDO  GONZALEZ"/>
    <n v="27193698"/>
    <x v="1"/>
    <s v="O&amp;M"/>
    <s v="LALESKA PEÑA"/>
    <x v="0"/>
    <d v="2025-04-01T00:00:00"/>
    <x v="1"/>
    <d v="2025-12-01T00:00:00"/>
    <x v="0"/>
    <s v="-"/>
    <x v="0"/>
    <s v="-"/>
    <s v="-"/>
    <s v="SI"/>
    <m/>
    <n v="1"/>
  </r>
  <r>
    <x v="9"/>
    <s v="LARA"/>
    <s v="CORPORACIÓN FIBEX TELECOM, C.A."/>
    <n v="2672573314"/>
    <s v="CARLOS ALBERTO VERA ZURITA"/>
    <n v="17372733"/>
    <x v="0"/>
    <s v="O&amp;M"/>
    <s v="LALESKA PEÑA"/>
    <x v="1"/>
    <s v="-"/>
    <x v="1"/>
    <d v="2025-12-01T00:00:00"/>
    <x v="0"/>
    <s v="-"/>
    <x v="0"/>
    <s v="-"/>
    <s v="-"/>
    <s v="SI"/>
    <m/>
    <n v="1"/>
  </r>
  <r>
    <x v="9"/>
    <s v="LARA"/>
    <s v="CORPORACIÓN FIBEX TELECOM, C.A."/>
    <n v="2672573314"/>
    <s v="CARLOS ALEXANDER LINAREZ MELENDEZ"/>
    <n v="15778646"/>
    <x v="1"/>
    <s v="O&amp;M"/>
    <s v="LALESKA PEÑA"/>
    <x v="1"/>
    <s v="-"/>
    <x v="1"/>
    <d v="2025-12-01T00:00:00"/>
    <x v="0"/>
    <s v="-"/>
    <x v="0"/>
    <s v="-"/>
    <s v="-"/>
    <s v="SI"/>
    <m/>
    <n v="1"/>
  </r>
  <r>
    <x v="9"/>
    <s v="LARA"/>
    <s v="CORPORACIÓN FIBEX TELECOM, C.A."/>
    <n v="2672573314"/>
    <s v="CARLOS ENRIQUE  PEREZ RAMOS"/>
    <n v="16404187"/>
    <x v="0"/>
    <s v="O&amp;M"/>
    <s v="LALESKA PEÑA"/>
    <x v="1"/>
    <s v="-"/>
    <x v="1"/>
    <d v="2025-12-01T00:00:00"/>
    <x v="0"/>
    <s v="-"/>
    <x v="0"/>
    <s v="-"/>
    <s v="-"/>
    <s v="SI"/>
    <m/>
    <n v="1"/>
  </r>
  <r>
    <x v="9"/>
    <s v="LARA"/>
    <s v="CORPORACIÓN FIBEX TELECOM, C.A."/>
    <n v="2672573314"/>
    <s v="DANIEL ANDRES YAGUAS TORREALBA"/>
    <n v="26584200"/>
    <x v="1"/>
    <s v="O&amp;M"/>
    <s v="LALESKA PEÑA"/>
    <x v="1"/>
    <s v="-"/>
    <x v="1"/>
    <d v="2025-12-01T00:00:00"/>
    <x v="0"/>
    <s v="-"/>
    <x v="0"/>
    <s v="-"/>
    <s v="-"/>
    <s v="SI"/>
    <m/>
    <n v="1"/>
  </r>
  <r>
    <x v="9"/>
    <s v="LARA"/>
    <s v="CORPORACIÓN FIBEX TELECOM, C.A."/>
    <n v="2672573314"/>
    <s v="DENNYS MANUEL SANDOVAL  ORELLANA"/>
    <n v="27737966"/>
    <x v="1"/>
    <s v="O&amp;M"/>
    <s v="LALESKA PEÑA"/>
    <x v="1"/>
    <s v="-"/>
    <x v="1"/>
    <d v="2025-12-01T00:00:00"/>
    <x v="0"/>
    <s v="-"/>
    <x v="0"/>
    <s v="-"/>
    <s v="-"/>
    <s v="SI"/>
    <m/>
    <n v="1"/>
  </r>
  <r>
    <x v="9"/>
    <s v="LARA"/>
    <s v="CORPORACIÓN FIBEX TELECOM, C.A."/>
    <n v="2672573314"/>
    <s v="EDGAR JOSE MUJICA PIÑA"/>
    <n v="19431115"/>
    <x v="1"/>
    <s v="O&amp;M"/>
    <s v="LALESKA PEÑA"/>
    <x v="1"/>
    <s v="-"/>
    <x v="1"/>
    <d v="2025-12-01T00:00:00"/>
    <x v="0"/>
    <s v="-"/>
    <x v="0"/>
    <s v="-"/>
    <s v="-"/>
    <s v="SI"/>
    <m/>
    <n v="1"/>
  </r>
  <r>
    <x v="9"/>
    <s v="LARA"/>
    <s v="CORPORACIÓN FIBEX TELECOM, C.A."/>
    <n v="2672573314"/>
    <s v="EDWIN JOSE SILVA GIMENEZ"/>
    <n v="18057256"/>
    <x v="0"/>
    <s v="CDR"/>
    <s v="LALESKA PEÑA"/>
    <x v="0"/>
    <d v="2025-04-01T00:00:00"/>
    <x v="1"/>
    <d v="2025-12-01T00:00:00"/>
    <x v="0"/>
    <s v="-"/>
    <x v="0"/>
    <s v="-"/>
    <s v="-"/>
    <s v="SI"/>
    <m/>
    <n v="1"/>
  </r>
  <r>
    <x v="9"/>
    <s v="LARA"/>
    <s v="CORPORACIÓN FIBEX TELECOM, C.A."/>
    <n v="2672573314"/>
    <s v="ENRIQUE ANTONIO COLINA RODRIGUEZ"/>
    <n v="26136005"/>
    <x v="0"/>
    <s v="O&amp;M"/>
    <s v="LALESKA PEÑA"/>
    <x v="1"/>
    <s v="-"/>
    <x v="1"/>
    <d v="2025-12-01T00:00:00"/>
    <x v="0"/>
    <s v="-"/>
    <x v="0"/>
    <s v="-"/>
    <s v="-"/>
    <s v="SI"/>
    <m/>
    <n v="1"/>
  </r>
  <r>
    <x v="9"/>
    <s v="LARA"/>
    <s v="CORPORACIÓN FIBEX TELECOM, C.A."/>
    <n v="2672573314"/>
    <s v="ESAU ELIEZER BENITEZ"/>
    <n v="18135786"/>
    <x v="0"/>
    <s v="O&amp;M"/>
    <s v="LALESKA PEÑA"/>
    <x v="1"/>
    <s v="-"/>
    <x v="1"/>
    <d v="2025-12-01T00:00:00"/>
    <x v="0"/>
    <s v="-"/>
    <x v="0"/>
    <s v="-"/>
    <s v="-"/>
    <s v="SI"/>
    <m/>
    <n v="1"/>
  </r>
  <r>
    <x v="9"/>
    <s v="LARA"/>
    <s v="CORPORACIÓN FIBEX TELECOM, C.A."/>
    <n v="2672573314"/>
    <s v="FERNANDO ANDRES RONDON ARAPE"/>
    <n v="30446361"/>
    <x v="1"/>
    <s v="CDR"/>
    <s v="LALESKA PEÑA"/>
    <x v="0"/>
    <d v="2025-04-01T00:00:00"/>
    <x v="1"/>
    <d v="2025-12-01T00:00:00"/>
    <x v="0"/>
    <s v="-"/>
    <x v="0"/>
    <s v="-"/>
    <s v="-"/>
    <s v="SI"/>
    <m/>
    <n v="1"/>
  </r>
  <r>
    <x v="9"/>
    <s v="LARA"/>
    <s v="CORPORACIÓN FIBEX TELECOM, C.A."/>
    <n v="2672573314"/>
    <s v="JESUS ELIAS MONTILLA MENDEZ"/>
    <n v="29703391"/>
    <x v="1"/>
    <s v="O&amp;M"/>
    <s v="LALESKA PEÑA"/>
    <x v="1"/>
    <s v="-"/>
    <x v="1"/>
    <d v="2025-12-01T00:00:00"/>
    <x v="0"/>
    <s v="-"/>
    <x v="0"/>
    <s v="-"/>
    <s v="-"/>
    <s v="SI"/>
    <m/>
    <n v="1"/>
  </r>
  <r>
    <x v="9"/>
    <s v="LARA"/>
    <s v="CORPORACIÓN FIBEX TELECOM, C.A."/>
    <n v="2672573314"/>
    <s v="JOSE ANGEL WANKLAAR NUÑEZ"/>
    <n v="14825900"/>
    <x v="1"/>
    <s v="O&amp;M"/>
    <s v="LALESKA PEÑA"/>
    <x v="0"/>
    <d v="2025-04-01T00:00:00"/>
    <x v="1"/>
    <d v="2025-12-01T00:00:00"/>
    <x v="0"/>
    <s v="-"/>
    <x v="0"/>
    <s v="-"/>
    <s v="-"/>
    <s v="SI"/>
    <m/>
    <n v="1"/>
  </r>
  <r>
    <x v="9"/>
    <s v="LARA"/>
    <s v="CORPORACIÓN FIBEX TELECOM, C.A."/>
    <n v="2672573314"/>
    <s v="JOSE ANYER RODRIGUEZ SEGUERI"/>
    <n v="27554969"/>
    <x v="0"/>
    <s v="IMPLEMENTACION"/>
    <s v="LALESKA PEÑA"/>
    <x v="1"/>
    <s v="-"/>
    <x v="1"/>
    <d v="2025-12-01T00:00:00"/>
    <x v="0"/>
    <s v="-"/>
    <x v="0"/>
    <s v="-"/>
    <s v="-"/>
    <s v="SI"/>
    <m/>
    <n v="1"/>
  </r>
  <r>
    <x v="9"/>
    <s v="LARA"/>
    <s v="CORPORACIÓN FIBEX TELECOM, C.A."/>
    <n v="2672573314"/>
    <s v="JOSE PASTOR ARRIECHE PRIMERA"/>
    <n v="15964859"/>
    <x v="0"/>
    <s v="O&amp;M"/>
    <s v="LALESKA PEÑA"/>
    <x v="1"/>
    <s v="-"/>
    <x v="1"/>
    <d v="2025-12-01T00:00:00"/>
    <x v="0"/>
    <s v="-"/>
    <x v="0"/>
    <s v="-"/>
    <s v="-"/>
    <s v="SI"/>
    <m/>
    <n v="1"/>
  </r>
  <r>
    <x v="9"/>
    <s v="LARA"/>
    <s v="CORPORACIÓN FIBEX TELECOM, C.A."/>
    <n v="2672573314"/>
    <s v="JOSE RENEE MACHADO FERREIRO"/>
    <n v="10843697"/>
    <x v="0"/>
    <s v="O&amp;M"/>
    <s v="LALESKA PEÑA"/>
    <x v="1"/>
    <s v="-"/>
    <x v="1"/>
    <d v="2025-12-01T00:00:00"/>
    <x v="0"/>
    <s v="-"/>
    <x v="0"/>
    <s v="-"/>
    <s v="-"/>
    <s v="SI"/>
    <m/>
    <n v="1"/>
  </r>
  <r>
    <x v="9"/>
    <s v="LARA"/>
    <s v="CORPORACIÓN FIBEX TELECOM, C.A."/>
    <n v="2672573314"/>
    <s v="KEOMA JESUS EDUARDO HERNANDEZ ROJAS"/>
    <n v="30146362"/>
    <x v="1"/>
    <s v="O&amp;M"/>
    <s v="LALESKA PEÑA"/>
    <x v="1"/>
    <s v="-"/>
    <x v="1"/>
    <d v="2025-12-01T00:00:00"/>
    <x v="0"/>
    <s v="-"/>
    <x v="0"/>
    <s v="-"/>
    <s v="-"/>
    <s v="SI"/>
    <m/>
    <n v="1"/>
  </r>
  <r>
    <x v="9"/>
    <s v="LARA"/>
    <s v="CORPORACIÓN FIBEX TELECOM, C.A."/>
    <n v="2672573314"/>
    <s v="KEVIN ANTONIO PRADO PENA"/>
    <n v="22333451"/>
    <x v="3"/>
    <s v="EMPALME"/>
    <s v="LALESKA PEÑA"/>
    <x v="1"/>
    <s v="-"/>
    <x v="1"/>
    <d v="2025-12-01T00:00:00"/>
    <x v="0"/>
    <s v="-"/>
    <x v="0"/>
    <s v="-"/>
    <s v="-"/>
    <s v="SI"/>
    <m/>
    <n v="1"/>
  </r>
  <r>
    <x v="9"/>
    <s v="LARA"/>
    <s v="CORPORACIÓN FIBEX TELECOM, C.A."/>
    <n v="2672573314"/>
    <s v="LALESKA BRIGGIT PEÑA VELASQUEZ "/>
    <n v="24418218"/>
    <x v="4"/>
    <s v="O&amp;M"/>
    <s v="LALESKA PEÑA"/>
    <x v="1"/>
    <s v="-"/>
    <x v="1"/>
    <d v="2025-12-01T00:00:00"/>
    <x v="0"/>
    <s v="-"/>
    <x v="0"/>
    <s v="-"/>
    <s v="-"/>
    <s v="SI"/>
    <m/>
    <n v="1"/>
  </r>
  <r>
    <x v="9"/>
    <s v="LARA"/>
    <s v="CORPORACIÓN FIBEX TELECOM, C.A."/>
    <n v="2672573314"/>
    <s v="LAURYMAR ELADIA LUQUE PEÑA"/>
    <n v="20924368"/>
    <x v="2"/>
    <s v="MDC"/>
    <s v="LALESKA PEÑA"/>
    <x v="1"/>
    <s v="-"/>
    <x v="0"/>
    <s v="-"/>
    <x v="0"/>
    <s v="-"/>
    <x v="0"/>
    <s v="-"/>
    <s v="-"/>
    <s v="SI"/>
    <m/>
    <n v="1"/>
  </r>
  <r>
    <x v="9"/>
    <s v="LARA"/>
    <s v="CORPORACIÓN FIBEX TELECOM, C.A."/>
    <n v="2672573314"/>
    <s v="MANUEL JOSE FIGUEROA FIGUEROA"/>
    <n v="25563223"/>
    <x v="2"/>
    <s v="CDR"/>
    <s v="LALESKA PEÑA"/>
    <x v="1"/>
    <s v="-"/>
    <x v="1"/>
    <d v="2025-12-01T00:00:00"/>
    <x v="0"/>
    <s v="-"/>
    <x v="0"/>
    <s v="-"/>
    <s v="-"/>
    <s v="SI"/>
    <m/>
    <n v="1"/>
  </r>
  <r>
    <x v="9"/>
    <s v="LARA"/>
    <s v="CORPORACIÓN FIBEX TELECOM, C.A."/>
    <n v="2672573314"/>
    <s v="MIRIALBER ALEJANDRA VASQUEZ VIELMA"/>
    <n v="20926533"/>
    <x v="2"/>
    <s v="O&amp;M"/>
    <s v="LALESKA PEÑA"/>
    <x v="1"/>
    <s v="-"/>
    <x v="1"/>
    <d v="2025-12-01T00:00:00"/>
    <x v="0"/>
    <s v="-"/>
    <x v="0"/>
    <s v="-"/>
    <s v="-"/>
    <s v="SI"/>
    <m/>
    <n v="1"/>
  </r>
  <r>
    <x v="9"/>
    <s v="LARA"/>
    <s v="CORPORACIÓN FIBEX TELECOM, C.A."/>
    <n v="2672573314"/>
    <s v="OMAR ABELARDO CAMACARO"/>
    <n v="16386133"/>
    <x v="1"/>
    <s v="O&amp;M"/>
    <s v="LALESKA PEÑA"/>
    <x v="1"/>
    <s v="-"/>
    <x v="1"/>
    <d v="2025-12-01T00:00:00"/>
    <x v="0"/>
    <s v="-"/>
    <x v="0"/>
    <s v="-"/>
    <s v="-"/>
    <s v="SI"/>
    <m/>
    <n v="1"/>
  </r>
  <r>
    <x v="9"/>
    <s v="LARA"/>
    <s v="CORPORACIÓN FIBEX TELECOM, C.A."/>
    <n v="2672573314"/>
    <s v="OSCAR JOSE RIVERO RODRIGUEZ"/>
    <n v="15730122"/>
    <x v="0"/>
    <s v="DOCUMENTACIÓN Y DISEÑO"/>
    <s v="LALESKA PEÑA"/>
    <x v="1"/>
    <s v="-"/>
    <x v="0"/>
    <s v="-"/>
    <x v="0"/>
    <s v="-"/>
    <x v="0"/>
    <s v="-"/>
    <s v="-"/>
    <s v="SI"/>
    <m/>
    <n v="1"/>
  </r>
  <r>
    <x v="9"/>
    <s v="LARA"/>
    <s v="CORPORACIÓN FIBEX TELECOM, C.A."/>
    <n v="2672573314"/>
    <s v="YON ELIMELEC SALAZAR CANELON"/>
    <n v="27142424"/>
    <x v="1"/>
    <s v="O&amp;M"/>
    <s v="LALESKA PEÑA"/>
    <x v="1"/>
    <s v="-"/>
    <x v="1"/>
    <d v="2025-12-01T00:00:00"/>
    <x v="0"/>
    <s v="-"/>
    <x v="0"/>
    <s v="-"/>
    <s v="-"/>
    <s v="SI"/>
    <m/>
    <n v="1"/>
  </r>
  <r>
    <x v="9"/>
    <s v="LARA"/>
    <s v="CORPORACIÓN FIBEX TELECOM, C.A."/>
    <n v="2672573314"/>
    <s v="YUANNI DIANETH HUERTA SUAREZ"/>
    <n v="16003925"/>
    <x v="2"/>
    <s v="MDC"/>
    <s v="LALESKA PEÑA"/>
    <x v="1"/>
    <s v="-"/>
    <x v="0"/>
    <s v="-"/>
    <x v="0"/>
    <s v="-"/>
    <x v="0"/>
    <s v="-"/>
    <s v="-"/>
    <s v="SI"/>
    <m/>
    <n v="1"/>
  </r>
  <r>
    <x v="10"/>
    <s v="MIRANDA"/>
    <s v="CORPORACIÓN FIBEX TELECOM, C.A."/>
    <n v="2672573314"/>
    <s v="CRISTHIAN  YSMAEL SALAZAR ANDRADE"/>
    <n v="18599101"/>
    <x v="3"/>
    <s v="O&amp;M"/>
    <s v="PENDIENTE INFORMACIÓN"/>
    <x v="1"/>
    <s v="-"/>
    <x v="1"/>
    <d v="2025-11-01T00:00:00"/>
    <x v="0"/>
    <s v="-"/>
    <x v="0"/>
    <s v="-"/>
    <s v="-"/>
    <s v="SI"/>
    <m/>
    <n v="1"/>
  </r>
  <r>
    <x v="10"/>
    <s v="MIRANDA"/>
    <s v="CORPORACIÓN FIBEX TELECOM, C.A."/>
    <n v="2672573314"/>
    <s v="JORGE LUIS  YANES ACOSTA"/>
    <n v="26089438"/>
    <x v="0"/>
    <s v="O&amp;M"/>
    <s v="PENDIENTE INFORMACIÓN"/>
    <x v="1"/>
    <s v="-"/>
    <x v="1"/>
    <d v="2025-11-01T00:00:00"/>
    <x v="0"/>
    <s v="-"/>
    <x v="0"/>
    <s v="-"/>
    <s v="-"/>
    <s v="SI"/>
    <m/>
    <n v="1"/>
  </r>
  <r>
    <x v="10"/>
    <s v="MIRANDA"/>
    <s v="CORPORACIÓN FIBEX TELECOM, C.A."/>
    <n v="2672573314"/>
    <s v="BEYKER JOSE NIMLIN MORALES"/>
    <n v="30264717"/>
    <x v="1"/>
    <s v="O&amp;M"/>
    <s v="PENDIENTE INFORMACIÓN"/>
    <x v="1"/>
    <s v="-"/>
    <x v="1"/>
    <d v="2025-11-01T00:00:00"/>
    <x v="0"/>
    <s v="-"/>
    <x v="0"/>
    <s v="-"/>
    <s v="-"/>
    <s v="SI"/>
    <m/>
    <n v="1"/>
  </r>
  <r>
    <x v="11"/>
    <s v="MONAGAS"/>
    <s v="CORPORACIÓN FIBEX TELECOM, C.A."/>
    <n v="2672573314"/>
    <s v="JHONNY JESUS RONDON CORDOVA"/>
    <n v="18926859"/>
    <x v="0"/>
    <s v="O&amp;M"/>
    <s v="PENDIENTE INFORMACIÓN"/>
    <x v="1"/>
    <s v="-"/>
    <x v="1"/>
    <d v="2025-11-01T00:00:00"/>
    <x v="0"/>
    <s v="-"/>
    <x v="0"/>
    <s v="-"/>
    <s v="-"/>
    <s v="SI"/>
    <m/>
    <n v="1"/>
  </r>
  <r>
    <x v="11"/>
    <s v="MONAGAS"/>
    <s v="CORPORACIÓN FIBEX TELECOM, C.A."/>
    <n v="2672573314"/>
    <s v="JOSE ALBERTO VELASQUEZ DEPABLOS"/>
    <n v="14993247"/>
    <x v="1"/>
    <s v="O&amp;M"/>
    <s v="PENDIENTE INFORMACIÓN"/>
    <x v="1"/>
    <s v="-"/>
    <x v="1"/>
    <d v="2025-11-01T00:00:00"/>
    <x v="0"/>
    <s v="-"/>
    <x v="0"/>
    <s v="-"/>
    <s v="-"/>
    <s v="SI"/>
    <m/>
    <n v="1"/>
  </r>
  <r>
    <x v="11"/>
    <s v="MONAGAS"/>
    <s v="CORPORACIÓN FIBEX TELECOM, C.A."/>
    <n v="2672573314"/>
    <s v="JUAN EDUARDO CESIN LUCES"/>
    <n v="22722734"/>
    <x v="1"/>
    <s v="O&amp;M"/>
    <s v="PENDIENTE INFORMACIÓN"/>
    <x v="1"/>
    <s v="-"/>
    <x v="1"/>
    <d v="2025-11-01T00:00:00"/>
    <x v="0"/>
    <s v="-"/>
    <x v="0"/>
    <s v="-"/>
    <s v="-"/>
    <s v="SI"/>
    <m/>
    <n v="1"/>
  </r>
  <r>
    <x v="11"/>
    <s v="MONAGAS"/>
    <s v="CORPORACIÓN FIBEX TELECOM, C.A."/>
    <n v="2672573314"/>
    <s v="JEAN MANUEL MOUSSA CABELLO"/>
    <n v="17754635"/>
    <x v="1"/>
    <s v="O&amp;M"/>
    <s v="PENDIENTE INFORMACIÓN"/>
    <x v="1"/>
    <s v="-"/>
    <x v="0"/>
    <s v="-"/>
    <x v="0"/>
    <s v="-"/>
    <x v="0"/>
    <s v="-"/>
    <s v="-"/>
    <s v="SI"/>
    <m/>
    <n v="1"/>
  </r>
  <r>
    <x v="11"/>
    <s v="MONAGAS"/>
    <s v="CORPORACIÓN FIBEX TELECOM, C.A."/>
    <n v="2672573314"/>
    <s v="ELVIS LEONARDO RAMOS SALAZAR"/>
    <n v="14859200"/>
    <x v="0"/>
    <s v="O&amp;M"/>
    <s v="PENDIENTE INFORMACIÓN"/>
    <x v="1"/>
    <s v="-"/>
    <x v="1"/>
    <d v="2025-11-01T00:00:00"/>
    <x v="0"/>
    <s v="-"/>
    <x v="0"/>
    <s v="-"/>
    <s v="-"/>
    <s v="SI"/>
    <m/>
    <n v="1"/>
  </r>
  <r>
    <x v="11"/>
    <s v="MONAGAS"/>
    <s v="CORPORACIÓN FIBEX TELECOM, C.A."/>
    <n v="2672573314"/>
    <s v="FERNANDO ANTONIO RAMOS GARCIA"/>
    <n v="25265091"/>
    <x v="1"/>
    <s v="O&amp;M"/>
    <s v="PENDIENTE INFORMACIÓN"/>
    <x v="1"/>
    <s v="-"/>
    <x v="1"/>
    <d v="2025-11-01T00:00:00"/>
    <x v="0"/>
    <s v="-"/>
    <x v="0"/>
    <s v="-"/>
    <s v="-"/>
    <s v="SI"/>
    <m/>
    <n v="1"/>
  </r>
  <r>
    <x v="11"/>
    <s v="MONAGAS"/>
    <s v="CORPORACIÓN FIBEX TELECOM, C.A."/>
    <n v="2672573314"/>
    <s v="DOMINGO RAFAEL MARTINEZ GUZMAN"/>
    <n v="17486584"/>
    <x v="1"/>
    <s v="O&amp;M"/>
    <s v="PENDIENTE INFORMACIÓN"/>
    <x v="1"/>
    <s v="-"/>
    <x v="1"/>
    <d v="2025-11-01T00:00:00"/>
    <x v="0"/>
    <s v="-"/>
    <x v="0"/>
    <s v="-"/>
    <s v="-"/>
    <s v="SI"/>
    <m/>
    <n v="1"/>
  </r>
  <r>
    <x v="12"/>
    <s v="NUEVA ESPARTA"/>
    <s v="CORPORACIÓN FIBEX TELECOM, C.A."/>
    <n v="2672573314"/>
    <s v="AARON RAFAEL CHACON OLIVERO"/>
    <n v="30008746"/>
    <x v="0"/>
    <s v="O&amp;M"/>
    <s v="FRANCISCO VALDERRAMA"/>
    <x v="1"/>
    <s v="-"/>
    <x v="1"/>
    <d v="2025-11-01T00:00:00"/>
    <x v="0"/>
    <s v="-"/>
    <x v="0"/>
    <s v="-"/>
    <s v="SI"/>
    <s v="SI"/>
    <m/>
    <n v="1"/>
  </r>
  <r>
    <x v="12"/>
    <s v="NUEVA ESPARTA"/>
    <s v="CORPORACIÓN FIBEX TELECOM, C.A."/>
    <n v="2672573314"/>
    <s v="ALBERT JOSE FARIAS  SIERRA"/>
    <n v="28166432"/>
    <x v="2"/>
    <s v="MDC"/>
    <s v="FRANCISCO VALDERRAMA"/>
    <x v="1"/>
    <s v="-"/>
    <x v="0"/>
    <s v="-"/>
    <x v="0"/>
    <s v="-"/>
    <x v="0"/>
    <s v="-"/>
    <s v="SI"/>
    <s v="SI"/>
    <m/>
    <n v="1"/>
  </r>
  <r>
    <x v="12"/>
    <s v="NUEVA ESPARTA"/>
    <s v="CORPORACIÓN FIBEX TELECOM, C.A."/>
    <n v="2672573314"/>
    <s v="ANDRES RAFAEL VALDIVIEZO TORMES"/>
    <n v="28468116"/>
    <x v="1"/>
    <s v="O&amp;M"/>
    <s v="FRANCISCO VALDERRAMA"/>
    <x v="1"/>
    <s v="-"/>
    <x v="1"/>
    <d v="2025-11-01T00:00:00"/>
    <x v="0"/>
    <s v="-"/>
    <x v="0"/>
    <s v="-"/>
    <s v="SI"/>
    <s v="SI"/>
    <m/>
    <n v="1"/>
  </r>
  <r>
    <x v="12"/>
    <s v="NUEVA ESPARTA"/>
    <s v="CORPORACIÓN FIBEX TELECOM, C.A."/>
    <n v="2672573314"/>
    <s v="BRAYAN MOISES VALDEZ GARCIA"/>
    <n v="23182127"/>
    <x v="0"/>
    <s v="O&amp;M"/>
    <s v="FRANCISCO VALDERRAMA"/>
    <x v="1"/>
    <s v="-"/>
    <x v="1"/>
    <d v="2025-11-01T00:00:00"/>
    <x v="0"/>
    <s v="-"/>
    <x v="0"/>
    <s v="-"/>
    <s v="SI"/>
    <s v="SI"/>
    <m/>
    <n v="1"/>
  </r>
  <r>
    <x v="12"/>
    <s v="NUEVA ESPARTA"/>
    <s v="CORPORACIÓN FIBEX TELECOM, C.A."/>
    <n v="2672573314"/>
    <s v="CARLOS JAVIER HAMANA PINO"/>
    <n v="27650985"/>
    <x v="3"/>
    <s v="O&amp;M"/>
    <s v="FRANCISCO VALDERRAMA"/>
    <x v="1"/>
    <s v="-"/>
    <x v="1"/>
    <d v="2025-11-01T00:00:00"/>
    <x v="0"/>
    <s v="-"/>
    <x v="0"/>
    <s v="-"/>
    <s v="SI"/>
    <s v="SI"/>
    <m/>
    <n v="1"/>
  </r>
  <r>
    <x v="12"/>
    <s v="NUEVA ESPARTA"/>
    <s v="CORPORACIÓN FIBEX TELECOM, C.A."/>
    <n v="2672573314"/>
    <s v="DANIEL ALEJANDRO SALINAS SALAZAR"/>
    <n v="27899805"/>
    <x v="2"/>
    <s v="MDC"/>
    <s v="FRANCISCO VALDERRAMA"/>
    <x v="1"/>
    <s v="-"/>
    <x v="0"/>
    <s v="-"/>
    <x v="0"/>
    <s v="-"/>
    <x v="0"/>
    <s v="-"/>
    <s v="NO"/>
    <s v="SI"/>
    <m/>
    <n v="1"/>
  </r>
  <r>
    <x v="12"/>
    <s v="NUEVA ESPARTA"/>
    <s v="CORPORACIÓN FIBEX TELECOM, C.A."/>
    <n v="2672573314"/>
    <s v="FRANCISCO ALBERTO VALDERRAMA SALAZAR"/>
    <n v="25097186"/>
    <x v="4"/>
    <s v="O&amp;M"/>
    <s v="FRANCISCO VALDERRAMA"/>
    <x v="1"/>
    <s v="-"/>
    <x v="1"/>
    <d v="2025-11-01T00:00:00"/>
    <x v="0"/>
    <s v="-"/>
    <x v="0"/>
    <s v="-"/>
    <s v="SI"/>
    <s v="SI"/>
    <m/>
    <n v="1"/>
  </r>
  <r>
    <x v="12"/>
    <s v="NUEVA ESPARTA"/>
    <s v="CORPORACIÓN FIBEX TELECOM, C.A."/>
    <n v="2672573314"/>
    <s v="FREDDY NICOLAS RAMOS MARCANO"/>
    <n v="16546352"/>
    <x v="0"/>
    <s v="MDC"/>
    <s v="FRANCISCO VALDERRAMA"/>
    <x v="1"/>
    <s v="-"/>
    <x v="1"/>
    <d v="2025-11-01T00:00:00"/>
    <x v="0"/>
    <s v="-"/>
    <x v="0"/>
    <s v="-"/>
    <s v="SI"/>
    <s v="SI"/>
    <m/>
    <n v="1"/>
  </r>
  <r>
    <x v="12"/>
    <s v="NUEVA ESPARTA"/>
    <s v="CORPORACIÓN FIBEX TELECOM, C.A."/>
    <n v="2672573314"/>
    <s v="GERMAIN RODOLFO GONZALEZ LOPEZ"/>
    <n v="10877686"/>
    <x v="1"/>
    <s v="O&amp;M"/>
    <s v="FRANCISCO VALDERRAMA"/>
    <x v="1"/>
    <s v="-"/>
    <x v="1"/>
    <d v="2025-11-01T00:00:00"/>
    <x v="0"/>
    <s v="-"/>
    <x v="0"/>
    <s v="-"/>
    <s v="SI"/>
    <s v="SI"/>
    <m/>
    <n v="1"/>
  </r>
  <r>
    <x v="12"/>
    <s v="NUEVA ESPARTA"/>
    <s v="CORPORACIÓN FIBEX TELECOM, C.A."/>
    <n v="2672573314"/>
    <s v="JESUS ANDRES RAMIREZ ROMERO"/>
    <n v="25877580"/>
    <x v="0"/>
    <s v="O&amp;M"/>
    <s v="FRANCISCO VALDERRAMA"/>
    <x v="1"/>
    <s v="-"/>
    <x v="1"/>
    <d v="2025-11-01T00:00:00"/>
    <x v="0"/>
    <s v="-"/>
    <x v="0"/>
    <s v="-"/>
    <s v="SI"/>
    <s v="SI"/>
    <m/>
    <n v="1"/>
  </r>
  <r>
    <x v="12"/>
    <s v="NUEVA ESPARTA"/>
    <s v="CORPORACIÓN FIBEX TELECOM, C.A."/>
    <n v="2672573314"/>
    <s v="JESUS RAFAEL MATA MARCANO"/>
    <n v="11537163"/>
    <x v="0"/>
    <s v="O&amp;M"/>
    <s v="FRANCISCO VALDERRAMA"/>
    <x v="1"/>
    <s v="-"/>
    <x v="1"/>
    <d v="2025-11-01T00:00:00"/>
    <x v="0"/>
    <s v="-"/>
    <x v="0"/>
    <s v="-"/>
    <s v="SI"/>
    <s v="SI"/>
    <m/>
    <n v="1"/>
  </r>
  <r>
    <x v="12"/>
    <s v="NUEVA ESPARTA"/>
    <s v="CORPORACIÓN FIBEX TELECOM, C.A."/>
    <n v="2672573314"/>
    <s v="JORGE LUIS NUNEZ AGUILERA"/>
    <n v="18788988"/>
    <x v="1"/>
    <s v="O&amp;M"/>
    <s v="FRANCISCO VALDERRAMA"/>
    <x v="1"/>
    <s v="-"/>
    <x v="1"/>
    <d v="2025-11-01T00:00:00"/>
    <x v="0"/>
    <s v="-"/>
    <x v="0"/>
    <s v="-"/>
    <s v="SI"/>
    <s v="SI"/>
    <m/>
    <n v="1"/>
  </r>
  <r>
    <x v="12"/>
    <s v="NUEVA ESPARTA"/>
    <s v="CORPORACIÓN FIBEX TELECOM, C.A."/>
    <n v="2672573314"/>
    <s v="JUAN PABLO LOPEZ MARCANO"/>
    <n v="30441499"/>
    <x v="1"/>
    <s v="O&amp;M"/>
    <s v="FRANCISCO VALDERRAMA"/>
    <x v="1"/>
    <s v="-"/>
    <x v="1"/>
    <d v="2025-11-01T00:00:00"/>
    <x v="0"/>
    <s v="-"/>
    <x v="0"/>
    <s v="-"/>
    <s v="SI"/>
    <s v="SI"/>
    <m/>
    <n v="1"/>
  </r>
  <r>
    <x v="12"/>
    <s v="NUEVA ESPARTA"/>
    <s v="CORPORACIÓN FIBEX TELECOM, C.A."/>
    <n v="2672573314"/>
    <s v="MARCOS ALI CHACON MARCANO"/>
    <n v="12672190"/>
    <x v="0"/>
    <s v="O&amp;M"/>
    <s v="FRANCISCO VALDERRAMA"/>
    <x v="1"/>
    <s v="-"/>
    <x v="1"/>
    <d v="2025-11-01T00:00:00"/>
    <x v="0"/>
    <s v="-"/>
    <x v="0"/>
    <s v="-"/>
    <s v="SI"/>
    <s v="SI"/>
    <m/>
    <n v="1"/>
  </r>
  <r>
    <x v="12"/>
    <s v="NUEVA ESPARTA"/>
    <s v="CORPORACIÓN FIBEX TELECOM, C.A."/>
    <n v="2672573314"/>
    <s v="NANYOR ENRIQUE ABACHE LOZADA"/>
    <n v="18215038"/>
    <x v="1"/>
    <s v="O&amp;M"/>
    <s v="FRANCISCO VALDERRAMA"/>
    <x v="1"/>
    <s v="-"/>
    <x v="1"/>
    <d v="2025-11-01T00:00:00"/>
    <x v="0"/>
    <s v="-"/>
    <x v="0"/>
    <s v="-"/>
    <s v="SI"/>
    <s v="SI"/>
    <m/>
    <n v="1"/>
  </r>
  <r>
    <x v="12"/>
    <s v="NUEVA ESPARTA"/>
    <s v="CORPORACIÓN FIBEX TELECOM, C.A."/>
    <n v="2672573314"/>
    <s v="NIUMAR MANUEL MATA VERA"/>
    <n v="12393177"/>
    <x v="0"/>
    <s v="O&amp;M"/>
    <s v="FRANCISCO VALDERRAMA"/>
    <x v="1"/>
    <s v="-"/>
    <x v="1"/>
    <d v="2025-11-01T00:00:00"/>
    <x v="0"/>
    <s v="-"/>
    <x v="0"/>
    <s v="-"/>
    <s v="SI"/>
    <s v="SI"/>
    <m/>
    <n v="1"/>
  </r>
  <r>
    <x v="12"/>
    <s v="NUEVA ESPARTA"/>
    <s v="CORPORACIÓN FIBEX TELECOM, C.A."/>
    <n v="2672573314"/>
    <s v="RUBEN DAVID CANAS ROSADO"/>
    <n v="26778197"/>
    <x v="0"/>
    <s v="O&amp;M"/>
    <s v="FRANCISCO VALDERRAMA"/>
    <x v="1"/>
    <s v="-"/>
    <x v="1"/>
    <d v="2025-11-01T00:00:00"/>
    <x v="0"/>
    <s v="-"/>
    <x v="0"/>
    <s v="-"/>
    <s v="SI"/>
    <s v="SI"/>
    <m/>
    <n v="1"/>
  </r>
  <r>
    <x v="12"/>
    <s v="NUEVA ESPARTA"/>
    <s v="CORPORACIÓN FIBEX TELECOM, C.A."/>
    <n v="2672573314"/>
    <s v="WILLIAMS ELIESER ROMERO BARELA"/>
    <n v="12032334"/>
    <x v="1"/>
    <s v="O&amp;M"/>
    <s v="FRANCISCO VALDERRAMA"/>
    <x v="1"/>
    <s v="-"/>
    <x v="1"/>
    <d v="2025-11-01T00:00:00"/>
    <x v="0"/>
    <s v="-"/>
    <x v="0"/>
    <s v="-"/>
    <s v="SI"/>
    <s v="SI"/>
    <m/>
    <n v="1"/>
  </r>
  <r>
    <x v="13"/>
    <s v="SUCRE"/>
    <s v="CORPORACIÓN FIBEX TELECOM, C.A."/>
    <n v="2672573314"/>
    <s v="ANGEL DAVID ALVAREZ CORDOBA"/>
    <n v="27288190"/>
    <x v="0"/>
    <s v="MDC"/>
    <s v="HASSAN CARVAJAL"/>
    <x v="0"/>
    <d v="2025-04-01T00:00:00"/>
    <x v="1"/>
    <d v="2025-11-01T00:00:00"/>
    <x v="0"/>
    <s v="-"/>
    <x v="0"/>
    <s v="-"/>
    <s v="-"/>
    <s v="SI"/>
    <m/>
    <n v="1"/>
  </r>
  <r>
    <x v="13"/>
    <s v="SUCRE"/>
    <s v="CORPORACIÓN FIBEX TELECOM, C.A."/>
    <n v="2672573314"/>
    <s v="BARBARA BETANIA GONZALEZ REYES"/>
    <n v="19238197"/>
    <x v="2"/>
    <s v="MDC"/>
    <s v="HASSAN CARVAJAL"/>
    <x v="1"/>
    <s v="-"/>
    <x v="0"/>
    <s v="-"/>
    <x v="0"/>
    <s v="-"/>
    <x v="0"/>
    <s v="-"/>
    <s v="-"/>
    <s v="SI"/>
    <m/>
    <n v="1"/>
  </r>
  <r>
    <x v="13"/>
    <s v="SUCRE"/>
    <s v="CORPORACIÓN FIBEX TELECOM, C.A."/>
    <n v="2672573314"/>
    <s v="DANIEL RAFAEL CALVO VELASQUEZ"/>
    <n v="18212648"/>
    <x v="1"/>
    <s v="O&amp;M"/>
    <s v="HASSAN CARVAJAL"/>
    <x v="0"/>
    <d v="2025-04-01T00:00:00"/>
    <x v="1"/>
    <d v="2025-11-01T00:00:00"/>
    <x v="0"/>
    <s v="-"/>
    <x v="0"/>
    <s v="-"/>
    <s v="-"/>
    <s v="SI"/>
    <m/>
    <n v="1"/>
  </r>
  <r>
    <x v="13"/>
    <s v="SUCRE"/>
    <s v="CORPORACIÓN FIBEX TELECOM, C.A."/>
    <n v="2672573314"/>
    <s v="ELUIS JOSE MADRID CARVAJA"/>
    <n v="18077227"/>
    <x v="1"/>
    <s v="O&amp;M"/>
    <s v="HASSAN CARVAJAL"/>
    <x v="1"/>
    <s v="-"/>
    <x v="1"/>
    <d v="2025-11-01T00:00:00"/>
    <x v="0"/>
    <s v="-"/>
    <x v="0"/>
    <s v="-"/>
    <s v="-"/>
    <s v="SI"/>
    <m/>
    <n v="1"/>
  </r>
  <r>
    <x v="13"/>
    <s v="SUCRE"/>
    <s v="CORPORACIÓN FIBEX TELECOM, C.A."/>
    <n v="2672573314"/>
    <s v="FERNANDO LUIS MEAÑO VEGA"/>
    <n v="28401512"/>
    <x v="1"/>
    <s v="O&amp;M"/>
    <s v="HASSAN CARVAJAL"/>
    <x v="1"/>
    <s v="-"/>
    <x v="1"/>
    <d v="2025-11-01T00:00:00"/>
    <x v="0"/>
    <s v="-"/>
    <x v="0"/>
    <s v="-"/>
    <s v="-"/>
    <s v="SI"/>
    <m/>
    <n v="1"/>
  </r>
  <r>
    <x v="13"/>
    <s v="SUCRE"/>
    <s v="CORPORACIÓN FIBEX TELECOM, C.A."/>
    <n v="2672573314"/>
    <s v="FIDEL ALEJANDRO FERMIN FEBRES"/>
    <n v="19346250"/>
    <x v="0"/>
    <s v="IMPLEMENTACION"/>
    <s v="HASSAN CARVAJAL"/>
    <x v="0"/>
    <d v="2025-04-01T00:00:00"/>
    <x v="1"/>
    <d v="2025-11-01T00:00:00"/>
    <x v="0"/>
    <s v="-"/>
    <x v="0"/>
    <s v="-"/>
    <s v="-"/>
    <s v="SI"/>
    <m/>
    <n v="1"/>
  </r>
  <r>
    <x v="13"/>
    <s v="SUCRE"/>
    <s v="CORPORACIÓN FIBEX TELECOM, C.A."/>
    <n v="2672573314"/>
    <s v="GABRIEL ENRIQUE CHIRINOS CHIRINOS"/>
    <n v="17763315"/>
    <x v="0"/>
    <s v="O&amp;M"/>
    <s v="HASSAN CARVAJAL"/>
    <x v="0"/>
    <d v="2025-04-01T00:00:00"/>
    <x v="1"/>
    <d v="2025-11-01T00:00:00"/>
    <x v="0"/>
    <s v="-"/>
    <x v="0"/>
    <s v="-"/>
    <s v="-"/>
    <s v="SI"/>
    <m/>
    <n v="1"/>
  </r>
  <r>
    <x v="13"/>
    <s v="SUCRE"/>
    <s v="CORPORACIÓN FIBEX TELECOM, C.A."/>
    <n v="2672573314"/>
    <s v="GONZALEZ PEREIRA, JAVIER DAVID"/>
    <n v="17446806"/>
    <x v="3"/>
    <s v="EMPALME"/>
    <s v="HASSAN CARVAJAL"/>
    <x v="1"/>
    <s v="-"/>
    <x v="0"/>
    <s v="-"/>
    <x v="0"/>
    <s v="-"/>
    <x v="0"/>
    <s v="-"/>
    <s v="-"/>
    <s v="SI"/>
    <m/>
    <n v="1"/>
  </r>
  <r>
    <x v="13"/>
    <s v="SUCRE"/>
    <s v="CORPORACIÓN FIBEX TELECOM, C.A."/>
    <n v="2672573314"/>
    <s v="HASSAN GIOMAR CARVAJAL ZAMORA"/>
    <n v="24849178"/>
    <x v="4"/>
    <s v="O&amp;M"/>
    <s v="HASSAN CARVAJAL"/>
    <x v="0"/>
    <d v="2025-04-01T00:00:00"/>
    <x v="1"/>
    <d v="2025-11-01T00:00:00"/>
    <x v="0"/>
    <s v="-"/>
    <x v="0"/>
    <s v="-"/>
    <s v="-"/>
    <s v="SI"/>
    <m/>
    <n v="1"/>
  </r>
  <r>
    <x v="13"/>
    <s v="SUCRE"/>
    <s v="CORPORACIÓN FIBEX TELECOM, C.A."/>
    <n v="2672573314"/>
    <s v="JEANPIERE JESUS MALAVE CEDEÑO"/>
    <n v="26108367"/>
    <x v="1"/>
    <s v="O&amp;M"/>
    <s v="HASSAN CARVAJAL"/>
    <x v="0"/>
    <d v="2025-04-01T00:00:00"/>
    <x v="1"/>
    <d v="2025-11-01T00:00:00"/>
    <x v="0"/>
    <s v="-"/>
    <x v="0"/>
    <s v="-"/>
    <s v="-"/>
    <s v="SI"/>
    <m/>
    <n v="1"/>
  </r>
  <r>
    <x v="13"/>
    <s v="SUCRE"/>
    <s v="CORPORACIÓN FIBEX TELECOM, C.A."/>
    <n v="2672573314"/>
    <s v="JESUS EMILIO  ROMERO  AGREDA"/>
    <n v="28242185"/>
    <x v="1"/>
    <s v="O&amp;M"/>
    <s v="HASSAN CARVAJAL"/>
    <x v="1"/>
    <s v="-"/>
    <x v="1"/>
    <d v="2025-11-01T00:00:00"/>
    <x v="0"/>
    <s v="-"/>
    <x v="0"/>
    <s v="-"/>
    <s v="-"/>
    <s v="SI"/>
    <m/>
    <n v="1"/>
  </r>
  <r>
    <x v="13"/>
    <s v="SUCRE"/>
    <s v="CORPORACIÓN FIBEX TELECOM, C.A."/>
    <n v="2672573314"/>
    <s v="JESUS GABRIEL MARQUEZ FUENTES"/>
    <n v="20574497"/>
    <x v="1"/>
    <s v="O&amp;M"/>
    <s v="HASSAN CARVAJAL"/>
    <x v="1"/>
    <s v="-"/>
    <x v="1"/>
    <d v="2025-11-01T00:00:00"/>
    <x v="0"/>
    <s v="-"/>
    <x v="0"/>
    <s v="-"/>
    <s v="-"/>
    <s v="SI"/>
    <m/>
    <n v="1"/>
  </r>
  <r>
    <x v="13"/>
    <s v="SUCRE"/>
    <s v="CORPORACIÓN FIBEX TELECOM, C.A."/>
    <n v="2672573314"/>
    <s v="JESUS RAFAEL APONTE JIMENEZ"/>
    <n v="28614058"/>
    <x v="1"/>
    <s v="O&amp;M"/>
    <s v="HASSAN CARVAJAL"/>
    <x v="1"/>
    <s v="-"/>
    <x v="1"/>
    <d v="2025-11-01T00:00:00"/>
    <x v="0"/>
    <s v="-"/>
    <x v="0"/>
    <s v="-"/>
    <s v="-"/>
    <s v="SI"/>
    <m/>
    <n v="1"/>
  </r>
  <r>
    <x v="13"/>
    <s v="SUCRE"/>
    <s v="CORPORACIÓN FIBEX TELECOM, C.A."/>
    <n v="2672573314"/>
    <s v="JORGER DAVID RODRIGUEZ SOUSS"/>
    <n v="25528094"/>
    <x v="1"/>
    <s v="IMPLEMENTACION"/>
    <s v="HASSAN CARVAJAL"/>
    <x v="0"/>
    <d v="2025-04-01T00:00:00"/>
    <x v="1"/>
    <d v="2025-11-01T00:00:00"/>
    <x v="0"/>
    <s v="-"/>
    <x v="0"/>
    <s v="-"/>
    <s v="-"/>
    <s v="SI"/>
    <m/>
    <n v="1"/>
  </r>
  <r>
    <x v="13"/>
    <s v="SUCRE"/>
    <s v="CORPORACIÓN FIBEX TELECOM, C.A."/>
    <n v="2672573314"/>
    <s v="JOSE ALEJANDRO CASTELLAR PEREDA"/>
    <n v="19893313"/>
    <x v="1"/>
    <s v="O&amp;M"/>
    <s v="HASSAN CARVAJAL"/>
    <x v="1"/>
    <s v="-"/>
    <x v="1"/>
    <d v="2025-11-01T00:00:00"/>
    <x v="0"/>
    <s v="-"/>
    <x v="0"/>
    <s v="-"/>
    <s v="-"/>
    <s v="SI"/>
    <m/>
    <n v="1"/>
  </r>
  <r>
    <x v="13"/>
    <s v="SUCRE"/>
    <s v="CORPORACIÓN FIBEX TELECOM, C.A."/>
    <n v="2672573314"/>
    <s v="JOSE ANTONIO  APARICIO GIL"/>
    <n v="21398841"/>
    <x v="0"/>
    <s v="O&amp;M"/>
    <s v="HASSAN CARVAJAL"/>
    <x v="1"/>
    <s v="-"/>
    <x v="1"/>
    <d v="2025-11-01T00:00:00"/>
    <x v="0"/>
    <s v="-"/>
    <x v="0"/>
    <s v="-"/>
    <s v="-"/>
    <s v="SI"/>
    <m/>
    <n v="1"/>
  </r>
  <r>
    <x v="13"/>
    <s v="SUCRE"/>
    <s v="CORPORACIÓN FIBEX TELECOM, C.A."/>
    <n v="2672573314"/>
    <s v="JUAN JOSE CABEZA MILLAN"/>
    <n v="16703470"/>
    <x v="0"/>
    <s v="O&amp;M"/>
    <s v="HASSAN CARVAJAL"/>
    <x v="1"/>
    <s v="-"/>
    <x v="1"/>
    <d v="2025-11-01T00:00:00"/>
    <x v="0"/>
    <s v="-"/>
    <x v="0"/>
    <s v="-"/>
    <s v="-"/>
    <s v="SI"/>
    <m/>
    <n v="1"/>
  </r>
  <r>
    <x v="13"/>
    <s v="SUCRE"/>
    <s v="CORPORACIÓN FIBEX TELECOM, C.A."/>
    <n v="2672573314"/>
    <s v="LUIS DANIEL PATINO PATINO"/>
    <n v="15612027"/>
    <x v="0"/>
    <s v="O&amp;M"/>
    <s v="HASSAN CARVAJAL"/>
    <x v="0"/>
    <d v="2025-04-01T00:00:00"/>
    <x v="1"/>
    <d v="2025-11-01T00:00:00"/>
    <x v="0"/>
    <s v="-"/>
    <x v="0"/>
    <s v="-"/>
    <s v="-"/>
    <s v="SI"/>
    <m/>
    <n v="1"/>
  </r>
  <r>
    <x v="13"/>
    <s v="SUCRE"/>
    <s v="CORPORACIÓN FIBEX TELECOM, C.A."/>
    <n v="2672573314"/>
    <s v="LUIS MIGUEL MARIN ARIAS"/>
    <n v="27897019"/>
    <x v="0"/>
    <s v="MDC"/>
    <s v="HASSAN CARVAJAL"/>
    <x v="0"/>
    <d v="2025-04-01T00:00:00"/>
    <x v="1"/>
    <d v="2025-11-01T00:00:00"/>
    <x v="0"/>
    <s v="-"/>
    <x v="0"/>
    <s v="-"/>
    <s v="-"/>
    <s v="SI"/>
    <m/>
    <n v="1"/>
  </r>
  <r>
    <x v="13"/>
    <s v="SUCRE"/>
    <s v="CORPORACIÓN FIBEX TELECOM, C.A."/>
    <n v="2672573314"/>
    <s v="MANUEL ALEJANDRO ZABALA ZABALA"/>
    <n v="28383462"/>
    <x v="1"/>
    <s v="O&amp;M"/>
    <s v="HASSAN CARVAJAL"/>
    <x v="1"/>
    <s v="-"/>
    <x v="1"/>
    <d v="2025-11-01T00:00:00"/>
    <x v="0"/>
    <s v="-"/>
    <x v="0"/>
    <s v="-"/>
    <s v="-"/>
    <s v="SI"/>
    <m/>
    <n v="1"/>
  </r>
  <r>
    <x v="13"/>
    <s v="SUCRE"/>
    <s v="CORPORACIÓN FIBEX TELECOM, C.A."/>
    <n v="2672573314"/>
    <s v="MANUEL DAVID TORRES SANTIAGO"/>
    <n v="20358418"/>
    <x v="1"/>
    <s v="O&amp;M"/>
    <s v="HASSAN CARVAJAL"/>
    <x v="1"/>
    <s v="-"/>
    <x v="1"/>
    <d v="2025-11-01T00:00:00"/>
    <x v="0"/>
    <s v="-"/>
    <x v="0"/>
    <s v="-"/>
    <s v="-"/>
    <s v="SI"/>
    <m/>
    <n v="1"/>
  </r>
  <r>
    <x v="13"/>
    <s v="SUCRE"/>
    <s v="CORPORACIÓN FIBEX TELECOM, C.A."/>
    <n v="2672573314"/>
    <s v="MARIA GABRIELA BRITO BRITO"/>
    <n v="24873145"/>
    <x v="2"/>
    <s v="MDC"/>
    <s v="HASSAN CARVAJAL"/>
    <x v="1"/>
    <s v="-"/>
    <x v="0"/>
    <s v="-"/>
    <x v="0"/>
    <s v="-"/>
    <x v="0"/>
    <s v="-"/>
    <s v="-"/>
    <s v="SI"/>
    <m/>
    <n v="1"/>
  </r>
  <r>
    <x v="13"/>
    <s v="SUCRE"/>
    <s v="CORPORACIÓN FIBEX TELECOM, C.A."/>
    <n v="2672573314"/>
    <s v="RAFAEL ANTONIO GUTIERREZ VELASQUEZ"/>
    <n v="17539249"/>
    <x v="3"/>
    <s v="O&amp;M"/>
    <s v="HASSAN CARVAJAL"/>
    <x v="0"/>
    <d v="2025-04-01T00:00:00"/>
    <x v="1"/>
    <d v="2025-11-01T00:00:00"/>
    <x v="0"/>
    <s v="-"/>
    <x v="0"/>
    <s v="-"/>
    <s v="-"/>
    <s v="SI"/>
    <m/>
    <n v="1"/>
  </r>
  <r>
    <x v="13"/>
    <s v="SUCRE"/>
    <s v="CORPORACIÓN FIBEX TELECOM, C.A."/>
    <n v="2672573314"/>
    <s v="REINALDO RAMON PATIÑO ESPINOZA"/>
    <n v="18212884"/>
    <x v="1"/>
    <s v="O&amp;M"/>
    <s v="HASSAN CARVAJAL"/>
    <x v="1"/>
    <s v="-"/>
    <x v="1"/>
    <d v="2025-11-01T00:00:00"/>
    <x v="0"/>
    <s v="-"/>
    <x v="0"/>
    <s v="-"/>
    <s v="-"/>
    <s v="SI"/>
    <m/>
    <n v="1"/>
  </r>
  <r>
    <x v="13"/>
    <s v="SUCRE"/>
    <s v="CORPORACIÓN FIBEX TELECOM, C.A."/>
    <n v="2672573314"/>
    <s v="SAMUEL DAVID CURA RIVAS"/>
    <n v="25897770"/>
    <x v="0"/>
    <s v="IMPLEMENTACION"/>
    <s v="HASSAN CARVAJAL"/>
    <x v="0"/>
    <d v="2025-04-01T00:00:00"/>
    <x v="1"/>
    <d v="2025-11-01T00:00:00"/>
    <x v="0"/>
    <s v="-"/>
    <x v="0"/>
    <s v="-"/>
    <s v="-"/>
    <s v="SI"/>
    <m/>
    <n v="1"/>
  </r>
  <r>
    <x v="13"/>
    <s v="SUCRE"/>
    <s v="CORPORACIÓN FIBEX TELECOM, C.A."/>
    <n v="2672573314"/>
    <s v="VICTOR MANUEL FIGUEROA RODRIGUEZ"/>
    <n v="26704442"/>
    <x v="1"/>
    <s v="IMPLEMENTACION"/>
    <s v="HASSAN CARVAJAL"/>
    <x v="0"/>
    <d v="2025-04-01T00:00:00"/>
    <x v="1"/>
    <d v="2025-11-01T00:00:00"/>
    <x v="0"/>
    <s v="-"/>
    <x v="0"/>
    <s v="-"/>
    <s v="-"/>
    <s v="SI"/>
    <m/>
    <n v="1"/>
  </r>
  <r>
    <x v="13"/>
    <s v="SUCRE"/>
    <s v="CORPORACIÓN FIBEX TELECOM, C.A."/>
    <n v="2672573314"/>
    <s v="WLADIMIR JOSE RODRIGUEZ CEDEÑO"/>
    <n v="18417228"/>
    <x v="0"/>
    <s v="O&amp;M"/>
    <s v="HASSAN CARVAJAL"/>
    <x v="1"/>
    <s v="-"/>
    <x v="1"/>
    <d v="2025-11-01T00:00:00"/>
    <x v="0"/>
    <s v="-"/>
    <x v="0"/>
    <s v="-"/>
    <s v="-"/>
    <s v="SI"/>
    <m/>
    <n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434">
  <r>
    <s v="ANZOATEGUI"/>
    <s v="CORPORACIÓN FIBEX TELECOM, C.A."/>
    <n v="2672573314"/>
    <s v="ABELARDO ANTONIO YROBO BOROTOCHE"/>
    <n v="8278822"/>
    <x v="0"/>
    <s v="O&amp;M"/>
    <s v="JIMMI SALAZAR"/>
    <x v="0"/>
    <x v="0"/>
    <x v="0"/>
    <x v="0"/>
    <s v="Por Certificar"/>
    <s v="-"/>
    <s v="Por Certificar"/>
    <s v="-"/>
    <s v="NO"/>
    <s v="SI"/>
    <m/>
  </r>
  <r>
    <s v="ANZOATEGUI"/>
    <s v="CORPORACIÓN FIBEX TELECOM, C.A."/>
    <n v="2672573314"/>
    <s v="CARLOS ANTONIO ABAD OCHOA"/>
    <n v="8295161"/>
    <x v="0"/>
    <s v="O&amp;M"/>
    <s v="JIMMI SALAZAR"/>
    <x v="1"/>
    <x v="1"/>
    <x v="0"/>
    <x v="0"/>
    <s v="Por Certificar"/>
    <s v="-"/>
    <s v="Por Certificar"/>
    <s v="-"/>
    <s v="SI"/>
    <s v="SI"/>
    <m/>
  </r>
  <r>
    <s v="ANZOATEGUI"/>
    <s v="CORPORACIÓN FIBEX TELECOM, C.A."/>
    <n v="2672573314"/>
    <s v="CARLOS ENRIQUE OCANDO RIOS"/>
    <n v="25478858"/>
    <x v="0"/>
    <s v="O&amp;M"/>
    <s v="JIMMI SALAZAR"/>
    <x v="0"/>
    <x v="0"/>
    <x v="0"/>
    <x v="0"/>
    <s v="Por Certificar"/>
    <s v="-"/>
    <s v="Por Certificar"/>
    <s v="-"/>
    <s v="NO"/>
    <s v="SI"/>
    <m/>
  </r>
  <r>
    <s v="ANZOATEGUI"/>
    <s v="CORPORACIÓN FIBEX TELECOM, C.A."/>
    <n v="2672573314"/>
    <s v="CARLOS RAMON MONTILLA RODRIGUEZ"/>
    <n v="13168246"/>
    <x v="0"/>
    <s v="O&amp;M"/>
    <s v="JIMMI SALAZAR"/>
    <x v="0"/>
    <x v="0"/>
    <x v="0"/>
    <x v="0"/>
    <s v="Por Certificar"/>
    <s v="-"/>
    <s v="Por Certificar"/>
    <s v="-"/>
    <s v="SI"/>
    <s v="SI"/>
    <m/>
  </r>
  <r>
    <s v="ANZOATEGUI"/>
    <s v="CORPORACIÓN FIBEX TELECOM, C.A."/>
    <n v="2672573314"/>
    <s v="DANIEL ENRIQUE CASTELLANOS FIGUEROA"/>
    <n v="28257470"/>
    <x v="1"/>
    <s v="CDR"/>
    <s v="JIMMI SALAZAR"/>
    <x v="1"/>
    <x v="1"/>
    <x v="0"/>
    <x v="0"/>
    <s v="Por Certificar"/>
    <s v="-"/>
    <s v="Por Certificar"/>
    <s v="-"/>
    <s v="NO"/>
    <s v="SI"/>
    <m/>
  </r>
  <r>
    <s v="ANZOATEGUI"/>
    <s v="CORPORACIÓN FIBEX TELECOM, C.A."/>
    <n v="2672573314"/>
    <s v="DERVIS DANIEL GARCIA GARCIA"/>
    <n v="27345748"/>
    <x v="1"/>
    <s v="O&amp;M"/>
    <s v="JIMMI SALAZAR"/>
    <x v="0"/>
    <x v="0"/>
    <x v="0"/>
    <x v="0"/>
    <s v="Por Certificar"/>
    <s v="-"/>
    <s v="Por Certificar"/>
    <s v="-"/>
    <s v="NO"/>
    <s v="SI"/>
    <m/>
  </r>
  <r>
    <s v="ANZOATEGUI"/>
    <s v="CORPORACIÓN FIBEX TELECOM, C.A."/>
    <n v="2672573314"/>
    <s v="EDUARD JOSE PARAQUEIMO RUIZ"/>
    <n v="25721872"/>
    <x v="1"/>
    <s v="O&amp;M"/>
    <s v="JIMMI SALAZAR"/>
    <x v="0"/>
    <x v="0"/>
    <x v="0"/>
    <x v="0"/>
    <s v="Por Certificar"/>
    <s v="-"/>
    <s v="Por Certificar"/>
    <s v="-"/>
    <s v="NO"/>
    <s v="SI"/>
    <m/>
  </r>
  <r>
    <s v="ANZOATEGUI"/>
    <s v="CORPORACIÓN FIBEX TELECOM, C.A."/>
    <n v="2672573314"/>
    <s v="ENRIQUE JOSE VILORIA SALAZAR"/>
    <n v="21042054"/>
    <x v="0"/>
    <s v="O&amp;M"/>
    <s v="JIMMI SALAZAR"/>
    <x v="1"/>
    <x v="1"/>
    <x v="0"/>
    <x v="0"/>
    <s v="Por Certificar"/>
    <s v="-"/>
    <s v="Por Certificar"/>
    <s v="-"/>
    <s v="NO"/>
    <s v="SI"/>
    <m/>
  </r>
  <r>
    <s v="ANZOATEGUI"/>
    <s v="CORPORACIÓN FIBEX TELECOM, C.A."/>
    <n v="2672573314"/>
    <s v="GABRIEL JOSE MARQUEZ RUIZ"/>
    <n v="28069528"/>
    <x v="1"/>
    <s v="O&amp;M"/>
    <s v="JIMMI SALAZAR"/>
    <x v="0"/>
    <x v="0"/>
    <x v="0"/>
    <x v="0"/>
    <s v="Por Certificar"/>
    <s v="-"/>
    <s v="Por Certificar"/>
    <s v="-"/>
    <s v="NO"/>
    <s v="SI"/>
    <m/>
  </r>
  <r>
    <s v="ANZOATEGUI"/>
    <s v="CORPORACIÓN FIBEX TELECOM, C.A."/>
    <n v="2672573314"/>
    <s v="GERALDINE ALEJANDRA BARBERA NAVARRO"/>
    <n v="26228015"/>
    <x v="2"/>
    <s v="O&amp;M"/>
    <s v="JIMMI SALAZAR"/>
    <x v="1"/>
    <x v="1"/>
    <x v="0"/>
    <x v="0"/>
    <s v="Por Certificar"/>
    <s v="-"/>
    <s v="Por Certificar"/>
    <s v="-"/>
    <s v="SI"/>
    <s v="SI"/>
    <m/>
  </r>
  <r>
    <s v="ANZOATEGUI"/>
    <s v="CORPORACIÓN FIBEX TELECOM, C.A."/>
    <n v="2672573314"/>
    <s v="GUILLERMO JOSE GUTIERREZ FARIÑA"/>
    <n v="23998595"/>
    <x v="1"/>
    <s v="O&amp;M"/>
    <s v="JIMMI SALAZAR"/>
    <x v="1"/>
    <x v="1"/>
    <x v="0"/>
    <x v="0"/>
    <s v="Por Certificar"/>
    <s v="-"/>
    <s v="Por Certificar"/>
    <s v="-"/>
    <s v="SI"/>
    <s v="SI"/>
    <m/>
  </r>
  <r>
    <s v="ANZOATEGUI"/>
    <s v="CORPORACIÓN FIBEX TELECOM, C.A."/>
    <n v="2672573314"/>
    <s v="GUSTAVO RAFAEL QUIARO CASTILLO"/>
    <n v="16491274"/>
    <x v="0"/>
    <s v="O&amp;M"/>
    <s v="JIMMI SALAZAR"/>
    <x v="0"/>
    <x v="0"/>
    <x v="0"/>
    <x v="0"/>
    <s v="Por Certificar"/>
    <s v="-"/>
    <s v="Por Certificar"/>
    <s v="-"/>
    <s v="NO"/>
    <s v="SI"/>
    <m/>
  </r>
  <r>
    <s v="ANZOATEGUI"/>
    <s v="CORPORACIÓN FIBEX TELECOM, C.A."/>
    <n v="2672573314"/>
    <s v="IGOR JOSE POYER RODRIGUEZ"/>
    <n v="19854126"/>
    <x v="2"/>
    <s v="MDC"/>
    <s v="JIMMI SALAZAR"/>
    <x v="1"/>
    <x v="1"/>
    <x v="0"/>
    <x v="0"/>
    <s v="Por Certificar"/>
    <s v="-"/>
    <s v="Por Certificar"/>
    <s v="-"/>
    <s v="SI"/>
    <s v="SI"/>
    <m/>
  </r>
  <r>
    <s v="ANZOATEGUI"/>
    <s v="CORPORACIÓN FIBEX TELECOM, C.A."/>
    <n v="2672573314"/>
    <s v="ISAIR JOSE LOZADA GARCIA"/>
    <n v="16055466"/>
    <x v="1"/>
    <s v="O&amp;M"/>
    <s v="JIMMI SALAZAR"/>
    <x v="0"/>
    <x v="0"/>
    <x v="0"/>
    <x v="0"/>
    <s v="Por Certificar"/>
    <s v="-"/>
    <s v="Por Certificar"/>
    <s v="-"/>
    <s v="NO"/>
    <s v="SI"/>
    <m/>
  </r>
  <r>
    <s v="ANZOATEGUI"/>
    <s v="CORPORACIÓN FIBEX TELECOM, C.A."/>
    <n v="2672573314"/>
    <s v="ISIDER RAFAEL OCTAVIO FERNANDEZ CARPIO"/>
    <n v="19438470"/>
    <x v="3"/>
    <s v="O&amp;M"/>
    <s v="JIMMI SALAZAR"/>
    <x v="1"/>
    <x v="1"/>
    <x v="0"/>
    <x v="0"/>
    <s v="Por Certificar"/>
    <s v="-"/>
    <s v="Por Certificar"/>
    <s v="-"/>
    <s v="NO"/>
    <s v="SI"/>
    <m/>
  </r>
  <r>
    <s v="ANZOATEGUI"/>
    <s v="CORPORACIÓN FIBEX TELECOM, C.A."/>
    <n v="2672573314"/>
    <s v="ISRAEL DAVID HERNANDEZ"/>
    <n v="21613295"/>
    <x v="0"/>
    <s v="O&amp;M"/>
    <s v="JIMMI SALAZAR"/>
    <x v="1"/>
    <x v="1"/>
    <x v="0"/>
    <x v="0"/>
    <s v="Por Certificar"/>
    <s v="-"/>
    <s v="Por Certificar"/>
    <s v="-"/>
    <s v="SI"/>
    <s v="SI"/>
    <m/>
  </r>
  <r>
    <s v="ANZOATEGUI"/>
    <s v="CORPORACIÓN FIBEX TELECOM, C.A."/>
    <n v="2672573314"/>
    <s v="JAROLD EFRAIN MEDINA RUIZ"/>
    <n v="10227502"/>
    <x v="0"/>
    <s v="O&amp;M"/>
    <s v="JIMMI SALAZAR"/>
    <x v="0"/>
    <x v="0"/>
    <x v="0"/>
    <x v="0"/>
    <s v="Por Certificar"/>
    <s v="-"/>
    <s v="Por Certificar"/>
    <s v="-"/>
    <s v="NO"/>
    <s v="SI"/>
    <m/>
  </r>
  <r>
    <s v="ANZOATEGUI"/>
    <s v="CORPORACIÓN FIBEX TELECOM, C.A."/>
    <n v="2672573314"/>
    <s v="JASON ENRIQUE GRATEROL RIVAS"/>
    <n v="29838138"/>
    <x v="1"/>
    <s v="O&amp;M"/>
    <s v="JIMMI SALAZAR"/>
    <x v="1"/>
    <x v="1"/>
    <x v="0"/>
    <x v="0"/>
    <s v="Por Certificar"/>
    <s v="-"/>
    <s v="Por Certificar"/>
    <s v="-"/>
    <s v="NO"/>
    <s v="SI"/>
    <m/>
  </r>
  <r>
    <s v="ANZOATEGUI"/>
    <s v="CORPORACIÓN FIBEX TELECOM, C.A."/>
    <n v="2672573314"/>
    <s v="JHONNY ALEXANDER VILLAROEL CAMPOS"/>
    <n v="22842272"/>
    <x v="0"/>
    <s v="O&amp;M"/>
    <s v="JIMMI SALAZAR"/>
    <x v="0"/>
    <x v="0"/>
    <x v="0"/>
    <x v="0"/>
    <s v="Por Certificar"/>
    <s v="-"/>
    <s v="Por Certificar"/>
    <s v="-"/>
    <s v="NO"/>
    <s v="SI"/>
    <m/>
  </r>
  <r>
    <s v="ANZOATEGUI"/>
    <s v="CORPORACIÓN FIBEX TELECOM, C.A."/>
    <n v="2672573314"/>
    <s v="JIMMI GUILLERMO SALAZAR GARCIA"/>
    <n v="27345053"/>
    <x v="4"/>
    <s v="O&amp;M"/>
    <s v="JIMMI SALAZAR"/>
    <x v="0"/>
    <x v="0"/>
    <x v="1"/>
    <x v="1"/>
    <s v="Por Certificar"/>
    <s v="-"/>
    <s v="Por Certificar"/>
    <s v="-"/>
    <s v="NO"/>
    <s v="SI"/>
    <m/>
  </r>
  <r>
    <s v="ANZOATEGUI"/>
    <s v="CORPORACIÓN FIBEX TELECOM, C.A."/>
    <n v="2672573314"/>
    <s v="JOEL DARIO DURAN RENGEL"/>
    <n v="26109784"/>
    <x v="0"/>
    <s v="O&amp;M"/>
    <s v="JIMMI SALAZAR"/>
    <x v="0"/>
    <x v="0"/>
    <x v="0"/>
    <x v="0"/>
    <s v="Por Certificar"/>
    <s v="-"/>
    <s v="Por Certificar"/>
    <s v="-"/>
    <s v="NO"/>
    <s v="SI"/>
    <m/>
  </r>
  <r>
    <s v="ANZOATEGUI"/>
    <s v="CORPORACIÓN FIBEX TELECOM, C.A."/>
    <n v="2672573314"/>
    <s v="JOSE DANIEL SALAZAR LÓPEZ"/>
    <n v="28065677"/>
    <x v="1"/>
    <s v="O&amp;M"/>
    <s v="JIMMI SALAZAR"/>
    <x v="1"/>
    <x v="1"/>
    <x v="0"/>
    <x v="0"/>
    <s v="Por Certificar"/>
    <s v="-"/>
    <s v="Por Certificar"/>
    <s v="-"/>
    <s v="NO"/>
    <s v="SI"/>
    <m/>
  </r>
  <r>
    <s v="ANZOATEGUI"/>
    <s v="CORPORACIÓN FIBEX TELECOM, C.A."/>
    <n v="2672573314"/>
    <s v="JOSE GREGORIO ONORE ZERPA"/>
    <n v="25083549"/>
    <x v="0"/>
    <s v="O&amp;M"/>
    <s v="JIMMI SALAZAR"/>
    <x v="0"/>
    <x v="0"/>
    <x v="0"/>
    <x v="0"/>
    <s v="Por Certificar"/>
    <s v="-"/>
    <s v="Por Certificar"/>
    <s v="-"/>
    <s v="SI"/>
    <s v="SI"/>
    <m/>
  </r>
  <r>
    <s v="ANZOATEGUI"/>
    <s v="CORPORACIÓN FIBEX TELECOM, C.A."/>
    <n v="2672573314"/>
    <s v="JOSE MANUEL MARCANO GARCIA"/>
    <n v="25898015"/>
    <x v="2"/>
    <s v="MDC"/>
    <s v="JIMMI SALAZAR"/>
    <x v="1"/>
    <x v="1"/>
    <x v="0"/>
    <x v="0"/>
    <s v="Por Certificar"/>
    <s v="-"/>
    <s v="Por Certificar"/>
    <s v="-"/>
    <s v="SI"/>
    <s v="SI"/>
    <m/>
  </r>
  <r>
    <s v="ANZOATEGUI"/>
    <s v="CORPORACIÓN FIBEX TELECOM, C.A."/>
    <n v="2672573314"/>
    <s v="JULIO CESAR SANTAMARIA HERNANDEZ"/>
    <n v="23517606"/>
    <x v="0"/>
    <s v="O&amp;M"/>
    <s v="JIMMI SALAZAR"/>
    <x v="0"/>
    <x v="0"/>
    <x v="0"/>
    <x v="0"/>
    <s v="Por Certificar"/>
    <s v="-"/>
    <s v="Por Certificar"/>
    <s v="-"/>
    <s v="NO"/>
    <s v="SI"/>
    <m/>
  </r>
  <r>
    <s v="ANZOATEGUI"/>
    <s v="CORPORACIÓN FIBEX TELECOM, C.A."/>
    <n v="2672573314"/>
    <s v="KEIVER JOSE BERROTERAN CORREA"/>
    <n v="31685684"/>
    <x v="1"/>
    <s v="O&amp;M"/>
    <s v="JIMMI SALAZAR"/>
    <x v="0"/>
    <x v="0"/>
    <x v="0"/>
    <x v="0"/>
    <s v="Por Certificar"/>
    <s v="-"/>
    <s v="Por Certificar"/>
    <s v="-"/>
    <s v="SI"/>
    <s v="SI"/>
    <m/>
  </r>
  <r>
    <s v="ANZOATEGUI"/>
    <s v="CORPORACIÓN FIBEX TELECOM, C.A."/>
    <n v="2672573314"/>
    <s v="KENER JOSE CUBA"/>
    <n v="26070568"/>
    <x v="1"/>
    <s v="O&amp;M"/>
    <s v="JIMMI SALAZAR"/>
    <x v="1"/>
    <x v="1"/>
    <x v="0"/>
    <x v="0"/>
    <s v="Por Certificar"/>
    <s v="-"/>
    <s v="Por Certificar"/>
    <s v="-"/>
    <s v="NO"/>
    <s v="SI"/>
    <m/>
  </r>
  <r>
    <s v="ANZOATEGUI"/>
    <s v="CORPORACIÓN FIBEX TELECOM, C.A."/>
    <n v="2672573314"/>
    <s v="LAMBERTO JOSE MARTINEZ MANRIQUE"/>
    <n v="21311779"/>
    <x v="0"/>
    <s v="O&amp;M"/>
    <s v="JIMMI SALAZAR"/>
    <x v="0"/>
    <x v="0"/>
    <x v="0"/>
    <x v="0"/>
    <s v="Por Certificar"/>
    <s v="-"/>
    <s v="Por Certificar"/>
    <s v="-"/>
    <s v="NO"/>
    <s v="SI"/>
    <m/>
  </r>
  <r>
    <s v="ANZOATEGUI"/>
    <s v="CORPORACIÓN FIBEX TELECOM, C.A."/>
    <n v="2672573314"/>
    <s v="LEONARDO JOSE RANGEL CARCURIAN"/>
    <n v="24392353"/>
    <x v="1"/>
    <s v="EMPALME"/>
    <s v="JIMMI SALAZAR"/>
    <x v="1"/>
    <x v="1"/>
    <x v="0"/>
    <x v="0"/>
    <s v="Por Certificar"/>
    <s v="-"/>
    <s v="Por Certificar"/>
    <s v="-"/>
    <s v="NO"/>
    <s v="SI"/>
    <m/>
  </r>
  <r>
    <s v="ANZOATEGUI"/>
    <s v="CORPORACIÓN FIBEX TELECOM, C.A."/>
    <n v="2672573314"/>
    <s v="LUIS MANUEL DECENA GUAREGUA"/>
    <n v="17536067"/>
    <x v="1"/>
    <s v="O&amp;M"/>
    <s v="JIMMI SALAZAR"/>
    <x v="1"/>
    <x v="1"/>
    <x v="0"/>
    <x v="0"/>
    <s v="Por Certificar"/>
    <s v="-"/>
    <s v="Por Certificar"/>
    <s v="-"/>
    <s v="NO"/>
    <s v="SI"/>
    <m/>
  </r>
  <r>
    <s v="ANZOATEGUI"/>
    <s v="CORPORACIÓN FIBEX TELECOM, C.A."/>
    <n v="2672573314"/>
    <s v="LUIS MIGUEL VALERI PLAZA"/>
    <n v="20330026"/>
    <x v="2"/>
    <s v="MDC"/>
    <s v="JIMMI SALAZAR"/>
    <x v="1"/>
    <x v="1"/>
    <x v="0"/>
    <x v="0"/>
    <s v="Por Certificar"/>
    <s v="-"/>
    <s v="Por Certificar"/>
    <s v="-"/>
    <s v="NO"/>
    <s v="SI"/>
    <m/>
  </r>
  <r>
    <s v="ANZOATEGUI"/>
    <s v="CORPORACIÓN FIBEX TELECOM, C.A."/>
    <n v="2672573314"/>
    <s v="LUIS OSCAR PACHECO GARCIA"/>
    <n v="28159627"/>
    <x v="1"/>
    <s v="O&amp;M"/>
    <s v="JIMMI SALAZAR"/>
    <x v="0"/>
    <x v="0"/>
    <x v="0"/>
    <x v="0"/>
    <s v="Por Certificar"/>
    <s v="-"/>
    <s v="Por Certificar"/>
    <s v="-"/>
    <s v="NO"/>
    <s v="SI"/>
    <m/>
  </r>
  <r>
    <s v="ANZOATEGUI"/>
    <s v="CORPORACIÓN FIBEX TELECOM, C.A."/>
    <n v="2672573314"/>
    <s v="MANUEL FELIPE ARTEAGA PERALES"/>
    <n v="27928441"/>
    <x v="0"/>
    <s v="O&amp;M"/>
    <s v="JIMMI SALAZAR"/>
    <x v="1"/>
    <x v="1"/>
    <x v="0"/>
    <x v="0"/>
    <s v="Por Certificar"/>
    <s v="-"/>
    <s v="Por Certificar"/>
    <s v="-"/>
    <s v="NO"/>
    <s v="SI"/>
    <m/>
  </r>
  <r>
    <s v="ANZOATEGUI"/>
    <s v="CORPORACIÓN FIBEX TELECOM, C.A."/>
    <n v="2672573314"/>
    <s v="GRECIA ALEJANDRA, MARCANO MILLAN"/>
    <n v="27080096"/>
    <x v="4"/>
    <s v="EMPALME"/>
    <s v="JIMMI SALAZAR"/>
    <x v="1"/>
    <x v="1"/>
    <x v="0"/>
    <x v="0"/>
    <s v="Por Certificar"/>
    <s v="-"/>
    <s v="Por Certificar"/>
    <s v="-"/>
    <s v="NO"/>
    <s v="SI"/>
    <m/>
  </r>
  <r>
    <s v="ANZOATEGUI"/>
    <s v="CORPORACIÓN FIBEX TELECOM, C.A."/>
    <n v="2672573314"/>
    <s v="MARCOS ELIA GUAREGUA FRANCO"/>
    <n v="14828999"/>
    <x v="0"/>
    <s v="O&amp;M"/>
    <s v="JIMMI SALAZAR"/>
    <x v="0"/>
    <x v="0"/>
    <x v="0"/>
    <x v="0"/>
    <s v="Por Certificar"/>
    <s v="-"/>
    <s v="Por Certificar"/>
    <s v="-"/>
    <s v="NO"/>
    <s v="SI"/>
    <m/>
  </r>
  <r>
    <s v="ANZOATEGUI"/>
    <s v="CORPORACIÓN FIBEX TELECOM, C.A."/>
    <n v="2672573314"/>
    <s v="MELVIN JAVIER RODRIGUEZ LOPEZ"/>
    <n v="27949628"/>
    <x v="0"/>
    <s v="O&amp;M"/>
    <s v="JIMMI SALAZAR"/>
    <x v="1"/>
    <x v="1"/>
    <x v="0"/>
    <x v="0"/>
    <s v="Por Certificar"/>
    <s v="-"/>
    <s v="Por Certificar"/>
    <s v="-"/>
    <s v="NO"/>
    <s v="SI"/>
    <m/>
  </r>
  <r>
    <s v="ANZOATEGUI"/>
    <s v="CORPORACIÓN FIBEX TELECOM, C.A."/>
    <n v="2672573314"/>
    <s v="MIRELYS MARIELA GALLARDO GUERRA"/>
    <n v="21080443"/>
    <x v="2"/>
    <s v="MDC"/>
    <s v="JIMMI SALAZAR"/>
    <x v="1"/>
    <x v="1"/>
    <x v="0"/>
    <x v="0"/>
    <s v="Por Certificar"/>
    <s v="-"/>
    <s v="Por Certificar"/>
    <s v="-"/>
    <s v="NO"/>
    <s v="SI"/>
    <m/>
  </r>
  <r>
    <s v="ANZOATEGUI"/>
    <s v="CORPORACIÓN FIBEX TELECOM, C.A."/>
    <n v="2672573314"/>
    <s v="NATHALIA JOSE FUENTES PEREZ"/>
    <n v="27299368"/>
    <x v="2"/>
    <s v="PLANTA INTERNA"/>
    <s v="JIMMI SALAZAR"/>
    <x v="1"/>
    <x v="1"/>
    <x v="0"/>
    <x v="0"/>
    <s v="Por Certificar"/>
    <s v="-"/>
    <s v="Por Certificar"/>
    <s v="-"/>
    <s v="NO"/>
    <s v="SI"/>
    <m/>
  </r>
  <r>
    <s v="ANZOATEGUI"/>
    <s v="CORPORACIÓN FIBEX TELECOM, C.A."/>
    <n v="2672573314"/>
    <s v="JOSE ANDRES, OLIVARES ALFONZO"/>
    <n v="25244932"/>
    <x v="3"/>
    <s v="PLANTA EXTERNA"/>
    <s v="JIMMI SALAZAR"/>
    <x v="1"/>
    <x v="1"/>
    <x v="0"/>
    <x v="0"/>
    <s v="Por Certificar"/>
    <s v="-"/>
    <s v="Por Certificar"/>
    <s v="-"/>
    <s v="NO"/>
    <s v="SI"/>
    <m/>
  </r>
  <r>
    <s v="ANZOATEGUI"/>
    <s v="CORPORACIÓN FIBEX TELECOM, C.A."/>
    <n v="2672573314"/>
    <s v="ONIELL JOSE RANGEL CABELLO"/>
    <n v="28560105"/>
    <x v="0"/>
    <s v="O&amp;M"/>
    <s v="JIMMI SALAZAR"/>
    <x v="1"/>
    <x v="1"/>
    <x v="0"/>
    <x v="0"/>
    <s v="Por Certificar"/>
    <s v="-"/>
    <s v="Por Certificar"/>
    <s v="-"/>
    <s v="NO"/>
    <s v="SI"/>
    <m/>
  </r>
  <r>
    <s v="ANZOATEGUI"/>
    <s v="CORPORACIÓN FIBEX TELECOM, C.A."/>
    <n v="2672573314"/>
    <s v="OSCAR ALEXANDER GALINDO DUN"/>
    <n v="29807214"/>
    <x v="0"/>
    <s v="O&amp;M"/>
    <s v="JIMMI SALAZAR"/>
    <x v="1"/>
    <x v="1"/>
    <x v="0"/>
    <x v="0"/>
    <s v="Por Certificar"/>
    <s v="-"/>
    <s v="Por Certificar"/>
    <s v="-"/>
    <s v="NO"/>
    <s v="SI"/>
    <m/>
  </r>
  <r>
    <s v="ANZOATEGUI"/>
    <s v="CORPORACIÓN FIBEX TELECOM, C.A."/>
    <n v="2672573314"/>
    <s v="PEDRO RAMON HADDAD INDRIAGO"/>
    <n v="24827965"/>
    <x v="0"/>
    <s v="O&amp;M"/>
    <s v="JIMMI SALAZAR"/>
    <x v="0"/>
    <x v="0"/>
    <x v="0"/>
    <x v="0"/>
    <s v="Por Certificar"/>
    <s v="-"/>
    <s v="Por Certificar"/>
    <s v="-"/>
    <s v="NO"/>
    <s v="SI"/>
    <m/>
  </r>
  <r>
    <s v="ANZOATEGUI"/>
    <s v="CORPORACIÓN FIBEX TELECOM, C.A."/>
    <n v="2672573314"/>
    <s v="RICARDO ALBERTO, PIRONA VIVAS"/>
    <n v="19854687"/>
    <x v="4"/>
    <s v="MDA"/>
    <s v="JIMMI SALAZAR"/>
    <x v="1"/>
    <x v="1"/>
    <x v="0"/>
    <x v="0"/>
    <s v="Por Certificar"/>
    <s v="-"/>
    <s v="Por Certificar"/>
    <s v="-"/>
    <s v="NO"/>
    <s v="SI"/>
    <m/>
  </r>
  <r>
    <s v="ANZOATEGUI"/>
    <s v="CORPORACIÓN FIBEX TELECOM, C.A."/>
    <n v="2672573314"/>
    <s v="RAFAEL SEBASTIAN URBINA NUÑEZ"/>
    <n v="28580507"/>
    <x v="1"/>
    <s v="CDR"/>
    <s v="JIMMI SALAZAR"/>
    <x v="1"/>
    <x v="1"/>
    <x v="0"/>
    <x v="0"/>
    <s v="Por Certificar"/>
    <s v="-"/>
    <s v="Por Certificar"/>
    <s v="-"/>
    <s v="NO"/>
    <s v="SI"/>
    <m/>
  </r>
  <r>
    <s v="ANZOATEGUI"/>
    <s v="CORPORACIÓN FIBEX TELECOM, C.A."/>
    <n v="2672573314"/>
    <s v="RONNY RAMON RAFAEL CAGUA HERNANDEZ"/>
    <n v="20096292"/>
    <x v="0"/>
    <s v="O&amp;M"/>
    <s v="JIMMI SALAZAR"/>
    <x v="1"/>
    <x v="1"/>
    <x v="0"/>
    <x v="0"/>
    <s v="Por Certificar"/>
    <s v="-"/>
    <s v="Por Certificar"/>
    <s v="-"/>
    <s v="NO"/>
    <s v="SI"/>
    <m/>
  </r>
  <r>
    <s v="ANZOATEGUI"/>
    <s v="CORPORACIÓN FIBEX TELECOM, C.A."/>
    <n v="2672573314"/>
    <s v="ROYS ALEJANDRO GUEVARA MARTINEZ"/>
    <n v="28625242"/>
    <x v="0"/>
    <s v="O&amp;M"/>
    <s v="JIMMI SALAZAR"/>
    <x v="0"/>
    <x v="0"/>
    <x v="0"/>
    <x v="0"/>
    <s v="Por Certificar"/>
    <s v="-"/>
    <s v="Por Certificar"/>
    <s v="-"/>
    <s v="SI"/>
    <s v="SI"/>
    <m/>
  </r>
  <r>
    <s v="ANZOATEGUI"/>
    <s v="CORPORACIÓN FIBEX TELECOM, C.A."/>
    <n v="2672573314"/>
    <s v="JESUS MARDEN, TIRADO ALCALA"/>
    <n v="27299256"/>
    <x v="3"/>
    <s v="EMPALME"/>
    <s v="JIMMI SALAZAR"/>
    <x v="1"/>
    <x v="1"/>
    <x v="0"/>
    <x v="0"/>
    <s v="Por Certificar"/>
    <s v="-"/>
    <s v="Por Certificar"/>
    <s v="-"/>
    <s v="NO"/>
    <s v="SI"/>
    <m/>
  </r>
  <r>
    <s v="ANZOATEGUI"/>
    <s v="CORPORACIÓN FIBEX TELECOM, C.A."/>
    <n v="2672573314"/>
    <s v="WILFREDO ANTONIO MORALES MARTINEZ"/>
    <n v="17972077"/>
    <x v="0"/>
    <s v="O&amp;M"/>
    <s v="JIMMI SALAZAR"/>
    <x v="0"/>
    <x v="0"/>
    <x v="0"/>
    <x v="0"/>
    <s v="Por Certificar"/>
    <s v="-"/>
    <s v="Por Certificar"/>
    <s v="-"/>
    <s v="NO"/>
    <s v="SI"/>
    <m/>
  </r>
  <r>
    <s v="APURE"/>
    <s v="CORPORACIÓN FIBEX TELECOM, C.A."/>
    <n v="2672573314"/>
    <s v=" ELIEZER JOSE SEGOVIA GRACIA"/>
    <n v="7927906"/>
    <x v="3"/>
    <s v="O&amp;M"/>
    <s v="YNIHEL REYES"/>
    <x v="1"/>
    <x v="1"/>
    <x v="0"/>
    <x v="0"/>
    <s v="Por Certificar"/>
    <s v="-"/>
    <s v="Por Certificar"/>
    <s v="-"/>
    <s v="-"/>
    <s v="SI"/>
    <m/>
  </r>
  <r>
    <s v="APURE"/>
    <s v="CORPORACIÓN FIBEX TELECOM, C.A."/>
    <n v="2672573314"/>
    <s v="SANDRU ASDRUBAL PEREZ CORTEZ "/>
    <n v="19405719"/>
    <x v="0"/>
    <s v="O&amp;M"/>
    <s v="YNIHEL REYES"/>
    <x v="1"/>
    <x v="1"/>
    <x v="0"/>
    <x v="0"/>
    <s v="Por Certificar"/>
    <s v="-"/>
    <s v="Por Certificar"/>
    <s v="-"/>
    <s v="-"/>
    <s v="SI"/>
    <m/>
  </r>
  <r>
    <s v="APURE"/>
    <s v="CORPORACIÓN FIBEX TELECOM, C.A."/>
    <n v="2672573314"/>
    <s v="HECTOR RAFAEL TORREALBA RATTIA"/>
    <n v="18147774"/>
    <x v="1"/>
    <s v="O&amp;M"/>
    <s v="YNIHEL REYES"/>
    <x v="1"/>
    <x v="1"/>
    <x v="0"/>
    <x v="0"/>
    <s v="Por Certificar"/>
    <s v="-"/>
    <s v="Por Certificar"/>
    <s v="-"/>
    <s v="-"/>
    <s v="SI"/>
    <m/>
  </r>
  <r>
    <s v="APURE"/>
    <s v="CORPORACIÓN FIBEX TELECOM, C.A."/>
    <n v="2672573314"/>
    <s v="LEOMAR ANTONIO GODOY ASCANIO"/>
    <n v="27698895"/>
    <x v="1"/>
    <s v="O&amp;M"/>
    <s v="YNIHEL REYES"/>
    <x v="1"/>
    <x v="1"/>
    <x v="0"/>
    <x v="0"/>
    <s v="Por Certificar"/>
    <s v="-"/>
    <s v="Por Certificar"/>
    <s v="-"/>
    <s v="-"/>
    <s v="SI"/>
    <m/>
  </r>
  <r>
    <s v="BARINAS"/>
    <s v="CORPORACIÓN FIBEX TELECOM, C.A."/>
    <n v="2672573314"/>
    <s v="ARGENIS EDUARDO MAREA OVALLES"/>
    <n v="29559448"/>
    <x v="1"/>
    <s v="IMPLEMENTACION"/>
    <s v="ASTRID APONTE"/>
    <x v="1"/>
    <x v="1"/>
    <x v="1"/>
    <x v="2"/>
    <s v="Por Certificar"/>
    <s v="-"/>
    <s v="Por Certificar"/>
    <s v="-"/>
    <s v="-"/>
    <s v="SI"/>
    <m/>
  </r>
  <r>
    <s v="BARINAS"/>
    <s v="CORPORACIÓN FIBEX TELECOM, C.A."/>
    <n v="2672573314"/>
    <s v="ASTRID CAROLINA APONTE ORELLANA"/>
    <n v="17608365"/>
    <x v="4"/>
    <s v="O&amp;M"/>
    <s v="ASTRID APONTE"/>
    <x v="1"/>
    <x v="1"/>
    <x v="1"/>
    <x v="2"/>
    <s v="Por Certificar"/>
    <s v="-"/>
    <s v="Por Certificar"/>
    <s v="-"/>
    <s v="-"/>
    <s v="SI"/>
    <m/>
  </r>
  <r>
    <s v="BARINAS"/>
    <s v="CORPORACIÓN FIBEX TELECOM, C.A."/>
    <n v="2672573314"/>
    <s v="BACHIR AJAMI CHAMI"/>
    <n v="18117004"/>
    <x v="1"/>
    <s v="O&amp;M"/>
    <s v="ASTRID APONTE"/>
    <x v="1"/>
    <x v="1"/>
    <x v="1"/>
    <x v="2"/>
    <s v="Por Certificar"/>
    <s v="-"/>
    <s v="Por Certificar"/>
    <s v="-"/>
    <s v="-"/>
    <s v="SI"/>
    <m/>
  </r>
  <r>
    <s v="BARINAS"/>
    <s v="CORPORACIÓN FIBEX TELECOM, C.A."/>
    <n v="2672573314"/>
    <s v="CARLOS MANUEL GONZALEZ HERRERA"/>
    <n v="17768920"/>
    <x v="2"/>
    <s v="MDC"/>
    <s v="ASTRID APONTE"/>
    <x v="1"/>
    <x v="1"/>
    <x v="1"/>
    <x v="2"/>
    <s v="Por Certificar"/>
    <s v="-"/>
    <s v="Por Certificar"/>
    <s v="-"/>
    <s v="-"/>
    <s v="SI"/>
    <m/>
  </r>
  <r>
    <s v="BARINAS"/>
    <s v="CORPORACIÓN FIBEX TELECOM, C.A."/>
    <n v="2672573314"/>
    <s v="FRANKLIN JOSE RAMIREZ"/>
    <n v="16791597"/>
    <x v="0"/>
    <s v="O&amp;M"/>
    <s v="ASTRID APONTE"/>
    <x v="1"/>
    <x v="1"/>
    <x v="1"/>
    <x v="2"/>
    <s v="Por Certificar"/>
    <s v="-"/>
    <s v="Por Certificar"/>
    <s v="-"/>
    <s v="-"/>
    <s v="SI"/>
    <m/>
  </r>
  <r>
    <s v="BARINAS"/>
    <s v="CORPORACIÓN FIBEX TELECOM, C.A."/>
    <n v="2672573314"/>
    <s v="FRANKLIN JOSUE FLORES LANDAETA"/>
    <n v="28546747"/>
    <x v="1"/>
    <s v="O&amp;M"/>
    <s v="ASTRID APONTE"/>
    <x v="1"/>
    <x v="1"/>
    <x v="1"/>
    <x v="2"/>
    <s v="Por Certificar"/>
    <s v="-"/>
    <s v="Por Certificar"/>
    <s v="-"/>
    <s v="-"/>
    <s v="SI"/>
    <m/>
  </r>
  <r>
    <s v="BARINAS"/>
    <s v="CORPORACIÓN FIBEX TELECOM, C.A."/>
    <n v="2672573314"/>
    <s v="GUSTAVO ALONSO PERDOMO  MORENO"/>
    <n v="16488211"/>
    <x v="0"/>
    <s v="O&amp;M"/>
    <s v="ASTRID APONTE"/>
    <x v="1"/>
    <x v="1"/>
    <x v="1"/>
    <x v="2"/>
    <s v="Por Certificar"/>
    <s v="-"/>
    <s v="Por Certificar"/>
    <s v="-"/>
    <s v="-"/>
    <s v="SI"/>
    <m/>
  </r>
  <r>
    <s v="BARINAS"/>
    <s v="CORPORACIÓN FIBEX TELECOM, C.A."/>
    <n v="2672573314"/>
    <s v="JAIRO JOSE BLANCO AGUIRRE"/>
    <n v="12204043"/>
    <x v="0"/>
    <s v="O&amp;M"/>
    <s v="ASTRID APONTE"/>
    <x v="1"/>
    <x v="1"/>
    <x v="1"/>
    <x v="2"/>
    <s v="Por Certificar"/>
    <s v="-"/>
    <s v="Por Certificar"/>
    <s v="-"/>
    <s v="-"/>
    <s v="SI"/>
    <m/>
  </r>
  <r>
    <s v="BARINAS"/>
    <s v="CORPORACIÓN FIBEX TELECOM, C.A."/>
    <n v="2672573314"/>
    <s v="JOSE ANTONIO RODRIGUEZ ANDUEZA"/>
    <n v="25033526"/>
    <x v="1"/>
    <s v="O&amp;M"/>
    <s v="ASTRID APONTE"/>
    <x v="1"/>
    <x v="1"/>
    <x v="1"/>
    <x v="2"/>
    <s v="Por Certificar"/>
    <s v="-"/>
    <s v="Por Certificar"/>
    <s v="-"/>
    <s v="-"/>
    <s v="SI"/>
    <m/>
  </r>
  <r>
    <s v="BARINAS"/>
    <s v="CORPORACIÓN FIBEX TELECOM, C.A."/>
    <n v="2672573314"/>
    <s v="JUAN FRANCISCO ALIZA RODRIGUEZ"/>
    <n v="18558936"/>
    <x v="0"/>
    <s v="IMPLEMENTACION"/>
    <s v="ASTRID APONTE"/>
    <x v="1"/>
    <x v="1"/>
    <x v="1"/>
    <x v="2"/>
    <s v="Por Certificar"/>
    <s v="-"/>
    <s v="Por Certificar"/>
    <s v="-"/>
    <s v="-"/>
    <s v="SI"/>
    <m/>
  </r>
  <r>
    <s v="BARINAS"/>
    <s v="CORPORACIÓN FIBEX TELECOM, C.A."/>
    <n v="2672573314"/>
    <s v="KENNYS ADELIS BASTIDAS UZCATEGUI"/>
    <n v="16475090"/>
    <x v="1"/>
    <s v="O&amp;M"/>
    <s v="ASTRID APONTE"/>
    <x v="1"/>
    <x v="1"/>
    <x v="1"/>
    <x v="2"/>
    <s v="Por Certificar"/>
    <s v="-"/>
    <s v="Por Certificar"/>
    <s v="-"/>
    <s v="-"/>
    <s v="SI"/>
    <m/>
  </r>
  <r>
    <s v="BARINAS"/>
    <s v="CORPORACIÓN FIBEX TELECOM, C.A."/>
    <n v="2672573314"/>
    <s v="PABLO JOSE TORRES HIDALGO"/>
    <n v="19187119"/>
    <x v="0"/>
    <s v="O&amp;M"/>
    <s v="ASTRID APONTE"/>
    <x v="1"/>
    <x v="1"/>
    <x v="1"/>
    <x v="2"/>
    <s v="Por Certificar"/>
    <s v="-"/>
    <s v="Por Certificar"/>
    <s v="-"/>
    <s v="-"/>
    <s v="SI"/>
    <m/>
  </r>
  <r>
    <s v="BARINAS"/>
    <s v="CORPORACIÓN FIBEX TELECOM, C.A."/>
    <n v="2672573314"/>
    <s v="PEDRO LUIS PEÑA"/>
    <n v="19069992"/>
    <x v="3"/>
    <s v="O&amp;M"/>
    <s v="ASTRID APONTE"/>
    <x v="1"/>
    <x v="1"/>
    <x v="1"/>
    <x v="2"/>
    <s v="Por Certificar"/>
    <s v="-"/>
    <s v="Por Certificar"/>
    <s v="-"/>
    <s v="-"/>
    <s v="SI"/>
    <m/>
  </r>
  <r>
    <s v="BARINAS"/>
    <s v="CORPORACIÓN FIBEX TELECOM, C.A."/>
    <n v="2672573314"/>
    <s v="WILLIAN JOSE MENDEZ RODRIGUEZ"/>
    <n v="25468705"/>
    <x v="1"/>
    <s v="IMPLEMENTACION"/>
    <s v="ASTRID APONTE"/>
    <x v="1"/>
    <x v="1"/>
    <x v="1"/>
    <x v="2"/>
    <s v="Por Certificar"/>
    <s v="-"/>
    <s v="Por Certificar"/>
    <s v="-"/>
    <s v="-"/>
    <s v="SI"/>
    <m/>
  </r>
  <r>
    <s v="CARABOBO"/>
    <s v="CORPORACIÓN FIBEX TELECOM, C.A."/>
    <n v="2672573314"/>
    <s v="CRISTHELLYS GRAZZIELA ALVAREZ FANEITE"/>
    <n v="21031246"/>
    <x v="4"/>
    <s v="O&amp;M"/>
    <s v="PENDIENTE INFORMACIÓN"/>
    <x v="1"/>
    <x v="1"/>
    <x v="0"/>
    <x v="0"/>
    <s v="Por Certificar"/>
    <s v="-"/>
    <s v="Por Certificar"/>
    <s v="-"/>
    <s v="-"/>
    <s v="SI"/>
    <m/>
  </r>
  <r>
    <s v="CARABOBO"/>
    <s v="CORPORACIÓN FIBEX TELECOM, C.A."/>
    <n v="2672573314"/>
    <s v="JIM GUIDO TORREALBA  MONTILLA"/>
    <n v="25303300"/>
    <x v="3"/>
    <s v="O&amp;M"/>
    <s v="PENDIENTE INFORMACIÓN"/>
    <x v="1"/>
    <x v="1"/>
    <x v="0"/>
    <x v="0"/>
    <s v="Por Certificar"/>
    <s v="-"/>
    <s v="Por Certificar"/>
    <s v="-"/>
    <s v="-"/>
    <s v="SI"/>
    <m/>
  </r>
  <r>
    <s v="CARABOBO"/>
    <s v="CORPORACIÓN FIBEX TELECOM, C.A."/>
    <n v="2672573314"/>
    <s v="GREY FABIOLA ESCOBAR PEÑA"/>
    <n v="12524865"/>
    <x v="4"/>
    <s v="O&amp;M"/>
    <s v="PENDIENTE INFORMACIÓN"/>
    <x v="1"/>
    <x v="1"/>
    <x v="0"/>
    <x v="0"/>
    <s v="Por Certificar"/>
    <s v="-"/>
    <s v="Por Certificar"/>
    <s v="-"/>
    <s v="-"/>
    <s v="SI"/>
    <m/>
  </r>
  <r>
    <s v="CARABOBO"/>
    <s v="CORPORACIÓN FIBEX TELECOM, C.A."/>
    <n v="2672573314"/>
    <s v="LEONEYDIS ANGELIMAR GARCIA MUJICA"/>
    <n v="31129214"/>
    <x v="2"/>
    <s v="O&amp;M"/>
    <s v="PENDIENTE INFORMACIÓN"/>
    <x v="1"/>
    <x v="1"/>
    <x v="0"/>
    <x v="0"/>
    <s v="Por Certificar"/>
    <s v="-"/>
    <s v="Por Certificar"/>
    <s v="-"/>
    <s v="-"/>
    <s v="SI"/>
    <m/>
  </r>
  <r>
    <s v="CARABOBO"/>
    <s v="CORPORACIÓN FIBEX TELECOM, C.A."/>
    <n v="2672573314"/>
    <s v="FRANCISCO JOSE  SAMBRANO MONTERO"/>
    <n v="25107590"/>
    <x v="2"/>
    <s v="O&amp;M"/>
    <s v="PENDIENTE INFORMACIÓN"/>
    <x v="1"/>
    <x v="1"/>
    <x v="0"/>
    <x v="0"/>
    <s v="Por Certificar"/>
    <s v="-"/>
    <s v="Por Certificar"/>
    <s v="-"/>
    <s v="-"/>
    <s v="SI"/>
    <m/>
  </r>
  <r>
    <s v="CARABOBO"/>
    <s v="CORPORACIÓN FIBEX TELECOM, C.A."/>
    <n v="2672573314"/>
    <s v="RICARDO OSNEIVER GONZALEZ NIERES"/>
    <n v="31233143"/>
    <x v="2"/>
    <s v="O&amp;M"/>
    <s v="PENDIENTE INFORMACIÓN"/>
    <x v="1"/>
    <x v="1"/>
    <x v="0"/>
    <x v="0"/>
    <s v="Por Certificar"/>
    <s v="-"/>
    <s v="Por Certificar"/>
    <s v="-"/>
    <s v="-"/>
    <s v="SI"/>
    <m/>
  </r>
  <r>
    <s v="CARABOBO"/>
    <s v="CORPORACIÓN FIBEX TELECOM, C.A."/>
    <n v="2672573314"/>
    <s v="ANTONY HENDERSON QUINTERO FERNANDEZ"/>
    <n v="23412420"/>
    <x v="2"/>
    <s v="O&amp;M"/>
    <s v="PENDIENTE INFORMACIÓN"/>
    <x v="1"/>
    <x v="1"/>
    <x v="0"/>
    <x v="0"/>
    <s v="Por Certificar"/>
    <s v="-"/>
    <s v="Por Certificar"/>
    <s v="-"/>
    <s v="-"/>
    <s v="SI"/>
    <m/>
  </r>
  <r>
    <s v="CARABOBO"/>
    <s v="CORPORACIÓN FIBEX TELECOM, C.A."/>
    <n v="2672573314"/>
    <s v="ANDREA VALENTINA MATUTE CAMACARO"/>
    <n v="30641035"/>
    <x v="2"/>
    <s v="O&amp;M"/>
    <s v="PENDIENTE INFORMACIÓN"/>
    <x v="1"/>
    <x v="1"/>
    <x v="0"/>
    <x v="0"/>
    <s v="Por Certificar"/>
    <s v="-"/>
    <s v="Por Certificar"/>
    <s v="-"/>
    <s v="-"/>
    <s v="SI"/>
    <m/>
  </r>
  <r>
    <s v="CARABOBO"/>
    <s v="CORPORACIÓN FIBEX TELECOM, C.A."/>
    <n v="2672573314"/>
    <s v="MIGUEL ANTONIO LOPEZ YORIS"/>
    <n v="30889139"/>
    <x v="2"/>
    <s v="O&amp;M"/>
    <s v="PENDIENTE INFORMACIÓN"/>
    <x v="1"/>
    <x v="1"/>
    <x v="0"/>
    <x v="0"/>
    <s v="Por Certificar"/>
    <s v="-"/>
    <s v="Por Certificar"/>
    <s v="-"/>
    <s v="-"/>
    <s v="SI"/>
    <m/>
  </r>
  <r>
    <s v="CARABOBO"/>
    <s v="CORPORACIÓN FIBEX TELECOM, C.A."/>
    <n v="2672573314"/>
    <s v="FERNANDO ISAAC HERNANDEZ TORO"/>
    <n v="19772009"/>
    <x v="0"/>
    <s v="CDR"/>
    <s v="PENDIENTE INFORMACIÓN"/>
    <x v="0"/>
    <x v="0"/>
    <x v="1"/>
    <x v="3"/>
    <s v="Por Certificar"/>
    <s v="-"/>
    <s v="Por Certificar"/>
    <s v="-"/>
    <s v="-"/>
    <s v="SI"/>
    <m/>
  </r>
  <r>
    <s v="CARABOBO"/>
    <s v="CORPORACIÓN FIBEX TELECOM, C.A."/>
    <n v="2672573314"/>
    <s v="MIGUEL EDUARDO SALAZAR ASCANIO"/>
    <n v="20729516"/>
    <x v="0"/>
    <s v="CDR"/>
    <s v="PENDIENTE INFORMACIÓN"/>
    <x v="0"/>
    <x v="0"/>
    <x v="1"/>
    <x v="3"/>
    <s v="Por Certificar"/>
    <s v="-"/>
    <s v="Por Certificar"/>
    <s v="-"/>
    <s v="-"/>
    <s v="SI"/>
    <m/>
  </r>
  <r>
    <s v="CARABOBO"/>
    <s v="CORPORACIÓN FIBEX TELECOM, C.A."/>
    <n v="2672573314"/>
    <s v="ISMAEL EMIRO CASTRO LEON"/>
    <n v="16309906"/>
    <x v="0"/>
    <s v="CDR"/>
    <s v="PENDIENTE INFORMACIÓN"/>
    <x v="0"/>
    <x v="0"/>
    <x v="1"/>
    <x v="3"/>
    <s v="Por Certificar"/>
    <s v="-"/>
    <s v="Por Certificar"/>
    <s v="-"/>
    <s v="-"/>
    <s v="SI"/>
    <m/>
  </r>
  <r>
    <s v="CARABOBO"/>
    <s v="CORPORACIÓN FIBEX TELECOM, C.A."/>
    <n v="2672573314"/>
    <s v="CARLOS ADRIAN RUBIN HERNANDEZ"/>
    <n v="26195951"/>
    <x v="0"/>
    <s v="CDR"/>
    <s v="PENDIENTE INFORMACIÓN"/>
    <x v="0"/>
    <x v="0"/>
    <x v="1"/>
    <x v="3"/>
    <s v="Por Certificar"/>
    <s v="-"/>
    <s v="Por Certificar"/>
    <s v="-"/>
    <s v="-"/>
    <s v="SI"/>
    <m/>
  </r>
  <r>
    <s v="CARABOBO"/>
    <s v="CORPORACIÓN FIBEX TELECOM, C.A."/>
    <n v="2672573314"/>
    <s v="ANGEL DAVID RODRIGUEZ DIAZ"/>
    <n v="28465788"/>
    <x v="1"/>
    <s v="CDR"/>
    <s v="PENDIENTE INFORMACIÓN"/>
    <x v="0"/>
    <x v="0"/>
    <x v="1"/>
    <x v="3"/>
    <s v="Por Certificar"/>
    <s v="-"/>
    <s v="Por Certificar"/>
    <s v="-"/>
    <s v="-"/>
    <s v="SI"/>
    <m/>
  </r>
  <r>
    <s v="CARABOBO"/>
    <s v="CORPORACIÓN FIBEX TELECOM, C.A."/>
    <n v="2672573314"/>
    <s v="KLEIBER ARMANDO COSTE HERNANDEZ"/>
    <n v="31139417"/>
    <x v="1"/>
    <s v="CDR"/>
    <s v="PENDIENTE INFORMACIÓN"/>
    <x v="0"/>
    <x v="0"/>
    <x v="1"/>
    <x v="3"/>
    <s v="Por Certificar"/>
    <s v="-"/>
    <s v="Por Certificar"/>
    <s v="-"/>
    <s v="-"/>
    <s v="SI"/>
    <m/>
  </r>
  <r>
    <s v="CARABOBO"/>
    <s v="CORPORACIÓN FIBEX TELECOM, C.A."/>
    <n v="2672573314"/>
    <s v="JOSE RAFAEL MARTINEZ HENRIQUEZ"/>
    <n v="18501116"/>
    <x v="0"/>
    <s v="O&amp;M"/>
    <s v="PENDIENTE INFORMACIÓN"/>
    <x v="0"/>
    <x v="0"/>
    <x v="1"/>
    <x v="3"/>
    <s v="Por Certificar"/>
    <s v="-"/>
    <s v="Por Certificar"/>
    <s v="-"/>
    <s v="-"/>
    <s v="SI"/>
    <m/>
  </r>
  <r>
    <s v="CARABOBO"/>
    <s v="CORPORACIÓN FIBEX TELECOM, C.A."/>
    <n v="2672573314"/>
    <s v="OSWALDO URBANO SANOJA MUJICA"/>
    <n v="12035109"/>
    <x v="0"/>
    <s v="O&amp;M"/>
    <s v="PENDIENTE INFORMACIÓN"/>
    <x v="0"/>
    <x v="0"/>
    <x v="1"/>
    <x v="3"/>
    <s v="Por Certificar"/>
    <s v="-"/>
    <s v="Por Certificar"/>
    <s v="-"/>
    <s v="-"/>
    <s v="SI"/>
    <m/>
  </r>
  <r>
    <s v="CARABOBO"/>
    <s v="CORPORACIÓN FIBEX TELECOM, C.A."/>
    <n v="2672573314"/>
    <s v="YIMBERT DARIO SANTIAGO PAZ"/>
    <n v="20622416"/>
    <x v="0"/>
    <s v="O&amp;M"/>
    <s v="PENDIENTE INFORMACIÓN"/>
    <x v="0"/>
    <x v="0"/>
    <x v="1"/>
    <x v="3"/>
    <s v="Por Certificar"/>
    <s v="-"/>
    <s v="Por Certificar"/>
    <s v="-"/>
    <s v="-"/>
    <s v="SI"/>
    <m/>
  </r>
  <r>
    <s v="CARABOBO"/>
    <s v="CORPORACIÓN FIBEX TELECOM, C.A."/>
    <n v="2672573314"/>
    <s v="JOSE LUIS OBISPO NARVAEZ"/>
    <n v="19320480"/>
    <x v="0"/>
    <s v="O&amp;M"/>
    <s v="PENDIENTE INFORMACIÓN"/>
    <x v="0"/>
    <x v="0"/>
    <x v="1"/>
    <x v="3"/>
    <s v="Por Certificar"/>
    <s v="-"/>
    <s v="Por Certificar"/>
    <s v="-"/>
    <s v="-"/>
    <s v="SI"/>
    <m/>
  </r>
  <r>
    <s v="CARABOBO"/>
    <s v="CORPORACIÓN FIBEX TELECOM, C.A."/>
    <n v="2672573314"/>
    <s v="MOISES ALEXANDER AMARIS PINTO"/>
    <n v="26233269"/>
    <x v="0"/>
    <s v="O&amp;M"/>
    <s v="PENDIENTE INFORMACIÓN"/>
    <x v="0"/>
    <x v="0"/>
    <x v="1"/>
    <x v="3"/>
    <s v="Por Certificar"/>
    <s v="-"/>
    <s v="Por Certificar"/>
    <s v="-"/>
    <s v="-"/>
    <s v="SI"/>
    <m/>
  </r>
  <r>
    <s v="CARABOBO"/>
    <s v="CORPORACIÓN FIBEX TELECOM, C.A."/>
    <n v="2672573314"/>
    <s v="MERBYS MAGLIMIR MALAVE GUEDEZ"/>
    <n v="19188704"/>
    <x v="0"/>
    <s v="O&amp;M"/>
    <s v="PENDIENTE INFORMACIÓN"/>
    <x v="0"/>
    <x v="0"/>
    <x v="1"/>
    <x v="3"/>
    <s v="Por Certificar"/>
    <s v="-"/>
    <s v="Por Certificar"/>
    <s v="-"/>
    <s v="-"/>
    <s v="SI"/>
    <m/>
  </r>
  <r>
    <s v="CARABOBO"/>
    <s v="CORPORACIÓN FIBEX TELECOM, C.A."/>
    <n v="2672573314"/>
    <s v="DANY JOSE QUINTERO LUCENA"/>
    <n v="13271486"/>
    <x v="0"/>
    <s v="O&amp;M"/>
    <s v="PENDIENTE INFORMACIÓN"/>
    <x v="0"/>
    <x v="0"/>
    <x v="1"/>
    <x v="3"/>
    <s v="Por Certificar"/>
    <s v="-"/>
    <s v="Por Certificar"/>
    <s v="-"/>
    <s v="-"/>
    <s v="SI"/>
    <m/>
  </r>
  <r>
    <s v="CARABOBO"/>
    <s v="CORPORACIÓN FIBEX TELECOM, C.A."/>
    <n v="2672573314"/>
    <s v="ROLANDO XAVIER CANELON MUJICA"/>
    <n v="19843415"/>
    <x v="1"/>
    <s v="O&amp;M"/>
    <s v="PENDIENTE INFORMACIÓN"/>
    <x v="0"/>
    <x v="0"/>
    <x v="1"/>
    <x v="3"/>
    <s v="Por Certificar"/>
    <s v="-"/>
    <s v="Por Certificar"/>
    <s v="-"/>
    <s v="-"/>
    <s v="SI"/>
    <m/>
  </r>
  <r>
    <s v="CARABOBO"/>
    <s v="CORPORACIÓN FIBEX TELECOM, C.A."/>
    <n v="2672573314"/>
    <s v="ARNALDO XAVIER VALLESE CORONEL"/>
    <n v="19130427"/>
    <x v="1"/>
    <s v="O&amp;M"/>
    <s v="PENDIENTE INFORMACIÓN"/>
    <x v="0"/>
    <x v="0"/>
    <x v="1"/>
    <x v="3"/>
    <s v="Por Certificar"/>
    <s v="-"/>
    <s v="Por Certificar"/>
    <s v="-"/>
    <s v="-"/>
    <s v="SI"/>
    <m/>
  </r>
  <r>
    <s v="CARABOBO"/>
    <s v="CORPORACIÓN FIBEX TELECOM, C.A."/>
    <n v="2672573314"/>
    <s v="ANDERSON WLADIMIR RIVERO RIVERO"/>
    <n v="18999575"/>
    <x v="1"/>
    <s v="O&amp;M"/>
    <s v="PENDIENTE INFORMACIÓN"/>
    <x v="0"/>
    <x v="0"/>
    <x v="1"/>
    <x v="3"/>
    <s v="Por Certificar"/>
    <s v="-"/>
    <s v="Por Certificar"/>
    <s v="-"/>
    <s v="-"/>
    <s v="SI"/>
    <m/>
  </r>
  <r>
    <s v="CARABOBO"/>
    <s v="CORPORACIÓN FIBEX TELECOM, C.A."/>
    <n v="2672573314"/>
    <s v="WUILLY ALBERTO ESCALONA NAVEDA"/>
    <n v="15897980"/>
    <x v="0"/>
    <s v="O&amp;M"/>
    <s v="PENDIENTE INFORMACIÓN"/>
    <x v="0"/>
    <x v="0"/>
    <x v="1"/>
    <x v="3"/>
    <s v="Por Certificar"/>
    <s v="-"/>
    <s v="Por Certificar"/>
    <s v="-"/>
    <s v="-"/>
    <s v="SI"/>
    <m/>
  </r>
  <r>
    <s v="CARABOBO"/>
    <s v="CORPORACIÓN FIBEX TELECOM, C.A."/>
    <n v="2672573314"/>
    <s v="ANTHONYS RAUL TOVAR GIRALDO"/>
    <n v="26019988"/>
    <x v="1"/>
    <s v="O&amp;M"/>
    <s v="PENDIENTE INFORMACIÓN"/>
    <x v="0"/>
    <x v="0"/>
    <x v="1"/>
    <x v="3"/>
    <s v="Por Certificar"/>
    <s v="-"/>
    <s v="Por Certificar"/>
    <s v="-"/>
    <s v="-"/>
    <s v="SI"/>
    <m/>
  </r>
  <r>
    <s v="CARABOBO"/>
    <s v="CORPORACIÓN FIBEX TELECOM, C.A."/>
    <n v="2672573314"/>
    <s v="KEIVID JOSE OLIVERO LOPEZ"/>
    <n v="30639871"/>
    <x v="1"/>
    <s v="O&amp;M"/>
    <s v="PENDIENTE INFORMACIÓN"/>
    <x v="0"/>
    <x v="0"/>
    <x v="1"/>
    <x v="3"/>
    <s v="Por Certificar"/>
    <s v="-"/>
    <s v="Por Certificar"/>
    <s v="-"/>
    <s v="-"/>
    <s v="SI"/>
    <m/>
  </r>
  <r>
    <s v="CARABOBO"/>
    <s v="CORPORACIÓN FIBEX TELECOM, C.A."/>
    <n v="2672573314"/>
    <s v="JORBER JOSE ROMERO RIVERO"/>
    <n v="21029364"/>
    <x v="1"/>
    <s v="O&amp;M"/>
    <s v="PENDIENTE INFORMACIÓN"/>
    <x v="0"/>
    <x v="0"/>
    <x v="1"/>
    <x v="3"/>
    <s v="Por Certificar"/>
    <s v="-"/>
    <s v="Por Certificar"/>
    <s v="-"/>
    <s v="-"/>
    <s v="SI"/>
    <m/>
  </r>
  <r>
    <s v="CARABOBO"/>
    <s v="CORPORACIÓN FIBEX TELECOM, C.A."/>
    <n v="2672573314"/>
    <s v="CARLOS JOSE IZQUIERDO MUÑOZ"/>
    <n v="24443641"/>
    <x v="1"/>
    <s v="O&amp;M"/>
    <s v="PENDIENTE INFORMACIÓN"/>
    <x v="0"/>
    <x v="0"/>
    <x v="1"/>
    <x v="3"/>
    <s v="Por Certificar"/>
    <s v="-"/>
    <s v="Por Certificar"/>
    <s v="-"/>
    <s v="-"/>
    <s v="SI"/>
    <m/>
  </r>
  <r>
    <s v="CARABOBO"/>
    <s v="CORPORACIÓN FIBEX TELECOM, C.A."/>
    <n v="2672573314"/>
    <s v="JOSE MANUEL RANGEL UZCATEGUI"/>
    <n v="18748734"/>
    <x v="1"/>
    <s v="O&amp;M"/>
    <s v="PENDIENTE INFORMACIÓN"/>
    <x v="0"/>
    <x v="0"/>
    <x v="1"/>
    <x v="3"/>
    <s v="Por Certificar"/>
    <s v="-"/>
    <s v="Por Certificar"/>
    <s v="-"/>
    <s v="-"/>
    <s v="SI"/>
    <m/>
  </r>
  <r>
    <s v="CARABOBO"/>
    <s v="CORPORACIÓN FIBEX TELECOM, C.A."/>
    <n v="2672573314"/>
    <s v="WILLIAM STARLYN MOREY ACOSTA"/>
    <n v="24629986"/>
    <x v="0"/>
    <s v="MDC"/>
    <s v="PENDIENTE INFORMACIÓN"/>
    <x v="0"/>
    <x v="0"/>
    <x v="1"/>
    <x v="3"/>
    <s v="Por Certificar"/>
    <s v="-"/>
    <s v="Por Certificar"/>
    <s v="-"/>
    <s v="-"/>
    <s v="SI"/>
    <m/>
  </r>
  <r>
    <s v="CARABOBO"/>
    <s v="CORPORACIÓN FIBEX TELECOM, C.A."/>
    <n v="2672573314"/>
    <s v="TERSY ALI FERRER ROMERO"/>
    <n v="16449647"/>
    <x v="1"/>
    <s v="MDC"/>
    <s v="PENDIENTE INFORMACIÓN"/>
    <x v="0"/>
    <x v="0"/>
    <x v="1"/>
    <x v="3"/>
    <s v="Por Certificar"/>
    <s v="-"/>
    <s v="Por Certificar"/>
    <s v="-"/>
    <s v="-"/>
    <s v="SI"/>
    <m/>
  </r>
  <r>
    <s v="CARABOBO"/>
    <s v="CORPORACIÓN FIBEX TELECOM, C.A."/>
    <n v="2672573314"/>
    <s v="CARLOS DAVID LINARES HERNANDEZ                             "/>
    <n v="27111205"/>
    <x v="0"/>
    <s v="MDC"/>
    <s v="PENDIENTE INFORMACIÓN"/>
    <x v="0"/>
    <x v="0"/>
    <x v="1"/>
    <x v="3"/>
    <s v="Por Certificar"/>
    <s v="-"/>
    <s v="Por Certificar"/>
    <s v="-"/>
    <s v="-"/>
    <s v="SI"/>
    <m/>
  </r>
  <r>
    <s v="CARABOBO"/>
    <s v="CORPORACIÓN FIBEX TELECOM, C.A."/>
    <n v="2672573314"/>
    <s v="RICHARD ALEJANDRO DIAZ DIAZ                            "/>
    <n v="27548643"/>
    <x v="1"/>
    <s v="MDC"/>
    <s v="PENDIENTE INFORMACIÓN"/>
    <x v="0"/>
    <x v="0"/>
    <x v="1"/>
    <x v="3"/>
    <s v="Por Certificar"/>
    <s v="-"/>
    <s v="Por Certificar"/>
    <s v="-"/>
    <s v="-"/>
    <s v="SI"/>
    <m/>
  </r>
  <r>
    <s v="CARABOBO"/>
    <s v="CORPORACIÓN FIBEX TELECOM, C.A."/>
    <n v="2672573314"/>
    <s v="JESUS EDUARDO MENDOZA MERCADO"/>
    <n v="28113122"/>
    <x v="1"/>
    <s v="MDC"/>
    <s v="PENDIENTE INFORMACIÓN"/>
    <x v="0"/>
    <x v="0"/>
    <x v="1"/>
    <x v="3"/>
    <s v="Por Certificar"/>
    <s v="-"/>
    <s v="Por Certificar"/>
    <s v="-"/>
    <s v="-"/>
    <s v="SI"/>
    <m/>
  </r>
  <r>
    <s v="CARABOBO"/>
    <s v="CORPORACIÓN FIBEX TELECOM, C.A."/>
    <n v="2672573314"/>
    <s v="CRISTHIAN JOSE GUEVARA GUEVARA"/>
    <n v="19021730"/>
    <x v="0"/>
    <s v="MDC"/>
    <s v="PENDIENTE INFORMACIÓN"/>
    <x v="0"/>
    <x v="0"/>
    <x v="1"/>
    <x v="3"/>
    <s v="Por Certificar"/>
    <s v="-"/>
    <s v="Por Certificar"/>
    <s v="-"/>
    <s v="-"/>
    <s v="SI"/>
    <m/>
  </r>
  <r>
    <s v="CARABOBO"/>
    <s v="CORPORACIÓN FIBEX TELECOM, C.A."/>
    <n v="2672573314"/>
    <s v="FRANKLIN JAVIER SALAZAR GALLARDO                         "/>
    <n v="20700562"/>
    <x v="0"/>
    <s v="MDC"/>
    <s v="PENDIENTE INFORMACIÓN"/>
    <x v="0"/>
    <x v="0"/>
    <x v="1"/>
    <x v="3"/>
    <s v="Por Certificar"/>
    <s v="-"/>
    <s v="Por Certificar"/>
    <s v="-"/>
    <s v="-"/>
    <s v="SI"/>
    <m/>
  </r>
  <r>
    <s v="CARABOBO"/>
    <s v="CORPORACIÓN FIBEX TELECOM, C.A."/>
    <n v="2672573314"/>
    <s v="RICARDO DAVID CASTILLO RONDON"/>
    <n v="30096039"/>
    <x v="1"/>
    <s v="MDC"/>
    <s v="PENDIENTE INFORMACIÓN"/>
    <x v="0"/>
    <x v="0"/>
    <x v="1"/>
    <x v="3"/>
    <s v="Por Certificar"/>
    <s v="-"/>
    <s v="Por Certificar"/>
    <s v="-"/>
    <s v="-"/>
    <s v="SI"/>
    <m/>
  </r>
  <r>
    <s v="CARABOBO"/>
    <s v="CORPORACIÓN FIBEX TELECOM, C.A."/>
    <n v="2672573314"/>
    <s v="EDGAR JOSE FLORES MARTINEZ"/>
    <n v="19781281"/>
    <x v="1"/>
    <s v="O&amp;M"/>
    <s v="PENDIENTE INFORMACIÓN"/>
    <x v="0"/>
    <x v="0"/>
    <x v="1"/>
    <x v="3"/>
    <s v="Por Certificar"/>
    <s v="-"/>
    <s v="Por Certificar"/>
    <s v="-"/>
    <s v="-"/>
    <s v="SI"/>
    <m/>
  </r>
  <r>
    <s v="CARABOBO"/>
    <s v="CORPORACIÓN FIBEX TELECOM, C.A."/>
    <n v="2672573314"/>
    <s v="JULIO CESAR AROCHA BRITO"/>
    <n v="14571391"/>
    <x v="1"/>
    <s v="O&amp;M"/>
    <s v="PENDIENTE INFORMACIÓN"/>
    <x v="0"/>
    <x v="0"/>
    <x v="1"/>
    <x v="3"/>
    <s v="Por Certificar"/>
    <s v="-"/>
    <s v="Por Certificar"/>
    <s v="-"/>
    <s v="-"/>
    <s v="SI"/>
    <m/>
  </r>
  <r>
    <s v="CARABOBO"/>
    <s v="CORPORACIÓN FIBEX TELECOM, C.A."/>
    <n v="2672573314"/>
    <s v="FRANKLIN JESUS LOPEZ DELGADO"/>
    <n v="25969677"/>
    <x v="0"/>
    <s v="O&amp;M"/>
    <s v="PENDIENTE INFORMACIÓN"/>
    <x v="0"/>
    <x v="0"/>
    <x v="1"/>
    <x v="3"/>
    <s v="Por Certificar"/>
    <s v="-"/>
    <s v="Por Certificar"/>
    <s v="-"/>
    <s v="-"/>
    <s v="SI"/>
    <m/>
  </r>
  <r>
    <s v="CARABOBO"/>
    <s v="CORPORACIÓN FIBEX TELECOM, C.A."/>
    <n v="2672573314"/>
    <s v="JONATHAN ALEJANDRO ALVARADO MENDOZA"/>
    <n v="29525255"/>
    <x v="4"/>
    <s v="O&amp;M"/>
    <s v="PENDIENTE INFORMACIÓN"/>
    <x v="0"/>
    <x v="0"/>
    <x v="1"/>
    <x v="3"/>
    <s v="Por Certificar"/>
    <s v="-"/>
    <s v="Por Certificar"/>
    <s v="-"/>
    <s v="-"/>
    <s v="SI"/>
    <m/>
  </r>
  <r>
    <s v="CARABOBO"/>
    <s v="CORPORACIÓN FIBEX TELECOM, C.A."/>
    <n v="2672573314"/>
    <s v="ANDRES DAVID MARTINEZ CASTRO"/>
    <n v="27228497"/>
    <x v="3"/>
    <s v="O&amp;M"/>
    <s v="PENDIENTE INFORMACIÓN"/>
    <x v="0"/>
    <x v="0"/>
    <x v="1"/>
    <x v="3"/>
    <s v="Por Certificar"/>
    <s v="-"/>
    <s v="Por Certificar"/>
    <s v="-"/>
    <s v="-"/>
    <s v="SI"/>
    <m/>
  </r>
  <r>
    <s v="CARABOBO"/>
    <s v="CORPORACIÓN FIBEX TELECOM, C.A."/>
    <n v="2672573314"/>
    <s v="ANDRES JOSE BRITO RODRIGUEZ"/>
    <n v="23439354"/>
    <x v="0"/>
    <s v="O&amp;M"/>
    <s v="PENDIENTE INFORMACIÓN"/>
    <x v="0"/>
    <x v="0"/>
    <x v="1"/>
    <x v="3"/>
    <s v="Por Certificar"/>
    <s v="-"/>
    <s v="Por Certificar"/>
    <s v="-"/>
    <s v="-"/>
    <s v="SI"/>
    <m/>
  </r>
  <r>
    <s v="CARABOBO"/>
    <s v="CORPORACIÓN FIBEX TELECOM, C.A."/>
    <n v="2672573314"/>
    <s v="KEIBER JOEL RODRIGUEZ VILLALOBOS"/>
    <n v="24569140"/>
    <x v="0"/>
    <s v="O&amp;M"/>
    <s v="PENDIENTE INFORMACIÓN"/>
    <x v="0"/>
    <x v="0"/>
    <x v="1"/>
    <x v="3"/>
    <s v="Por Certificar"/>
    <s v="-"/>
    <s v="Por Certificar"/>
    <s v="-"/>
    <s v="-"/>
    <s v="SI"/>
    <m/>
  </r>
  <r>
    <s v="CARABOBO"/>
    <s v="CORPORACIÓN FIBEX TELECOM, C.A."/>
    <n v="2672573314"/>
    <s v="WILMER THOMAS OCHOA MARTINEZ"/>
    <n v="27853422"/>
    <x v="0"/>
    <s v="O&amp;M"/>
    <s v="PENDIENTE INFORMACIÓN"/>
    <x v="0"/>
    <x v="0"/>
    <x v="1"/>
    <x v="3"/>
    <s v="Por Certificar"/>
    <s v="-"/>
    <s v="Por Certificar"/>
    <s v="-"/>
    <s v="-"/>
    <s v="SI"/>
    <m/>
  </r>
  <r>
    <s v="CARABOBO"/>
    <s v="CORPORACIÓN FIBEX TELECOM, C.A."/>
    <n v="2672573314"/>
    <s v="DAVID ALEXANDER VILLANUEVA JIMENEZ"/>
    <n v="16153508"/>
    <x v="1"/>
    <s v="O&amp;M"/>
    <s v="PENDIENTE INFORMACIÓN"/>
    <x v="0"/>
    <x v="0"/>
    <x v="1"/>
    <x v="3"/>
    <s v="Por Certificar"/>
    <s v="-"/>
    <s v="Por Certificar"/>
    <s v="-"/>
    <s v="-"/>
    <s v="SI"/>
    <m/>
  </r>
  <r>
    <s v="CARABOBO"/>
    <s v="CORPORACIÓN FIBEX TELECOM, C.A."/>
    <n v="2672573314"/>
    <s v="JESUS ANIBAL MILLA RODRIGUEZ"/>
    <n v="23428900"/>
    <x v="0"/>
    <s v="O&amp;M"/>
    <s v="PENDIENTE INFORMACIÓN"/>
    <x v="0"/>
    <x v="0"/>
    <x v="1"/>
    <x v="3"/>
    <s v="Por Certificar"/>
    <s v="-"/>
    <s v="Por Certificar"/>
    <s v="-"/>
    <s v="-"/>
    <s v="SI"/>
    <m/>
  </r>
  <r>
    <s v="CARABOBO"/>
    <s v="CORPORACIÓN FIBEX TELECOM, C.A."/>
    <n v="2672573314"/>
    <s v="DIEGO ALBERTO VALERA OLIVERA"/>
    <n v="27856677"/>
    <x v="1"/>
    <s v="O&amp;M"/>
    <s v="PENDIENTE INFORMACIÓN"/>
    <x v="0"/>
    <x v="0"/>
    <x v="1"/>
    <x v="3"/>
    <s v="Por Certificar"/>
    <s v="-"/>
    <s v="Por Certificar"/>
    <s v="-"/>
    <s v="-"/>
    <s v="SI"/>
    <m/>
  </r>
  <r>
    <s v="CARABOBO"/>
    <s v="CORPORACIÓN FIBEX TELECOM, C.A."/>
    <n v="2672573314"/>
    <s v="FELIZARDO EWINSON FABELO PEREZ"/>
    <n v="27343317"/>
    <x v="1"/>
    <s v="O&amp;M"/>
    <s v="PENDIENTE INFORMACIÓN"/>
    <x v="0"/>
    <x v="0"/>
    <x v="1"/>
    <x v="3"/>
    <s v="Por Certificar"/>
    <s v="-"/>
    <s v="Por Certificar"/>
    <s v="-"/>
    <s v="-"/>
    <s v="SI"/>
    <m/>
  </r>
  <r>
    <s v="CARABOBO"/>
    <s v="CORPORACIÓN FIBEX TELECOM, C.A."/>
    <n v="2672573314"/>
    <s v="EDGAR ALBERTO OJEDA FLORES"/>
    <n v="22556069"/>
    <x v="0"/>
    <s v="O&amp;M"/>
    <s v="PENDIENTE INFORMACIÓN"/>
    <x v="0"/>
    <x v="0"/>
    <x v="1"/>
    <x v="3"/>
    <s v="Por Certificar"/>
    <s v="-"/>
    <s v="Por Certificar"/>
    <s v="-"/>
    <s v="-"/>
    <s v="SI"/>
    <m/>
  </r>
  <r>
    <s v="CARABOBO"/>
    <s v="CORPORACIÓN FIBEX TELECOM, C.A."/>
    <n v="2672573314"/>
    <s v="GABRIEL ALEJANDRO CursadoLVA HERRERA"/>
    <n v="26160665"/>
    <x v="0"/>
    <s v="O&amp;M"/>
    <s v="PENDIENTE INFORMACIÓN"/>
    <x v="0"/>
    <x v="0"/>
    <x v="1"/>
    <x v="3"/>
    <s v="Por Certificar"/>
    <s v="-"/>
    <s v="Por Certificar"/>
    <s v="-"/>
    <s v="-"/>
    <s v="SI"/>
    <m/>
  </r>
  <r>
    <s v="CARABOBO"/>
    <s v="CORPORACIÓN FIBEX TELECOM, C.A."/>
    <n v="2672573314"/>
    <s v="RODOLFO ALEXANDER ESCALONA PAREDES"/>
    <n v="22223195"/>
    <x v="1"/>
    <s v="O&amp;M"/>
    <s v="PENDIENTE INFORMACIÓN"/>
    <x v="0"/>
    <x v="0"/>
    <x v="1"/>
    <x v="3"/>
    <s v="Por Certificar"/>
    <s v="-"/>
    <s v="Por Certificar"/>
    <s v="-"/>
    <s v="-"/>
    <s v="SI"/>
    <m/>
  </r>
  <r>
    <s v="CARABOBO"/>
    <s v="CORPORACIÓN FIBEX TELECOM, C.A."/>
    <n v="2672573314"/>
    <s v="ENDRY RAFAEL DIAZ NOGUERA"/>
    <n v="26547722"/>
    <x v="0"/>
    <s v="O&amp;M"/>
    <s v="PENDIENTE INFORMACIÓN"/>
    <x v="0"/>
    <x v="0"/>
    <x v="1"/>
    <x v="3"/>
    <s v="Por Certificar"/>
    <s v="-"/>
    <s v="Por Certificar"/>
    <s v="-"/>
    <s v="-"/>
    <s v="SI"/>
    <m/>
  </r>
  <r>
    <s v="CARABOBO"/>
    <s v="CORPORACIÓN FIBEX TELECOM, C.A."/>
    <n v="2672573314"/>
    <s v="MANUEL ALEJANDRO ESPITIA PULIDO"/>
    <n v="18957458"/>
    <x v="0"/>
    <s v="O&amp;M"/>
    <s v="PENDIENTE INFORMACIÓN"/>
    <x v="0"/>
    <x v="0"/>
    <x v="1"/>
    <x v="3"/>
    <s v="Por Certificar"/>
    <s v="-"/>
    <s v="Por Certificar"/>
    <s v="-"/>
    <s v="-"/>
    <s v="SI"/>
    <m/>
  </r>
  <r>
    <s v="CARABOBO"/>
    <s v="CORPORACIÓN FIBEX TELECOM, C.A."/>
    <n v="2672573314"/>
    <s v="GREGORI DE  JESUS VILORIA OLIVO"/>
    <n v="21479038"/>
    <x v="0"/>
    <s v="O&amp;M"/>
    <s v="PENDIENTE INFORMACIÓN"/>
    <x v="0"/>
    <x v="0"/>
    <x v="1"/>
    <x v="3"/>
    <s v="Por Certificar"/>
    <s v="-"/>
    <s v="Por Certificar"/>
    <s v="-"/>
    <s v="-"/>
    <s v="SI"/>
    <m/>
  </r>
  <r>
    <s v="CARABOBO"/>
    <s v="CORPORACIÓN FIBEX TELECOM, C.A."/>
    <n v="2672573314"/>
    <s v="MANUEL JESUS MARCHAN DIAZ"/>
    <n v="27429749"/>
    <x v="0"/>
    <s v="O&amp;M"/>
    <s v="PENDIENTE INFORMACIÓN"/>
    <x v="0"/>
    <x v="0"/>
    <x v="1"/>
    <x v="3"/>
    <s v="Por Certificar"/>
    <s v="-"/>
    <s v="Por Certificar"/>
    <s v="-"/>
    <s v="-"/>
    <s v="SI"/>
    <m/>
  </r>
  <r>
    <s v="CARABOBO"/>
    <s v="CORPORACIÓN FIBEX TELECOM, C.A."/>
    <n v="2672573314"/>
    <s v="GREGORY ALEXANDER ZAPATA OLIVEROS"/>
    <n v="21584523"/>
    <x v="1"/>
    <s v="O&amp;M"/>
    <s v="PENDIENTE INFORMACIÓN"/>
    <x v="0"/>
    <x v="0"/>
    <x v="1"/>
    <x v="3"/>
    <s v="Por Certificar"/>
    <s v="-"/>
    <s v="Por Certificar"/>
    <s v="-"/>
    <s v="-"/>
    <s v="SI"/>
    <m/>
  </r>
  <r>
    <s v="CARABOBO"/>
    <s v="CORPORACIÓN FIBEX TELECOM, C.A."/>
    <n v="2672573314"/>
    <s v="KELVIN ALBERTO GARCIA VILLEGAS"/>
    <n v="24630491"/>
    <x v="1"/>
    <s v="O&amp;M"/>
    <s v="PENDIENTE INFORMACIÓN"/>
    <x v="0"/>
    <x v="0"/>
    <x v="1"/>
    <x v="3"/>
    <s v="Por Certificar"/>
    <s v="-"/>
    <s v="Por Certificar"/>
    <s v="-"/>
    <s v="-"/>
    <s v="SI"/>
    <m/>
  </r>
  <r>
    <s v="CARABOBO"/>
    <s v="CORPORACIÓN FIBEX TELECOM, C.A."/>
    <n v="2672573314"/>
    <s v="CARLOS LUIS NAVEDA LOPEZ"/>
    <n v="21242031"/>
    <x v="1"/>
    <s v="O&amp;M"/>
    <s v="PENDIENTE INFORMACIÓN"/>
    <x v="0"/>
    <x v="0"/>
    <x v="1"/>
    <x v="3"/>
    <s v="Por Certificar"/>
    <s v="-"/>
    <s v="Por Certificar"/>
    <s v="-"/>
    <s v="-"/>
    <s v="SI"/>
    <m/>
  </r>
  <r>
    <s v="CARABOBO"/>
    <s v="CORPORACIÓN FIBEX TELECOM, C.A."/>
    <n v="2672573314"/>
    <s v="OSCAR ALBERTO HERRERA HERNANDEZ"/>
    <n v="17258128"/>
    <x v="0"/>
    <s v="O&amp;M"/>
    <s v="PENDIENTE INFORMACIÓN"/>
    <x v="0"/>
    <x v="0"/>
    <x v="1"/>
    <x v="3"/>
    <s v="Por Certificar"/>
    <s v="-"/>
    <s v="Por Certificar"/>
    <s v="-"/>
    <s v="-"/>
    <s v="SI"/>
    <m/>
  </r>
  <r>
    <s v="CARABOBO"/>
    <s v="CORPORACIÓN FIBEX TELECOM, C.A."/>
    <n v="2672573314"/>
    <s v="RAIBER ERNESTO ROJAS ROJAS"/>
    <n v="26505710"/>
    <x v="1"/>
    <s v="O&amp;M"/>
    <s v="PENDIENTE INFORMACIÓN"/>
    <x v="0"/>
    <x v="0"/>
    <x v="1"/>
    <x v="3"/>
    <s v="Por Certificar"/>
    <s v="-"/>
    <s v="Por Certificar"/>
    <s v="-"/>
    <s v="-"/>
    <s v="SI"/>
    <m/>
  </r>
  <r>
    <s v="CARABOBO"/>
    <s v="CORPORACIÓN FIBEX TELECOM, C.A."/>
    <n v="2672573314"/>
    <s v="JACKSSON RAMON LINERO HERNANDEZ"/>
    <n v="12477987"/>
    <x v="1"/>
    <s v="O&amp;M"/>
    <s v="PENDIENTE INFORMACIÓN"/>
    <x v="0"/>
    <x v="0"/>
    <x v="1"/>
    <x v="3"/>
    <s v="Por Certificar"/>
    <s v="-"/>
    <s v="Por Certificar"/>
    <s v="-"/>
    <s v="-"/>
    <s v="SI"/>
    <m/>
  </r>
  <r>
    <s v="CARABOBO"/>
    <s v="CORPORACIÓN FIBEX TELECOM, C.A."/>
    <n v="2672573314"/>
    <s v="RAFAEL ANDRES MARTINEZ REBOLLEDO"/>
    <n v="10983025"/>
    <x v="1"/>
    <s v="O&amp;M"/>
    <s v="PENDIENTE INFORMACIÓN"/>
    <x v="0"/>
    <x v="0"/>
    <x v="1"/>
    <x v="3"/>
    <s v="Por Certificar"/>
    <s v="-"/>
    <s v="Por Certificar"/>
    <s v="-"/>
    <s v="-"/>
    <s v="SI"/>
    <m/>
  </r>
  <r>
    <s v="CARABOBO"/>
    <s v="CORPORACIÓN FIBEX TELECOM, C.A."/>
    <n v="2672573314"/>
    <s v="EMMANUEL HUMBERTO ZILLIANNI NIÑO"/>
    <n v="19021731"/>
    <x v="0"/>
    <s v="O&amp;M"/>
    <s v="PENDIENTE INFORMACIÓN"/>
    <x v="0"/>
    <x v="0"/>
    <x v="1"/>
    <x v="3"/>
    <s v="Por Certificar"/>
    <s v="-"/>
    <s v="Por Certificar"/>
    <s v="-"/>
    <s v="-"/>
    <s v="SI"/>
    <m/>
  </r>
  <r>
    <s v="CARABOBO"/>
    <s v="CORPORACIÓN FIBEX TELECOM, C.A."/>
    <n v="2672573314"/>
    <s v="DANIEL ENRIQUE PALENCIA ESCALONA"/>
    <n v="24423848"/>
    <x v="0"/>
    <s v="O&amp;M"/>
    <s v="PENDIENTE INFORMACIÓN"/>
    <x v="0"/>
    <x v="0"/>
    <x v="1"/>
    <x v="3"/>
    <s v="Por Certificar"/>
    <s v="-"/>
    <s v="Por Certificar"/>
    <s v="-"/>
    <s v="-"/>
    <s v="SI"/>
    <m/>
  </r>
  <r>
    <s v="CARABOBO"/>
    <s v="CORPORACIÓN FIBEX TELECOM, C.A."/>
    <n v="2672573314"/>
    <s v="ARGENIS ALEXANDER RODRIGUEZ AMAYA"/>
    <n v="17066007"/>
    <x v="0"/>
    <s v="O&amp;M"/>
    <s v="PENDIENTE INFORMACIÓN"/>
    <x v="0"/>
    <x v="0"/>
    <x v="1"/>
    <x v="3"/>
    <s v="Por Certificar"/>
    <s v="-"/>
    <s v="Por Certificar"/>
    <s v="-"/>
    <s v="-"/>
    <s v="SI"/>
    <m/>
  </r>
  <r>
    <s v="CARABOBO"/>
    <s v="CORPORACIÓN FIBEX TELECOM, C.A."/>
    <n v="2672573314"/>
    <s v="YONATHAN RAFAEL TERAN GONZALEZ"/>
    <n v="19983654"/>
    <x v="1"/>
    <s v="O&amp;M"/>
    <s v="PENDIENTE INFORMACIÓN"/>
    <x v="0"/>
    <x v="0"/>
    <x v="1"/>
    <x v="3"/>
    <s v="Por Certificar"/>
    <s v="-"/>
    <s v="Por Certificar"/>
    <s v="-"/>
    <s v="-"/>
    <s v="SI"/>
    <m/>
  </r>
  <r>
    <s v="CARABOBO"/>
    <s v="CORPORACIÓN FIBEX TELECOM, C.A."/>
    <n v="2672573314"/>
    <s v="ENYER JOSE SEMPRUN SOLARTE"/>
    <n v="20162683"/>
    <x v="0"/>
    <s v="O&amp;M"/>
    <s v="PENDIENTE INFORMACIÓN"/>
    <x v="0"/>
    <x v="0"/>
    <x v="1"/>
    <x v="3"/>
    <s v="Por Certificar"/>
    <s v="-"/>
    <s v="Por Certificar"/>
    <s v="-"/>
    <s v="-"/>
    <s v="SI"/>
    <m/>
  </r>
  <r>
    <s v="CARABOBO"/>
    <s v="CORPORACIÓN FIBEX TELECOM, C.A."/>
    <n v="2672573314"/>
    <s v="JESUS ABRAHAN FLORES BARRETO"/>
    <n v="25317710"/>
    <x v="0"/>
    <s v="O&amp;M"/>
    <s v="PENDIENTE INFORMACIÓN"/>
    <x v="0"/>
    <x v="0"/>
    <x v="1"/>
    <x v="3"/>
    <s v="Por Certificar"/>
    <s v="-"/>
    <s v="Por Certificar"/>
    <s v="-"/>
    <s v="-"/>
    <s v="SI"/>
    <m/>
  </r>
  <r>
    <s v="CARABOBO"/>
    <s v="CORPORACIÓN FIBEX TELECOM, C.A."/>
    <n v="2672573314"/>
    <s v="LENNER ALBERTO ROSARIO ERA"/>
    <n v="13518832"/>
    <x v="1"/>
    <s v="O&amp;M"/>
    <s v="PENDIENTE INFORMACIÓN"/>
    <x v="0"/>
    <x v="0"/>
    <x v="1"/>
    <x v="3"/>
    <s v="Por Certificar"/>
    <s v="-"/>
    <s v="Por Certificar"/>
    <s v="-"/>
    <s v="-"/>
    <s v="SI"/>
    <m/>
  </r>
  <r>
    <s v="CARABOBO"/>
    <s v="CORPORACIÓN FIBEX TELECOM, C.A."/>
    <n v="2672573314"/>
    <s v="DAMASO JUNIOR MONTECSINOS PINTO"/>
    <n v="19129032"/>
    <x v="0"/>
    <s v="O&amp;M"/>
    <s v="PENDIENTE INFORMACIÓN"/>
    <x v="0"/>
    <x v="0"/>
    <x v="1"/>
    <x v="3"/>
    <s v="Por Certificar"/>
    <s v="-"/>
    <s v="Por Certificar"/>
    <s v="-"/>
    <s v="-"/>
    <s v="SI"/>
    <m/>
  </r>
  <r>
    <s v="CARABOBO"/>
    <s v="CORPORACIÓN FIBEX TELECOM, C.A."/>
    <n v="2672573314"/>
    <s v="ANTONIO SEGUNDO MORILLO CHIRINOS"/>
    <n v="15310284"/>
    <x v="1"/>
    <s v="O&amp;M"/>
    <s v="PENDIENTE INFORMACIÓN"/>
    <x v="0"/>
    <x v="0"/>
    <x v="1"/>
    <x v="3"/>
    <s v="Por Certificar"/>
    <s v="-"/>
    <s v="Por Certificar"/>
    <s v="-"/>
    <s v="-"/>
    <s v="SI"/>
    <m/>
  </r>
  <r>
    <s v="CARABOBO"/>
    <s v="CORPORACIÓN FIBEX TELECOM, C.A."/>
    <n v="2672573314"/>
    <s v="YOAN ANTONIO TERAN PINTO"/>
    <n v="22515360"/>
    <x v="1"/>
    <s v="O&amp;M"/>
    <s v="PENDIENTE INFORMACIÓN"/>
    <x v="0"/>
    <x v="0"/>
    <x v="1"/>
    <x v="3"/>
    <s v="Por Certificar"/>
    <s v="-"/>
    <s v="Por Certificar"/>
    <s v="-"/>
    <s v="-"/>
    <s v="SI"/>
    <m/>
  </r>
  <r>
    <s v="CARABOBO"/>
    <s v="CORPORACIÓN FIBEX TELECOM, C.A."/>
    <n v="2672573314"/>
    <s v="CESAR ELIAS LEAL GUTIERREZ"/>
    <n v="29785845"/>
    <x v="0"/>
    <s v="CDR"/>
    <s v="PENDIENTE INFORMACIÓN"/>
    <x v="0"/>
    <x v="0"/>
    <x v="1"/>
    <x v="3"/>
    <s v="Por Certificar"/>
    <s v="-"/>
    <s v="Por Certificar"/>
    <s v="-"/>
    <s v="-"/>
    <s v="SI"/>
    <m/>
  </r>
  <r>
    <s v="CARABOBO"/>
    <s v="CORPORACIÓN FIBEX TELECOM, C.A."/>
    <n v="2672573314"/>
    <s v="FERNANDO ADOLFO CASTILLO FRANCO"/>
    <n v="18611964"/>
    <x v="0"/>
    <s v="CDR"/>
    <s v="PENDIENTE INFORMACIÓN"/>
    <x v="0"/>
    <x v="0"/>
    <x v="1"/>
    <x v="3"/>
    <s v="Por Certificar"/>
    <s v="-"/>
    <s v="Por Certificar"/>
    <s v="-"/>
    <s v="-"/>
    <s v="SI"/>
    <m/>
  </r>
  <r>
    <s v="CARABOBO"/>
    <s v="CORPORACIÓN FIBEX TELECOM, C.A."/>
    <n v="2672573314"/>
    <s v="JOEL ARGENIS JIMENEZ CASTILLO"/>
    <n v="17595772"/>
    <x v="0"/>
    <s v="CDR"/>
    <s v="PENDIENTE INFORMACIÓN"/>
    <x v="0"/>
    <x v="0"/>
    <x v="1"/>
    <x v="3"/>
    <s v="Por Certificar"/>
    <s v="-"/>
    <s v="Por Certificar"/>
    <s v="-"/>
    <s v="-"/>
    <s v="SI"/>
    <m/>
  </r>
  <r>
    <s v="CARABOBO"/>
    <s v="CORPORACIÓN FIBEX TELECOM, C.A."/>
    <n v="2672573314"/>
    <s v="RODRIGO JOSE FLORES ABREU"/>
    <n v="30046821"/>
    <x v="1"/>
    <s v="CDR"/>
    <s v="PENDIENTE INFORMACIÓN"/>
    <x v="0"/>
    <x v="0"/>
    <x v="1"/>
    <x v="3"/>
    <s v="Por Certificar"/>
    <s v="-"/>
    <s v="Por Certificar"/>
    <s v="-"/>
    <s v="-"/>
    <s v="SI"/>
    <m/>
  </r>
  <r>
    <s v="CARABOBO"/>
    <s v="CORPORACIÓN FIBEX TELECOM, C.A."/>
    <n v="2672573314"/>
    <s v="LUIS EDUARDO ROJAS SALVATIERRA"/>
    <n v="17990552"/>
    <x v="1"/>
    <s v="CDR"/>
    <s v="PENDIENTE INFORMACIÓN"/>
    <x v="0"/>
    <x v="0"/>
    <x v="1"/>
    <x v="3"/>
    <s v="Por Certificar"/>
    <s v="-"/>
    <s v="Por Certificar"/>
    <s v="-"/>
    <s v="-"/>
    <s v="SI"/>
    <m/>
  </r>
  <r>
    <s v="CARABOBO"/>
    <s v="CORPORACIÓN FIBEX TELECOM, C.A."/>
    <n v="2672573314"/>
    <s v="EDUARDO JESUS RAMOS  TRAVIESO"/>
    <n v="18468285"/>
    <x v="1"/>
    <s v="CDR"/>
    <s v="PENDIENTE INFORMACIÓN"/>
    <x v="0"/>
    <x v="0"/>
    <x v="1"/>
    <x v="3"/>
    <s v="Por Certificar"/>
    <s v="-"/>
    <s v="Por Certificar"/>
    <s v="-"/>
    <s v="-"/>
    <s v="SI"/>
    <m/>
  </r>
  <r>
    <s v="CARABOBO"/>
    <s v="CORPORACIÓN FIBEX TELECOM, C.A."/>
    <n v="2672573314"/>
    <s v="YOSMAN JOSE VEGAS REATIGA"/>
    <n v="18254802"/>
    <x v="1"/>
    <s v="CDR"/>
    <s v="PENDIENTE INFORMACIÓN"/>
    <x v="0"/>
    <x v="0"/>
    <x v="1"/>
    <x v="3"/>
    <s v="Por Certificar"/>
    <s v="-"/>
    <s v="Por Certificar"/>
    <s v="-"/>
    <s v="-"/>
    <s v="SI"/>
    <m/>
  </r>
  <r>
    <s v="CARABOBO"/>
    <s v="CORPORACIÓN FIBEX TELECOM, C.A."/>
    <n v="2672573314"/>
    <s v="ARMANDO JOSE PADILLA FERMIN"/>
    <n v="20959115"/>
    <x v="1"/>
    <s v="O&amp;M"/>
    <s v="PENDIENTE INFORMACIÓN"/>
    <x v="0"/>
    <x v="0"/>
    <x v="1"/>
    <x v="3"/>
    <s v="Por Certificar"/>
    <s v="-"/>
    <s v="Por Certificar"/>
    <s v="-"/>
    <s v="-"/>
    <s v="SI"/>
    <m/>
  </r>
  <r>
    <s v="CARABOBO"/>
    <s v="CORPORACIÓN FIBEX TELECOM, C.A."/>
    <n v="2672573314"/>
    <s v="LUIS ALBERTO NAVEDA BORREGALES"/>
    <n v="10230740"/>
    <x v="0"/>
    <s v="O&amp;M"/>
    <s v="PENDIENTE INFORMACIÓN"/>
    <x v="0"/>
    <x v="0"/>
    <x v="1"/>
    <x v="3"/>
    <s v="Por Certificar"/>
    <s v="-"/>
    <s v="Por Certificar"/>
    <s v="-"/>
    <s v="-"/>
    <s v="SI"/>
    <m/>
  </r>
  <r>
    <s v="CARABOBO"/>
    <s v="CORPORACIÓN FIBEX TELECOM, C.A."/>
    <n v="2672573314"/>
    <s v="HANS SVEIN GUTIERREZ VARGAS"/>
    <n v="6197994"/>
    <x v="0"/>
    <s v="O&amp;M"/>
    <s v="PENDIENTE INFORMACIÓN"/>
    <x v="0"/>
    <x v="0"/>
    <x v="1"/>
    <x v="3"/>
    <s v="Por Certificar"/>
    <s v="-"/>
    <s v="Por Certificar"/>
    <s v="-"/>
    <s v="-"/>
    <s v="SI"/>
    <m/>
  </r>
  <r>
    <s v="CARABOBO"/>
    <s v="CORPORACIÓN FIBEX TELECOM, C.A."/>
    <n v="2672573314"/>
    <s v="CRISTOPHER BILLY GUTIERREZ ARCILA"/>
    <n v="15606713"/>
    <x v="1"/>
    <s v="O&amp;M"/>
    <s v="PENDIENTE INFORMACIÓN"/>
    <x v="0"/>
    <x v="0"/>
    <x v="1"/>
    <x v="3"/>
    <s v="Por Certificar"/>
    <s v="-"/>
    <s v="Por Certificar"/>
    <s v="-"/>
    <s v="-"/>
    <s v="SI"/>
    <m/>
  </r>
  <r>
    <s v="CARABOBO"/>
    <s v="CORPORACIÓN FIBEX TELECOM, C.A."/>
    <n v="2672573314"/>
    <s v="JOSE ANTONIO ARIAS RAMOS"/>
    <n v="25476329"/>
    <x v="1"/>
    <s v="O&amp;M"/>
    <s v="PENDIENTE INFORMACIÓN"/>
    <x v="0"/>
    <x v="0"/>
    <x v="1"/>
    <x v="3"/>
    <s v="Por Certificar"/>
    <s v="-"/>
    <s v="Por Certificar"/>
    <s v="-"/>
    <s v="-"/>
    <s v="SI"/>
    <m/>
  </r>
  <r>
    <s v="CARABOBO"/>
    <s v="CORPORACIÓN FIBEX TELECOM, C.A."/>
    <n v="2672573314"/>
    <s v="NELSON JESUS FLORES ESCORCHA"/>
    <n v="17905449"/>
    <x v="0"/>
    <s v="O&amp;M"/>
    <s v="PENDIENTE INFORMACIÓN"/>
    <x v="0"/>
    <x v="0"/>
    <x v="1"/>
    <x v="3"/>
    <s v="Por Certificar"/>
    <s v="-"/>
    <s v="Por Certificar"/>
    <s v="-"/>
    <s v="-"/>
    <s v="SI"/>
    <m/>
  </r>
  <r>
    <s v="CARABOBO"/>
    <s v="CORPORACIÓN FIBEX TELECOM, C.A."/>
    <n v="2672573314"/>
    <s v="JESUS ALEXIS MARTINEZ TOVAR"/>
    <n v="24972191"/>
    <x v="0"/>
    <s v="MDC"/>
    <s v="PENDIENTE INFORMACIÓN"/>
    <x v="1"/>
    <x v="1"/>
    <x v="0"/>
    <x v="0"/>
    <s v="Por Certificar"/>
    <s v="-"/>
    <s v="Por Certificar"/>
    <s v="-"/>
    <s v="-"/>
    <s v="SI"/>
    <m/>
  </r>
  <r>
    <s v="CARABOBO"/>
    <s v="CORPORACIÓN FIBEX TELECOM, C.A."/>
    <n v="2672573314"/>
    <s v="CESAR AUGUSTO BRICEÑO CASTILLO "/>
    <n v="18422251"/>
    <x v="0"/>
    <s v="MDC"/>
    <s v="PENDIENTE INFORMACIÓN"/>
    <x v="1"/>
    <x v="1"/>
    <x v="0"/>
    <x v="0"/>
    <s v="Por Certificar"/>
    <s v="-"/>
    <s v="Por Certificar"/>
    <s v="-"/>
    <s v="-"/>
    <s v="SI"/>
    <m/>
  </r>
  <r>
    <s v="CARABOBO"/>
    <s v="CORPORACIÓN FIBEX TELECOM, C.A."/>
    <n v="2672573314"/>
    <s v="LUIS ALFONZO HERNANDEZ MOLINA"/>
    <n v="14383233"/>
    <x v="0"/>
    <s v="O&amp;M"/>
    <s v="PENDIENTE INFORMACIÓN"/>
    <x v="1"/>
    <x v="1"/>
    <x v="1"/>
    <x v="3"/>
    <s v="Por Certificar"/>
    <s v="-"/>
    <s v="Por Certificar"/>
    <s v="-"/>
    <s v="-"/>
    <s v="SI"/>
    <m/>
  </r>
  <r>
    <s v="CARABOBO"/>
    <s v="CORPORACIÓN FIBEX TELECOM, C.A."/>
    <n v="2672573314"/>
    <s v="MARK MACGWIRE EDUARDO LOYO MORILLO "/>
    <n v="28082113"/>
    <x v="1"/>
    <s v="O&amp;M"/>
    <s v="PENDIENTE INFORMACIÓN"/>
    <x v="1"/>
    <x v="1"/>
    <x v="0"/>
    <x v="0"/>
    <s v="Por Certificar"/>
    <s v="-"/>
    <s v="Por Certificar"/>
    <s v="-"/>
    <s v="-"/>
    <s v="SI"/>
    <m/>
  </r>
  <r>
    <s v="CARABOBO"/>
    <s v="CORPORACIÓN FIBEX TELECOM, C.A."/>
    <n v="2672573314"/>
    <s v="ESTEBAN ISIDRO COLINA CONTRERAS"/>
    <n v="16104188"/>
    <x v="1"/>
    <s v="O&amp;M"/>
    <s v="PENDIENTE INFORMACIÓN"/>
    <x v="1"/>
    <x v="1"/>
    <x v="1"/>
    <x v="3"/>
    <s v="Por Certificar"/>
    <s v="-"/>
    <s v="Por Certificar"/>
    <s v="-"/>
    <s v="-"/>
    <s v="SI"/>
    <m/>
  </r>
  <r>
    <s v="CARABOBO"/>
    <s v="CORPORACIÓN FIBEX TELECOM, C.A."/>
    <n v="2672573314"/>
    <s v="STEVEN JAVIER CASTILLO BAZAN"/>
    <n v="26233912"/>
    <x v="0"/>
    <s v="O&amp;M"/>
    <s v="PENDIENTE INFORMACIÓN"/>
    <x v="1"/>
    <x v="1"/>
    <x v="1"/>
    <x v="3"/>
    <s v="Por Certificar"/>
    <s v="-"/>
    <s v="Por Certificar"/>
    <s v="-"/>
    <s v="-"/>
    <s v="SI"/>
    <m/>
  </r>
  <r>
    <s v="CARABOBO"/>
    <s v="CORPORACIÓN FIBEX TELECOM, C.A."/>
    <n v="2672573314"/>
    <s v="NEIBER CAMPOS OJEDA"/>
    <n v="28529130"/>
    <x v="0"/>
    <s v="O&amp;M"/>
    <s v="PENDIENTE INFORMACIÓN"/>
    <x v="1"/>
    <x v="1"/>
    <x v="1"/>
    <x v="3"/>
    <s v="Por Certificar"/>
    <s v="-"/>
    <s v="Por Certificar"/>
    <s v="-"/>
    <s v="-"/>
    <s v="SI"/>
    <m/>
  </r>
  <r>
    <s v="CARABOBO"/>
    <s v="CORPORACIÓN FIBEX TELECOM, C.A."/>
    <n v="2672573314"/>
    <s v="ARNOLD DAMIEL ATENCIO OJEDA"/>
    <n v="20700337"/>
    <x v="0"/>
    <s v="O&amp;M"/>
    <s v="PENDIENTE INFORMACIÓN"/>
    <x v="1"/>
    <x v="1"/>
    <x v="1"/>
    <x v="3"/>
    <s v="Por Certificar"/>
    <s v="-"/>
    <s v="Por Certificar"/>
    <s v="-"/>
    <s v="-"/>
    <s v="SI"/>
    <m/>
  </r>
  <r>
    <s v="CARABOBO"/>
    <s v="CORPORACIÓN FIBEX TELECOM, C.A."/>
    <n v="2672573314"/>
    <s v="GABRIEL EFRAIN PARRA RODRIGUEZ"/>
    <n v="19667127"/>
    <x v="1"/>
    <s v="O&amp;M"/>
    <s v="PENDIENTE INFORMACIÓN"/>
    <x v="1"/>
    <x v="1"/>
    <x v="1"/>
    <x v="3"/>
    <s v="Por Certificar"/>
    <s v="-"/>
    <s v="Por Certificar"/>
    <s v="-"/>
    <s v="-"/>
    <s v="SI"/>
    <m/>
  </r>
  <r>
    <s v="CARABOBO"/>
    <s v="CORPORACIÓN FIBEX TELECOM, C.A."/>
    <n v="2672573314"/>
    <s v="BRANDON SHANE ESTRADA SALGUERO"/>
    <n v="24710684"/>
    <x v="0"/>
    <s v="O&amp;M"/>
    <s v="PENDIENTE INFORMACIÓN"/>
    <x v="1"/>
    <x v="1"/>
    <x v="1"/>
    <x v="3"/>
    <s v="Por Certificar"/>
    <s v="-"/>
    <s v="Por Certificar"/>
    <s v="-"/>
    <s v="-"/>
    <s v="SI"/>
    <m/>
  </r>
  <r>
    <s v="CARABOBO"/>
    <s v="CORPORACIÓN FIBEX TELECOM, C.A."/>
    <n v="2672573314"/>
    <s v="CARLOS DANIEL PEROZO INFANTE"/>
    <n v="27084198"/>
    <x v="1"/>
    <s v="O&amp;M"/>
    <s v="PENDIENTE INFORMACIÓN"/>
    <x v="1"/>
    <x v="1"/>
    <x v="1"/>
    <x v="3"/>
    <s v="Por Certificar"/>
    <s v="-"/>
    <s v="Por Certificar"/>
    <s v="-"/>
    <s v="-"/>
    <s v="SI"/>
    <m/>
  </r>
  <r>
    <s v="CARABOBO"/>
    <s v="CORPORACIÓN FIBEX TELECOM, C.A."/>
    <n v="2672573314"/>
    <s v=" ACER ANTONIO MUÑOZ CursadoERRA"/>
    <n v="19621336"/>
    <x v="1"/>
    <s v="O&amp;M"/>
    <s v="PENDIENTE INFORMACIÓN"/>
    <x v="1"/>
    <x v="1"/>
    <x v="1"/>
    <x v="4"/>
    <s v="Por Certificar"/>
    <s v="-"/>
    <s v="Por Certificar"/>
    <s v="-"/>
    <s v="-"/>
    <s v="SI"/>
    <m/>
  </r>
  <r>
    <s v="CARABOBO"/>
    <s v="CORPORACIÓN FIBEX TELECOM, C.A."/>
    <n v="2672573314"/>
    <s v="ERICK CASTILLO CASTILLO"/>
    <n v="15496280"/>
    <x v="0"/>
    <s v="O&amp;M"/>
    <s v="PENDIENTE INFORMACIÓN"/>
    <x v="1"/>
    <x v="1"/>
    <x v="1"/>
    <x v="3"/>
    <s v="Por Certificar"/>
    <s v="-"/>
    <s v="Por Certificar"/>
    <s v="-"/>
    <s v="-"/>
    <s v="SI"/>
    <m/>
  </r>
  <r>
    <s v="CARABOBO"/>
    <s v="CORPORACIÓN FIBEX TELECOM, C.A."/>
    <n v="2672573314"/>
    <s v="DANIEL ALEJANDRO AMAYA LOPEZ"/>
    <n v="24859431"/>
    <x v="1"/>
    <s v="O&amp;M"/>
    <s v="PENDIENTE INFORMACIÓN"/>
    <x v="1"/>
    <x v="1"/>
    <x v="1"/>
    <x v="3"/>
    <s v="Por Certificar"/>
    <s v="-"/>
    <s v="Por Certificar"/>
    <s v="-"/>
    <s v="-"/>
    <s v="SI"/>
    <m/>
  </r>
  <r>
    <s v="CARABOBO"/>
    <s v="CORPORACIÓN FIBEX TELECOM, C.A."/>
    <n v="2672573314"/>
    <s v="JOEL RODRIGUEZ"/>
    <n v="12753168"/>
    <x v="0"/>
    <s v="O&amp;M"/>
    <s v="PENDIENTE INFORMACIÓN"/>
    <x v="1"/>
    <x v="1"/>
    <x v="1"/>
    <x v="3"/>
    <s v="Por Certificar"/>
    <s v="-"/>
    <s v="Por Certificar"/>
    <s v="-"/>
    <s v="-"/>
    <s v="SI"/>
    <m/>
  </r>
  <r>
    <s v="CARABOBO"/>
    <s v="CORPORACIÓN FIBEX TELECOM, C.A."/>
    <n v="2672573314"/>
    <s v="JORGE LUIS GAUNA SUAREZ"/>
    <n v="19666658"/>
    <x v="1"/>
    <s v="O&amp;M"/>
    <s v="PENDIENTE INFORMACIÓN"/>
    <x v="1"/>
    <x v="1"/>
    <x v="1"/>
    <x v="3"/>
    <s v="Por Certificar"/>
    <s v="-"/>
    <s v="Por Certificar"/>
    <s v="-"/>
    <s v="-"/>
    <s v="SI"/>
    <m/>
  </r>
  <r>
    <s v="CARABOBO"/>
    <s v="CORPORACIÓN FIBEX TELECOM, C.A."/>
    <n v="2672573314"/>
    <s v=" JOAN ERNESTO MORENO VARON"/>
    <n v="15653907"/>
    <x v="0"/>
    <s v="O&amp;M"/>
    <s v="PENDIENTE INFORMACIÓN"/>
    <x v="1"/>
    <x v="1"/>
    <x v="0"/>
    <x v="0"/>
    <s v="Por Certificar"/>
    <s v="-"/>
    <s v="Por Certificar"/>
    <s v="-"/>
    <s v="-"/>
    <s v="SI"/>
    <m/>
  </r>
  <r>
    <s v="CARABOBO"/>
    <s v="CORPORACIÓN FIBEX TELECOM, C.A."/>
    <n v="2672573314"/>
    <s v="SIERRA LOPEZ, ARNOL"/>
    <n v="83028013"/>
    <x v="4"/>
    <s v="NUEVOS PROYECTOS"/>
    <s v="PENDIENTE INFORMACIÓN"/>
    <x v="1"/>
    <x v="1"/>
    <x v="0"/>
    <x v="0"/>
    <s v="Por Certificar"/>
    <s v="-"/>
    <s v="Por Certificar"/>
    <s v="-"/>
    <s v="-"/>
    <s v="SI"/>
    <m/>
  </r>
  <r>
    <s v="CARABOBO"/>
    <s v="CORPORACIÓN FIBEX TELECOM, C.A."/>
    <n v="2672573314"/>
    <s v="GONZALEZ, CARLOS ALBERTO"/>
    <n v="14024246"/>
    <x v="4"/>
    <s v="EMPALME"/>
    <s v="PENDIENTE INFORMACIÓN"/>
    <x v="1"/>
    <x v="1"/>
    <x v="0"/>
    <x v="0"/>
    <s v="Por Certificar"/>
    <s v="-"/>
    <s v="Por Certificar"/>
    <s v="-"/>
    <s v="-"/>
    <s v="SI"/>
    <m/>
  </r>
  <r>
    <s v="CARABOBO"/>
    <s v="CORPORACIÓN FIBEX TELECOM, C.A."/>
    <n v="2672573314"/>
    <s v="HERNANDEZ DIAZ, DARWIN ARTURO"/>
    <n v="19667981"/>
    <x v="4"/>
    <s v="MANTENIMIENTO DE TRONCALES"/>
    <s v="PENDIENTE INFORMACIÓN"/>
    <x v="1"/>
    <x v="1"/>
    <x v="0"/>
    <x v="0"/>
    <s v="Por Certificar"/>
    <s v="-"/>
    <s v="Por Certificar"/>
    <s v="-"/>
    <s v="-"/>
    <s v="SI"/>
    <m/>
  </r>
  <r>
    <s v="CARABOBO"/>
    <s v="CORPORACIÓN FIBEX TELECOM, C.A."/>
    <n v="2672573314"/>
    <s v="MENDOZA LEIDNS, PAOLA WALKIRIA"/>
    <n v="26011552"/>
    <x v="4"/>
    <s v="MDA"/>
    <s v="PENDIENTE INFORMACIÓN"/>
    <x v="1"/>
    <x v="1"/>
    <x v="0"/>
    <x v="0"/>
    <s v="Por Certificar"/>
    <s v="-"/>
    <s v="Por Certificar"/>
    <s v="-"/>
    <s v="-"/>
    <s v="SI"/>
    <m/>
  </r>
  <r>
    <s v="CARABOBO"/>
    <s v="CORPORACIÓN FIBEX TELECOM, C.A."/>
    <n v="2672573314"/>
    <s v="GONZALEZ CASTILLO, YANNELYS DEL CARMEN"/>
    <n v="27548134"/>
    <x v="4"/>
    <s v="MDA"/>
    <s v="PENDIENTE INFORMACIÓN"/>
    <x v="1"/>
    <x v="1"/>
    <x v="0"/>
    <x v="0"/>
    <s v="Por Certificar"/>
    <s v="-"/>
    <s v="Por Certificar"/>
    <s v="-"/>
    <s v="-"/>
    <s v="SI"/>
    <m/>
  </r>
  <r>
    <s v="CARABOBO"/>
    <s v="CORPORACIÓN FIBEX TELECOM, C.A."/>
    <n v="2672573314"/>
    <s v="HECTOR OMAR CARMESA RODRIGUEZ"/>
    <n v="16447676"/>
    <x v="1"/>
    <s v="O&amp;M"/>
    <s v="PENDIENTE INFORMACIÓN"/>
    <x v="1"/>
    <x v="1"/>
    <x v="1"/>
    <x v="3"/>
    <s v="Por Certificar"/>
    <s v="-"/>
    <s v="Por Certificar"/>
    <s v="-"/>
    <s v="-"/>
    <s v="SI"/>
    <m/>
  </r>
  <r>
    <s v="CARABOBO"/>
    <s v="CORPORACIÓN FIBEX TELECOM, C.A."/>
    <n v="2672573314"/>
    <s v="GONZALEZ AGUIRRE, SAMUEL RAUL"/>
    <n v="18085675"/>
    <x v="3"/>
    <s v="PLANTA EXTERNA"/>
    <s v="PENDIENTE INFORMACIÓN"/>
    <x v="1"/>
    <x v="1"/>
    <x v="0"/>
    <x v="0"/>
    <s v="Por Certificar"/>
    <s v="-"/>
    <s v="Por Certificar"/>
    <s v="-"/>
    <s v="-"/>
    <s v="SI"/>
    <m/>
  </r>
  <r>
    <s v="CARABOBO"/>
    <s v="CORPORACIÓN FIBEX TELECOM, C.A."/>
    <n v="2672573314"/>
    <s v="LEON PERNIA, JENIFER LEE"/>
    <n v="27550821"/>
    <x v="3"/>
    <s v="PLANTA INTERNA"/>
    <s v="PENDIENTE INFORMACIÓN"/>
    <x v="1"/>
    <x v="1"/>
    <x v="0"/>
    <x v="0"/>
    <s v="Por Certificar"/>
    <s v="-"/>
    <s v="Por Certificar"/>
    <s v="-"/>
    <s v="-"/>
    <s v="SI"/>
    <m/>
  </r>
  <r>
    <s v="CARABOBO"/>
    <s v="CORPORACIÓN FIBEX TELECOM, C.A."/>
    <n v="2672573314"/>
    <s v="MARTINEZ TOVAR, GENESIS DEL VALLE"/>
    <n v="20731312"/>
    <x v="3"/>
    <s v="EMPALME"/>
    <s v="PENDIENTE INFORMACIÓN"/>
    <x v="1"/>
    <x v="1"/>
    <x v="0"/>
    <x v="0"/>
    <s v="Por Certificar"/>
    <s v="-"/>
    <s v="Por Certificar"/>
    <s v="-"/>
    <s v="-"/>
    <s v="SI"/>
    <m/>
  </r>
  <r>
    <s v="CARABOBO"/>
    <s v="CORPORACIÓN FIBEX TELECOM, C.A."/>
    <n v="2672573314"/>
    <s v="VALENTE CONTRERAS, ANGELIMAR"/>
    <n v="24554800"/>
    <x v="3"/>
    <s v="EMPALME"/>
    <s v="PENDIENTE INFORMACIÓN"/>
    <x v="1"/>
    <x v="1"/>
    <x v="0"/>
    <x v="0"/>
    <s v="Por Certificar"/>
    <s v="-"/>
    <s v="Por Certificar"/>
    <s v="-"/>
    <s v="-"/>
    <s v="SI"/>
    <m/>
  </r>
  <r>
    <s v="CARABOBO"/>
    <s v="CORPORACIÓN FIBEX TELECOM, C.A."/>
    <n v="2672573314"/>
    <s v="EMILY KARLY ABREU ZARRAGA"/>
    <n v="18361073"/>
    <x v="2"/>
    <s v="DOCUMENTACIÓN Y DISEÑO"/>
    <s v="PENDIENTE INFORMACIÓN"/>
    <x v="1"/>
    <x v="1"/>
    <x v="0"/>
    <x v="0"/>
    <s v="Por Certificar"/>
    <s v="-"/>
    <s v="Por Certificar"/>
    <s v="-"/>
    <s v="-"/>
    <s v="SI"/>
    <m/>
  </r>
  <r>
    <s v="CARABOBO"/>
    <s v="CORPORACIÓN FIBEX TELECOM, C.A."/>
    <n v="2672573314"/>
    <s v="PEDRO JAVIER MENDEZ PINTO"/>
    <n v="21213718"/>
    <x v="2"/>
    <s v="DOCUMENTACIÓN Y DISEÑO"/>
    <s v="PENDIENTE INFORMACIÓN"/>
    <x v="1"/>
    <x v="1"/>
    <x v="0"/>
    <x v="0"/>
    <s v="Por Certificar"/>
    <s v="-"/>
    <s v="Por Certificar"/>
    <s v="-"/>
    <s v="-"/>
    <s v="SI"/>
    <m/>
  </r>
  <r>
    <s v="CARABOBO"/>
    <s v="CORPORACIÓN FIBEX TELECOM, C.A."/>
    <n v="2672573314"/>
    <s v="FRANCIS NATHALY PEREZ HERRERA"/>
    <n v="22013739"/>
    <x v="2"/>
    <s v="DOCUMENTACIÓN Y DISEÑO"/>
    <s v="PENDIENTE INFORMACIÓN"/>
    <x v="1"/>
    <x v="1"/>
    <x v="0"/>
    <x v="0"/>
    <s v="Por Certificar"/>
    <s v="-"/>
    <s v="Por Certificar"/>
    <s v="-"/>
    <s v="-"/>
    <s v="SI"/>
    <m/>
  </r>
  <r>
    <s v="CARABOBO"/>
    <s v="CORPORACIÓN FIBEX TELECOM, C.A."/>
    <n v="2672573314"/>
    <s v="JOSEPH SEBASTIAN SANCHEZ BARRAGAN"/>
    <n v="25754316"/>
    <x v="2"/>
    <s v="DOCUMENTACIÓN Y DISEÑO"/>
    <s v="PENDIENTE INFORMACIÓN"/>
    <x v="1"/>
    <x v="1"/>
    <x v="0"/>
    <x v="0"/>
    <s v="Por Certificar"/>
    <s v="-"/>
    <s v="Por Certificar"/>
    <s v="-"/>
    <s v="-"/>
    <s v="SI"/>
    <m/>
  </r>
  <r>
    <s v="CARABOBO"/>
    <s v="CORPORACIÓN FIBEX TELECOM, C.A."/>
    <n v="2672573314"/>
    <s v="MAURICIO ANDRES GUERRA CAMACARO"/>
    <n v="26011786"/>
    <x v="2"/>
    <s v="DOCUMENTACIÓN Y DISEÑO"/>
    <s v="PENDIENTE INFORMACIÓN"/>
    <x v="1"/>
    <x v="1"/>
    <x v="0"/>
    <x v="0"/>
    <s v="Por Certificar"/>
    <s v="-"/>
    <s v="Por Certificar"/>
    <s v="-"/>
    <s v="-"/>
    <s v="SI"/>
    <m/>
  </r>
  <r>
    <s v="CARABOBO"/>
    <s v="CORPORACIÓN FIBEX TELECOM, C.A."/>
    <n v="2672573314"/>
    <s v="GLEDYS SOFIA PORRAS ESCOBAR"/>
    <n v="26392093"/>
    <x v="2"/>
    <s v="DOCUMENTACIÓN Y DISEÑO"/>
    <s v="PENDIENTE INFORMACIÓN"/>
    <x v="1"/>
    <x v="1"/>
    <x v="0"/>
    <x v="0"/>
    <s v="Por Certificar"/>
    <s v="-"/>
    <s v="Por Certificar"/>
    <s v="-"/>
    <s v="-"/>
    <s v="SI"/>
    <m/>
  </r>
  <r>
    <s v="CARABOBO"/>
    <s v="CORPORACIÓN FIBEX TELECOM, C.A."/>
    <n v="2672573314"/>
    <s v="RICARDO ANDRES TORRES ROSALES"/>
    <n v="30430837"/>
    <x v="2"/>
    <s v="DOCUMENTACIÓN Y DISEÑO"/>
    <s v="PENDIENTE INFORMACIÓN"/>
    <x v="1"/>
    <x v="1"/>
    <x v="0"/>
    <x v="0"/>
    <s v="Por Certificar"/>
    <s v="-"/>
    <s v="Por Certificar"/>
    <s v="-"/>
    <s v="-"/>
    <s v="SI"/>
    <m/>
  </r>
  <r>
    <s v="CARABOBO"/>
    <s v="CORPORACIÓN FIBEX TELECOM, C.A."/>
    <n v="2672573314"/>
    <s v="ANGEL GABRIEL LOPEZ MORALES"/>
    <n v="30585620"/>
    <x v="2"/>
    <s v="DOCUMENTACIÓN Y DISEÑO"/>
    <s v="PENDIENTE INFORMACIÓN"/>
    <x v="1"/>
    <x v="1"/>
    <x v="0"/>
    <x v="0"/>
    <s v="Por Certificar"/>
    <s v="-"/>
    <s v="Por Certificar"/>
    <s v="-"/>
    <s v="-"/>
    <s v="SI"/>
    <m/>
  </r>
  <r>
    <s v="CARABOBO"/>
    <s v="CORPORACIÓN FIBEX TELECOM, C.A."/>
    <n v="2672573314"/>
    <s v="YULVELIN AIDA ACOSTA HERNANDEZ"/>
    <n v="14465104"/>
    <x v="2"/>
    <s v="MDC"/>
    <s v="PENDIENTE INFORMACIÓN"/>
    <x v="1"/>
    <x v="1"/>
    <x v="0"/>
    <x v="0"/>
    <s v="Por Certificar"/>
    <s v="-"/>
    <s v="Por Certificar"/>
    <s v="-"/>
    <s v="-"/>
    <s v="SI"/>
    <m/>
  </r>
  <r>
    <s v="CARABOBO"/>
    <s v="CORPORACIÓN FIBEX TELECOM, C.A."/>
    <n v="2672573314"/>
    <s v="YESENIA ANAIS ROJAS MESA"/>
    <n v="16446854"/>
    <x v="2"/>
    <s v="MDC"/>
    <s v="PENDIENTE INFORMACIÓN"/>
    <x v="1"/>
    <x v="1"/>
    <x v="0"/>
    <x v="0"/>
    <s v="Por Certificar"/>
    <s v="-"/>
    <s v="Por Certificar"/>
    <s v="-"/>
    <s v="-"/>
    <s v="SI"/>
    <m/>
  </r>
  <r>
    <s v="CARABOBO"/>
    <s v="CORPORACIÓN FIBEX TELECOM, C.A."/>
    <n v="2672573314"/>
    <s v="DAYANA YOBELIN JIMENEZ MENDOZA"/>
    <n v="16775155"/>
    <x v="2"/>
    <s v="MDC"/>
    <s v="PENDIENTE INFORMACIÓN"/>
    <x v="1"/>
    <x v="1"/>
    <x v="0"/>
    <x v="0"/>
    <s v="Por Certificar"/>
    <s v="-"/>
    <s v="Por Certificar"/>
    <s v="-"/>
    <s v="-"/>
    <s v="SI"/>
    <m/>
  </r>
  <r>
    <s v="CARABOBO"/>
    <s v="CORPORACIÓN FIBEX TELECOM, C.A."/>
    <n v="2672573314"/>
    <s v="ELYSMEL DOLORES CANO DELGADO"/>
    <n v="17329551"/>
    <x v="2"/>
    <s v="MDC"/>
    <s v="PENDIENTE INFORMACIÓN"/>
    <x v="1"/>
    <x v="1"/>
    <x v="0"/>
    <x v="0"/>
    <s v="Por Certificar"/>
    <s v="-"/>
    <s v="Por Certificar"/>
    <s v="-"/>
    <s v="-"/>
    <s v="SI"/>
    <m/>
  </r>
  <r>
    <s v="CARABOBO"/>
    <s v="CORPORACIÓN FIBEX TELECOM, C.A."/>
    <n v="2672573314"/>
    <s v="JUAN JOSE TORREYES PARRA"/>
    <n v="19991100"/>
    <x v="2"/>
    <s v="MDC"/>
    <s v="PENDIENTE INFORMACIÓN"/>
    <x v="1"/>
    <x v="1"/>
    <x v="0"/>
    <x v="0"/>
    <s v="Por Certificar"/>
    <s v="-"/>
    <s v="Por Certificar"/>
    <s v="-"/>
    <s v="-"/>
    <s v="SI"/>
    <m/>
  </r>
  <r>
    <s v="CARABOBO"/>
    <s v="CORPORACIÓN FIBEX TELECOM, C.A."/>
    <n v="2672573314"/>
    <s v="CHRISTOPHER ANTONIO VILLEGAS MELENDEZ"/>
    <n v="24108282"/>
    <x v="2"/>
    <s v="MDC"/>
    <s v="PENDIENTE INFORMACIÓN"/>
    <x v="1"/>
    <x v="1"/>
    <x v="0"/>
    <x v="0"/>
    <s v="Por Certificar"/>
    <s v="-"/>
    <s v="Por Certificar"/>
    <s v="-"/>
    <s v="-"/>
    <s v="SI"/>
    <m/>
  </r>
  <r>
    <s v="CARABOBO"/>
    <s v="CORPORACIÓN FIBEX TELECOM, C.A."/>
    <n v="2672573314"/>
    <s v="VICMELIS LISNEL DELGADO DELGADO"/>
    <n v="24495294"/>
    <x v="2"/>
    <s v="MDC"/>
    <s v="PENDIENTE INFORMACIÓN"/>
    <x v="1"/>
    <x v="1"/>
    <x v="0"/>
    <x v="0"/>
    <s v="Por Certificar"/>
    <s v="-"/>
    <s v="Por Certificar"/>
    <s v="-"/>
    <s v="-"/>
    <s v="SI"/>
    <m/>
  </r>
  <r>
    <s v="CARABOBO"/>
    <s v="CORPORACIÓN FIBEX TELECOM, C.A."/>
    <n v="2672573314"/>
    <s v="WISNAILY  ANDREINA BENCOMO GOMEZ"/>
    <n v="27064119"/>
    <x v="2"/>
    <s v="MDC"/>
    <s v="PENDIENTE INFORMACIÓN"/>
    <x v="1"/>
    <x v="1"/>
    <x v="0"/>
    <x v="0"/>
    <s v="Por Certificar"/>
    <s v="-"/>
    <s v="Por Certificar"/>
    <s v="-"/>
    <s v="-"/>
    <s v="SI"/>
    <m/>
  </r>
  <r>
    <s v="CARABOBO"/>
    <s v="CORPORACIÓN FIBEX TELECOM, C.A."/>
    <n v="2672573314"/>
    <s v="EILA BETZABE AVELLANEDA FERNANDEZ"/>
    <n v="28035923"/>
    <x v="2"/>
    <s v="MDC"/>
    <s v="PENDIENTE INFORMACIÓN"/>
    <x v="1"/>
    <x v="1"/>
    <x v="0"/>
    <x v="0"/>
    <s v="Por Certificar"/>
    <s v="-"/>
    <s v="Por Certificar"/>
    <s v="-"/>
    <s v="-"/>
    <s v="SI"/>
    <m/>
  </r>
  <r>
    <s v="CARABOBO"/>
    <s v="CORPORACIÓN FIBEX TELECOM, C.A."/>
    <n v="2672573314"/>
    <s v="JOSE ANDRES BLANCO GARCIA"/>
    <n v="28465754"/>
    <x v="2"/>
    <s v="MDC"/>
    <s v="PENDIENTE INFORMACIÓN"/>
    <x v="1"/>
    <x v="1"/>
    <x v="0"/>
    <x v="0"/>
    <s v="Por Certificar"/>
    <s v="-"/>
    <s v="Por Certificar"/>
    <s v="-"/>
    <s v="-"/>
    <s v="SI"/>
    <m/>
  </r>
  <r>
    <s v="CARABOBO"/>
    <s v="CORPORACIÓN FIBEX TELECOM, C.A."/>
    <n v="2672573314"/>
    <s v="SOFIA CAMILA CORONA PEÑALVER"/>
    <n v="28714979"/>
    <x v="2"/>
    <s v="MDC"/>
    <s v="PENDIENTE INFORMACIÓN"/>
    <x v="1"/>
    <x v="1"/>
    <x v="0"/>
    <x v="0"/>
    <s v="Por Certificar"/>
    <s v="-"/>
    <s v="Por Certificar"/>
    <s v="-"/>
    <s v="-"/>
    <s v="SI"/>
    <m/>
  </r>
  <r>
    <s v="CARABOBO"/>
    <s v="CORPORACIÓN FIBEX TELECOM, C.A."/>
    <n v="2672573314"/>
    <s v="GABRIEL ADRIAN QUEVEDO RINCON"/>
    <n v="29769765"/>
    <x v="2"/>
    <s v="MDC"/>
    <s v="PENDIENTE INFORMACIÓN"/>
    <x v="1"/>
    <x v="1"/>
    <x v="0"/>
    <x v="0"/>
    <s v="Por Certificar"/>
    <s v="-"/>
    <s v="Por Certificar"/>
    <s v="-"/>
    <s v="-"/>
    <s v="SI"/>
    <m/>
  </r>
  <r>
    <s v="CARABOBO"/>
    <s v="CORPORACIÓN FIBEX TELECOM, C.A."/>
    <n v="2672573314"/>
    <s v="EMILIO JOSE MONTERO GONZALEZ"/>
    <n v="29821051"/>
    <x v="2"/>
    <s v="MDC"/>
    <s v="PENDIENTE INFORMACIÓN"/>
    <x v="1"/>
    <x v="1"/>
    <x v="0"/>
    <x v="0"/>
    <s v="Por Certificar"/>
    <s v="-"/>
    <s v="Por Certificar"/>
    <s v="-"/>
    <s v="-"/>
    <s v="SI"/>
    <m/>
  </r>
  <r>
    <s v="CARABOBO"/>
    <s v="CORPORACIÓN FIBEX TELECOM, C.A."/>
    <n v="2672573314"/>
    <s v="JORGE DAVID NOGUERA ARAUJO"/>
    <n v="30603796"/>
    <x v="2"/>
    <s v="MDC"/>
    <s v="PENDIENTE INFORMACIÓN"/>
    <x v="1"/>
    <x v="1"/>
    <x v="0"/>
    <x v="0"/>
    <s v="Por Certificar"/>
    <s v="-"/>
    <s v="Por Certificar"/>
    <s v="-"/>
    <s v="-"/>
    <s v="SI"/>
    <m/>
  </r>
  <r>
    <s v="CARABOBO"/>
    <s v="CORPORACIÓN FIBEX TELECOM, C.A."/>
    <n v="2672573314"/>
    <s v="FERNANDO ANTONIO GUERRERO TORRES"/>
    <n v="32401451"/>
    <x v="2"/>
    <s v="MDC"/>
    <s v="PENDIENTE INFORMACIÓN"/>
    <x v="1"/>
    <x v="1"/>
    <x v="0"/>
    <x v="0"/>
    <s v="Por Certificar"/>
    <s v="-"/>
    <s v="Por Certificar"/>
    <s v="-"/>
    <s v="-"/>
    <s v="SI"/>
    <m/>
  </r>
  <r>
    <s v="CARABOBO"/>
    <s v="CORPORACIÓN FIBEX TELECOM, C.A."/>
    <n v="2672573314"/>
    <s v="JOSE RAFAEL GUEVARA HERRERA"/>
    <n v="11360425"/>
    <x v="1"/>
    <s v="EMPALME"/>
    <s v="PENDIENTE INFORMACIÓN"/>
    <x v="1"/>
    <x v="1"/>
    <x v="0"/>
    <x v="0"/>
    <s v="Por Certificar"/>
    <s v="-"/>
    <s v="Por Certificar"/>
    <s v="-"/>
    <s v="-"/>
    <s v="SI"/>
    <m/>
  </r>
  <r>
    <s v="CARABOBO / PTO. CABELLO"/>
    <s v="CORPORACIÓN FIBEX TELECOM, C.A."/>
    <n v="2672573314"/>
    <s v="KARLINA YERARDINE MICHELENA DURAN"/>
    <n v="19920612"/>
    <x v="4"/>
    <s v="CDR"/>
    <s v="PENDIENTE INFORMACIÓN"/>
    <x v="1"/>
    <x v="1"/>
    <x v="0"/>
    <x v="0"/>
    <s v="Por Certificar"/>
    <s v="-"/>
    <s v="Por Certificar"/>
    <s v="-"/>
    <s v="-"/>
    <s v="SI"/>
    <m/>
  </r>
  <r>
    <s v="CARABOBO / PTO. CABELLO"/>
    <s v="CORPORACIÓN FIBEX TELECOM, C.A."/>
    <n v="2672573314"/>
    <s v="WILMER LUIS BLANCO CARMONA"/>
    <n v="11197770"/>
    <x v="3"/>
    <s v="O&amp;M"/>
    <s v="PENDIENTE INFORMACIÓN"/>
    <x v="0"/>
    <x v="0"/>
    <x v="1"/>
    <x v="3"/>
    <s v="Por Certificar"/>
    <s v="-"/>
    <s v="Por Certificar"/>
    <s v="-"/>
    <s v="-"/>
    <s v="SI"/>
    <m/>
  </r>
  <r>
    <s v="CARABOBO / PTO. CABELLO"/>
    <s v="CORPORACIÓN FIBEX TELECOM, C.A."/>
    <n v="2672573314"/>
    <s v="HUMBERTO JOSE MARVAL"/>
    <n v="17899815"/>
    <x v="0"/>
    <s v="O&amp;M"/>
    <s v="PENDIENTE INFORMACIÓN"/>
    <x v="0"/>
    <x v="0"/>
    <x v="1"/>
    <x v="3"/>
    <s v="Por Certificar"/>
    <s v="-"/>
    <s v="Por Certificar"/>
    <s v="-"/>
    <s v="-"/>
    <s v="SI"/>
    <m/>
  </r>
  <r>
    <s v="CARABOBO / PTO. CABELLO"/>
    <s v="CORPORACIÓN FIBEX TELECOM, C.A."/>
    <n v="2672573314"/>
    <s v="JAVIER ENRIQUE VILCHEZ APARICIO"/>
    <n v="27393998"/>
    <x v="1"/>
    <s v="O&amp;M"/>
    <s v="PENDIENTE INFORMACIÓN"/>
    <x v="0"/>
    <x v="0"/>
    <x v="1"/>
    <x v="3"/>
    <s v="Por Certificar"/>
    <s v="-"/>
    <s v="Por Certificar"/>
    <s v="-"/>
    <s v="-"/>
    <s v="SI"/>
    <m/>
  </r>
  <r>
    <s v="CARABOBO / PTO. CABELLO"/>
    <s v="CORPORACIÓN FIBEX TELECOM, C.A."/>
    <n v="2672573314"/>
    <s v="JERITZON CESAR VANEGAS BERNAL"/>
    <n v="17811795"/>
    <x v="0"/>
    <s v="CDR"/>
    <s v="PENDIENTE INFORMACIÓN"/>
    <x v="1"/>
    <x v="1"/>
    <x v="0"/>
    <x v="0"/>
    <s v="Por Certificar"/>
    <s v="-"/>
    <s v="Por Certificar"/>
    <s v="-"/>
    <s v="-"/>
    <s v="SI"/>
    <m/>
  </r>
  <r>
    <s v="CARABOBO / PTO. CABELLO"/>
    <s v="CORPORACIÓN FIBEX TELECOM, C.A."/>
    <n v="2672573314"/>
    <s v="JHONNATA WLADIMIR SALDIVIA"/>
    <n v="14379748"/>
    <x v="1"/>
    <s v="CDR"/>
    <s v="PENDIENTE INFORMACIÓN"/>
    <x v="1"/>
    <x v="1"/>
    <x v="0"/>
    <x v="0"/>
    <s v="Por Certificar"/>
    <s v="-"/>
    <s v="Por Certificar"/>
    <s v="-"/>
    <s v="-"/>
    <s v="SI"/>
    <m/>
  </r>
  <r>
    <s v="CARABOBO / PTO. CABELLO"/>
    <s v="CORPORACIÓN FIBEX TELECOM, C.A."/>
    <n v="2672573314"/>
    <s v="EDUIN JOSUE FABIAN SANOJA"/>
    <n v="24303318"/>
    <x v="0"/>
    <s v="O&amp;M"/>
    <s v="PENDIENTE INFORMACIÓN"/>
    <x v="1"/>
    <x v="1"/>
    <x v="1"/>
    <x v="3"/>
    <s v="Por Certificar"/>
    <s v="-"/>
    <s v="Por Certificar"/>
    <s v="-"/>
    <s v="-"/>
    <s v="SI"/>
    <m/>
  </r>
  <r>
    <s v="CARABOBO / PTO. CABELLO"/>
    <s v="CORPORACIÓN FIBEX TELECOM, C.A."/>
    <n v="2672573314"/>
    <s v="EDWARD WILFREDO MONTERO VASQUEZ"/>
    <n v="19890608"/>
    <x v="1"/>
    <s v="O&amp;M"/>
    <s v="PENDIENTE INFORMACIÓN"/>
    <x v="1"/>
    <x v="1"/>
    <x v="1"/>
    <x v="3"/>
    <s v="Por Certificar"/>
    <s v="-"/>
    <s v="Por Certificar"/>
    <s v="-"/>
    <s v="-"/>
    <s v="SI"/>
    <m/>
  </r>
  <r>
    <s v="CARABOBO / PTO. CABELLO"/>
    <s v="CORPORACIÓN FIBEX TELECOM, C.A."/>
    <n v="2672573314"/>
    <s v="BLADIMIR JOSE TAGLIAFERRO GARRIDO"/>
    <n v="24304448"/>
    <x v="1"/>
    <s v="O&amp;M"/>
    <s v="PENDIENTE INFORMACIÓN"/>
    <x v="1"/>
    <x v="1"/>
    <x v="1"/>
    <x v="3"/>
    <s v="Por Certificar"/>
    <s v="-"/>
    <s v="Por Certificar"/>
    <s v="-"/>
    <s v="-"/>
    <s v="SI"/>
    <m/>
  </r>
  <r>
    <s v="CARABOBO / PTO. CABELLO"/>
    <s v="CORPORACIÓN FIBEX TELECOM, C.A."/>
    <n v="2672573314"/>
    <s v="ALYISSA TERESA ROSSI MORON"/>
    <n v="24914114"/>
    <x v="2"/>
    <s v="MDC"/>
    <s v="PENDIENTE INFORMACIÓN"/>
    <x v="1"/>
    <x v="1"/>
    <x v="0"/>
    <x v="0"/>
    <s v="Por Certificar"/>
    <s v="-"/>
    <s v="Por Certificar"/>
    <s v="-"/>
    <s v="-"/>
    <s v="SI"/>
    <m/>
  </r>
  <r>
    <s v="CARABOBO / PTO. CABELLO"/>
    <s v="CORPORACIÓN FIBEX TELECOM, C.A."/>
    <n v="2672573314"/>
    <s v="ARLYNA ALEJANDRA FIGUEREDO PIÑERO"/>
    <n v="30584938"/>
    <x v="2"/>
    <s v="MDC"/>
    <s v="PENDIENTE INFORMACIÓN"/>
    <x v="1"/>
    <x v="1"/>
    <x v="0"/>
    <x v="0"/>
    <s v="Por Certificar"/>
    <s v="-"/>
    <s v="Por Certificar"/>
    <s v="-"/>
    <s v="-"/>
    <s v="SI"/>
    <m/>
  </r>
  <r>
    <s v="CARABOBO / PTO. CABELLO"/>
    <s v="CORPORACIÓN FIBEX TELECOM, C.A."/>
    <n v="2672573314"/>
    <s v="ANTHONY DANIEL SANDOVAL RIVAS"/>
    <n v="27850492"/>
    <x v="0"/>
    <s v="EMPALME"/>
    <s v="PENDIENTE INFORMACIÓN"/>
    <x v="1"/>
    <x v="1"/>
    <x v="0"/>
    <x v="0"/>
    <s v="Por Certificar"/>
    <s v="-"/>
    <s v="Por Certificar"/>
    <s v="-"/>
    <s v="-"/>
    <s v="SI"/>
    <m/>
  </r>
  <r>
    <s v="CARACAS"/>
    <s v="CORPORACIÓN FIBEX TELECOM, C.A."/>
    <n v="2672573314"/>
    <s v="DANNY JOSE CARRENO BASTARDO"/>
    <n v="13075335"/>
    <x v="4"/>
    <s v="O&amp;M"/>
    <s v="PENDIENTE INFORMACIÓN"/>
    <x v="1"/>
    <x v="1"/>
    <x v="0"/>
    <x v="0"/>
    <s v="Por Certificar"/>
    <s v="-"/>
    <s v="Por Certificar"/>
    <s v="-"/>
    <s v="-"/>
    <s v="SI"/>
    <m/>
  </r>
  <r>
    <s v="CARACAS"/>
    <s v="CORPORACIÓN FIBEX TELECOM, C.A."/>
    <n v="2672573314"/>
    <s v="MILAGROS SILVA"/>
    <n v="13576767"/>
    <x v="4"/>
    <s v="O&amp;M"/>
    <s v="PENDIENTE INFORMACIÓN"/>
    <x v="1"/>
    <x v="1"/>
    <x v="0"/>
    <x v="0"/>
    <s v="Por Certificar"/>
    <s v="-"/>
    <s v="Por Certificar"/>
    <s v="-"/>
    <s v="-"/>
    <s v="SI"/>
    <m/>
  </r>
  <r>
    <s v="CARACAS"/>
    <s v="CORPORACIÓN FIBEX TELECOM, C.A."/>
    <n v="2672573314"/>
    <s v="CLAYRIS TORREALBA"/>
    <n v="24895569"/>
    <x v="2"/>
    <s v="O&amp;M"/>
    <s v="PENDIENTE INFORMACIÓN"/>
    <x v="1"/>
    <x v="1"/>
    <x v="0"/>
    <x v="0"/>
    <s v="Por Certificar"/>
    <s v="-"/>
    <s v="Por Certificar"/>
    <s v="-"/>
    <s v="-"/>
    <s v="SI"/>
    <m/>
  </r>
  <r>
    <s v="CARACAS"/>
    <s v="CORPORACIÓN FIBEX TELECOM, C.A."/>
    <n v="2672573314"/>
    <s v="JHONNY XAVIER JIMENEZ MEZA"/>
    <n v="20606065"/>
    <x v="0"/>
    <s v="NUEVOS PROYECTOS"/>
    <s v="PENDIENTE INFORMACIÓN"/>
    <x v="0"/>
    <x v="0"/>
    <x v="1"/>
    <x v="3"/>
    <s v="Por Certificar"/>
    <s v="-"/>
    <s v="Por Certificar"/>
    <s v="-"/>
    <s v="-"/>
    <s v="SI"/>
    <m/>
  </r>
  <r>
    <s v="CARACAS"/>
    <s v="CORPORACIÓN FIBEX TELECOM, C.A."/>
    <n v="2672573314"/>
    <s v="MESAE OSWALDO MILLAN MAZA"/>
    <n v="16106452"/>
    <x v="0"/>
    <s v="O&amp;M"/>
    <s v="PENDIENTE INFORMACIÓN"/>
    <x v="1"/>
    <x v="1"/>
    <x v="1"/>
    <x v="3"/>
    <s v="Por Certificar"/>
    <s v="-"/>
    <s v="Por Certificar"/>
    <s v="-"/>
    <s v="-"/>
    <s v="SI"/>
    <m/>
  </r>
  <r>
    <s v="CARACAS"/>
    <s v="CORPORACIÓN FIBEX TELECOM, C.A."/>
    <n v="2672573314"/>
    <s v="ABRAHAN JOSE DANIEL MARTINEZ MARTINEZ"/>
    <n v="32010998"/>
    <x v="1"/>
    <s v="NUEVOS PROYECTOS"/>
    <s v="PENDIENTE INFORMACIÓN"/>
    <x v="1"/>
    <x v="1"/>
    <x v="1"/>
    <x v="3"/>
    <s v="Por Certificar"/>
    <s v="-"/>
    <s v="Por Certificar"/>
    <s v="-"/>
    <s v="-"/>
    <s v="SI"/>
    <m/>
  </r>
  <r>
    <s v="CARACAS"/>
    <s v="CORPORACIÓN FIBEX TELECOM, C.A."/>
    <n v="2672573314"/>
    <s v="ENRIQUE REINALDO GOTA RONDON"/>
    <n v="31068327"/>
    <x v="0"/>
    <s v="CDR"/>
    <s v="PENDIENTE INFORMACIÓN"/>
    <x v="1"/>
    <x v="1"/>
    <x v="1"/>
    <x v="3"/>
    <s v="Por Certificar"/>
    <s v="-"/>
    <s v="Por Certificar"/>
    <s v="-"/>
    <s v="-"/>
    <s v="SI"/>
    <m/>
  </r>
  <r>
    <s v="CARACAS"/>
    <s v="CORPORACIÓN FIBEX TELECOM, C.A."/>
    <n v="2672573314"/>
    <s v="DAVID ALEXANDER CADIZ"/>
    <n v="14301139"/>
    <x v="0"/>
    <s v="CDR"/>
    <s v="PENDIENTE INFORMACIÓN"/>
    <x v="1"/>
    <x v="1"/>
    <x v="1"/>
    <x v="3"/>
    <s v="Por Certificar"/>
    <s v="-"/>
    <s v="Por Certificar"/>
    <s v="-"/>
    <s v="-"/>
    <s v="SI"/>
    <m/>
  </r>
  <r>
    <s v="CARACAS"/>
    <s v="CORPORACIÓN FIBEX TELECOM, C.A."/>
    <n v="2672573314"/>
    <s v="JHOJAN JESUS VILLEGAS VILLAHERMOSA"/>
    <n v="19257168"/>
    <x v="1"/>
    <s v="CDR"/>
    <s v="PENDIENTE INFORMACIÓN"/>
    <x v="1"/>
    <x v="1"/>
    <x v="1"/>
    <x v="3"/>
    <s v="Por Certificar"/>
    <s v="-"/>
    <s v="Por Certificar"/>
    <s v="-"/>
    <s v="-"/>
    <s v="SI"/>
    <m/>
  </r>
  <r>
    <s v="CARACAS"/>
    <s v="CORPORACIÓN FIBEX TELECOM, C.A."/>
    <n v="2672573314"/>
    <s v="HERNAN ENRIQUE RODRIGUEZ"/>
    <n v="10525882"/>
    <x v="0"/>
    <s v="NUEVOS PROYECTOS"/>
    <s v="PENDIENTE INFORMACIÓN"/>
    <x v="1"/>
    <x v="1"/>
    <x v="1"/>
    <x v="3"/>
    <s v="Por Certificar"/>
    <s v="-"/>
    <s v="Por Certificar"/>
    <s v="-"/>
    <s v="-"/>
    <s v="SI"/>
    <m/>
  </r>
  <r>
    <s v="CARACAS"/>
    <s v="CORPORACIÓN FIBEX TELECOM, C.A."/>
    <n v="2672573314"/>
    <s v="JOSE ANGEL BANDRES ROJAS"/>
    <n v="28754101"/>
    <x v="0"/>
    <s v="NUEVOS PROYECTOS"/>
    <s v="PENDIENTE INFORMACIÓN"/>
    <x v="1"/>
    <x v="1"/>
    <x v="1"/>
    <x v="3"/>
    <s v="Por Certificar"/>
    <s v="-"/>
    <s v="Por Certificar"/>
    <s v="-"/>
    <s v="-"/>
    <s v="SI"/>
    <m/>
  </r>
  <r>
    <s v="CARACAS"/>
    <s v="CORPORACIÓN FIBEX TELECOM, C.A."/>
    <n v="2672573314"/>
    <s v="JEANPIERRE ADRIAN PEÑUELA GUERRERO"/>
    <n v="30158012"/>
    <x v="1"/>
    <s v="NUEVOS PROYECTOS"/>
    <s v="PENDIENTE INFORMACIÓN"/>
    <x v="1"/>
    <x v="1"/>
    <x v="1"/>
    <x v="3"/>
    <s v="Por Certificar"/>
    <s v="-"/>
    <s v="Por Certificar"/>
    <s v="-"/>
    <s v="-"/>
    <s v="SI"/>
    <m/>
  </r>
  <r>
    <s v="CARACAS"/>
    <s v="CORPORACIÓN FIBEX TELECOM, C.A."/>
    <n v="2672573314"/>
    <s v="JARO JOSMAN VILORIA"/>
    <n v="6306724"/>
    <x v="1"/>
    <s v="NUEVOS PROYECTOS"/>
    <s v="PENDIENTE INFORMACIÓN"/>
    <x v="1"/>
    <x v="1"/>
    <x v="1"/>
    <x v="3"/>
    <s v="Por Certificar"/>
    <s v="-"/>
    <s v="Por Certificar"/>
    <s v="-"/>
    <s v="-"/>
    <s v="SI"/>
    <m/>
  </r>
  <r>
    <s v="CARACAS"/>
    <s v="CORPORACIÓN FIBEX TELECOM, C.A."/>
    <n v="2672573314"/>
    <s v="ROBERT ANTONIO VARGAS LINARES"/>
    <n v="15701445"/>
    <x v="0"/>
    <s v="O&amp;M"/>
    <s v="PENDIENTE INFORMACIÓN"/>
    <x v="1"/>
    <x v="1"/>
    <x v="1"/>
    <x v="3"/>
    <s v="Por Certificar"/>
    <s v="-"/>
    <s v="Por Certificar"/>
    <s v="-"/>
    <s v="-"/>
    <s v="SI"/>
    <m/>
  </r>
  <r>
    <s v="CARACAS"/>
    <s v="CORPORACIÓN FIBEX TELECOM, C.A."/>
    <n v="2672573314"/>
    <s v="LUIS DARIO PIÑANGO BOHORQUEZ"/>
    <n v="12417655"/>
    <x v="1"/>
    <s v="O&amp;M"/>
    <s v="PENDIENTE INFORMACIÓN"/>
    <x v="1"/>
    <x v="1"/>
    <x v="0"/>
    <x v="0"/>
    <s v="Por Certificar"/>
    <s v="-"/>
    <s v="Por Certificar"/>
    <s v="-"/>
    <s v="-"/>
    <s v="SI"/>
    <m/>
  </r>
  <r>
    <s v="CARACAS"/>
    <s v="CORPORACIÓN FIBEX TELECOM, C.A."/>
    <n v="2672573314"/>
    <s v="JOSÉ LUIS OLIVO SANCHEZ"/>
    <n v="19424950"/>
    <x v="0"/>
    <s v="O&amp;M"/>
    <s v="PENDIENTE INFORMACIÓN"/>
    <x v="1"/>
    <x v="1"/>
    <x v="1"/>
    <x v="3"/>
    <s v="Por Certificar"/>
    <s v="-"/>
    <s v="Por Certificar"/>
    <s v="-"/>
    <s v="-"/>
    <s v="SI"/>
    <m/>
  </r>
  <r>
    <s v="CARACAS"/>
    <s v="CORPORACIÓN FIBEX TELECOM, C.A."/>
    <n v="2672573314"/>
    <s v="ISRAEL  COLMENARES LOPEZ"/>
    <n v="19223552"/>
    <x v="0"/>
    <s v="O&amp;M"/>
    <s v="PENDIENTE INFORMACIÓN"/>
    <x v="1"/>
    <x v="1"/>
    <x v="1"/>
    <x v="3"/>
    <s v="Por Certificar"/>
    <s v="-"/>
    <s v="Por Certificar"/>
    <s v="-"/>
    <s v="-"/>
    <s v="SI"/>
    <m/>
  </r>
  <r>
    <s v="CARACAS"/>
    <s v="CORPORACIÓN FIBEX TELECOM, C.A."/>
    <n v="2672573314"/>
    <s v="ARGENIS JOSE NUÑEZ MATOS"/>
    <n v="20629532"/>
    <x v="0"/>
    <s v="O&amp;M"/>
    <s v="PENDIENTE INFORMACIÓN"/>
    <x v="1"/>
    <x v="1"/>
    <x v="1"/>
    <x v="3"/>
    <s v="Por Certificar"/>
    <s v="-"/>
    <s v="Por Certificar"/>
    <s v="-"/>
    <s v="-"/>
    <s v="SI"/>
    <m/>
  </r>
  <r>
    <s v="CARACAS"/>
    <s v="CORPORACIÓN FIBEX TELECOM, C.A."/>
    <n v="2672573314"/>
    <s v="ANDRY VICENTE FLORES SALAZAR"/>
    <n v="27039004"/>
    <x v="1"/>
    <s v="MDC"/>
    <s v="PENDIENTE INFORMACIÓN"/>
    <x v="1"/>
    <x v="1"/>
    <x v="1"/>
    <x v="3"/>
    <s v="Por Certificar"/>
    <s v="-"/>
    <s v="Por Certificar"/>
    <s v="-"/>
    <s v="-"/>
    <s v="SI"/>
    <m/>
  </r>
  <r>
    <s v="CARACAS"/>
    <s v="CORPORACIÓN FIBEX TELECOM, C.A."/>
    <n v="2672573314"/>
    <s v="TITO JOSE GARCIA BELLO"/>
    <n v="16509925"/>
    <x v="0"/>
    <s v="O&amp;M"/>
    <s v="PENDIENTE INFORMACIÓN"/>
    <x v="1"/>
    <x v="1"/>
    <x v="1"/>
    <x v="3"/>
    <s v="Por Certificar"/>
    <s v="-"/>
    <s v="Por Certificar"/>
    <s v="-"/>
    <s v="-"/>
    <s v="SI"/>
    <m/>
  </r>
  <r>
    <s v="CARACAS"/>
    <s v="CORPORACIÓN FIBEX TELECOM, C.A."/>
    <n v="2672573314"/>
    <s v="ROOUSBELTH ROSNIEL HERNANDEZ ACOSTA"/>
    <n v="21195076"/>
    <x v="0"/>
    <s v="O&amp;M"/>
    <s v="PENDIENTE INFORMACIÓN"/>
    <x v="1"/>
    <x v="1"/>
    <x v="0"/>
    <x v="0"/>
    <s v="Por Certificar"/>
    <s v="-"/>
    <s v="Por Certificar"/>
    <s v="-"/>
    <s v="-"/>
    <s v="SI"/>
    <m/>
  </r>
  <r>
    <s v="CARACAS"/>
    <s v="CORPORACIÓN FIBEX TELECOM, C.A."/>
    <n v="2672573314"/>
    <s v="ALEXIS JOSE CASTRO MUÑOZ"/>
    <n v="28338494"/>
    <x v="0"/>
    <s v="O&amp;M"/>
    <s v="PENDIENTE INFORMACIÓN"/>
    <x v="1"/>
    <x v="1"/>
    <x v="1"/>
    <x v="3"/>
    <s v="Por Certificar"/>
    <s v="-"/>
    <s v="Por Certificar"/>
    <s v="-"/>
    <s v="-"/>
    <s v="SI"/>
    <m/>
  </r>
  <r>
    <s v="CARACAS"/>
    <s v="CORPORACIÓN FIBEX TELECOM, C.A."/>
    <n v="2672573314"/>
    <s v="JOHAN RAFAEL APONTE BLANCO"/>
    <n v="18554085"/>
    <x v="0"/>
    <s v="O&amp;M"/>
    <s v="PENDIENTE INFORMACIÓN"/>
    <x v="1"/>
    <x v="1"/>
    <x v="1"/>
    <x v="3"/>
    <s v="Por Certificar"/>
    <s v="-"/>
    <s v="Por Certificar"/>
    <s v="-"/>
    <s v="-"/>
    <s v="SI"/>
    <m/>
  </r>
  <r>
    <s v="CARACAS"/>
    <s v="CORPORACIÓN FIBEX TELECOM, C.A."/>
    <n v="2672573314"/>
    <s v="PEDRO PABLO RAMIREZ HERNANDEZ "/>
    <n v="15587040"/>
    <x v="0"/>
    <s v="O&amp;M"/>
    <s v="PENDIENTE INFORMACIÓN"/>
    <x v="1"/>
    <x v="1"/>
    <x v="1"/>
    <x v="3"/>
    <s v="Por Certificar"/>
    <s v="-"/>
    <s v="Por Certificar"/>
    <s v="-"/>
    <s v="-"/>
    <s v="SI"/>
    <m/>
  </r>
  <r>
    <s v="CARACAS"/>
    <s v="CORPORACIÓN FIBEX TELECOM, C.A."/>
    <n v="2672573314"/>
    <s v="JEFFERSON ORLANDO LAREZ MARIN"/>
    <n v="20127698"/>
    <x v="1"/>
    <s v="O&amp;M"/>
    <s v="PENDIENTE INFORMACIÓN"/>
    <x v="1"/>
    <x v="1"/>
    <x v="1"/>
    <x v="3"/>
    <s v="Por Certificar"/>
    <s v="-"/>
    <s v="Por Certificar"/>
    <s v="-"/>
    <s v="-"/>
    <s v="SI"/>
    <m/>
  </r>
  <r>
    <s v="CARACAS"/>
    <s v="CORPORACIÓN FIBEX TELECOM, C.A."/>
    <n v="2672573314"/>
    <s v="JORGE LUIS JOSE RODRIGUEZ MUÑOZ"/>
    <n v="18270472"/>
    <x v="1"/>
    <s v="O&amp;M"/>
    <s v="PENDIENTE INFORMACIÓN"/>
    <x v="1"/>
    <x v="1"/>
    <x v="1"/>
    <x v="3"/>
    <s v="Por Certificar"/>
    <s v="-"/>
    <s v="Por Certificar"/>
    <s v="-"/>
    <s v="-"/>
    <s v="SI"/>
    <m/>
  </r>
  <r>
    <s v="CARACAS"/>
    <s v="CORPORACIÓN FIBEX TELECOM, C.A."/>
    <n v="2672573314"/>
    <s v="KEVIN JOSE NAVA VIERAS"/>
    <n v="17152866"/>
    <x v="1"/>
    <s v="O&amp;M"/>
    <s v="PENDIENTE INFORMACIÓN"/>
    <x v="1"/>
    <x v="1"/>
    <x v="1"/>
    <x v="3"/>
    <s v="Por Certificar"/>
    <s v="-"/>
    <s v="Por Certificar"/>
    <s v="-"/>
    <s v="-"/>
    <s v="SI"/>
    <m/>
  </r>
  <r>
    <s v="CARACAS"/>
    <s v="CORPORACIÓN FIBEX TELECOM, C.A."/>
    <n v="2672573314"/>
    <s v="JESUS ANTONIO AÑEZ GUARACO"/>
    <n v="17562063"/>
    <x v="1"/>
    <s v="O&amp;M"/>
    <s v="PENDIENTE INFORMACIÓN"/>
    <x v="1"/>
    <x v="1"/>
    <x v="1"/>
    <x v="3"/>
    <s v="Por Certificar"/>
    <s v="-"/>
    <s v="Por Certificar"/>
    <s v="-"/>
    <s v="-"/>
    <s v="SI"/>
    <m/>
  </r>
  <r>
    <s v="CARACAS"/>
    <s v="CORPORACIÓN FIBEX TELECOM, C.A."/>
    <n v="2672573314"/>
    <s v="ALEXANDER JOSE TERAN RAMIREZ"/>
    <n v="14758526"/>
    <x v="0"/>
    <s v="O&amp;M"/>
    <s v="PENDIENTE INFORMACIÓN"/>
    <x v="1"/>
    <x v="1"/>
    <x v="1"/>
    <x v="3"/>
    <s v="Por Certificar"/>
    <s v="-"/>
    <s v="Por Certificar"/>
    <s v="-"/>
    <s v="-"/>
    <s v="SI"/>
    <m/>
  </r>
  <r>
    <s v="CARACAS"/>
    <s v="CORPORACIÓN FIBEX TELECOM, C.A."/>
    <n v="2672573314"/>
    <s v="CARLOS EDUARDO ROJAS NIEVES"/>
    <n v="16074491"/>
    <x v="3"/>
    <s v="NUEVOS PROYECTOS"/>
    <s v="PENDIENTE INFORMACIÓN"/>
    <x v="1"/>
    <x v="1"/>
    <x v="0"/>
    <x v="0"/>
    <s v="Por Certificar"/>
    <s v="-"/>
    <s v="Por Certificar"/>
    <s v="-"/>
    <s v="-"/>
    <s v="SI"/>
    <m/>
  </r>
  <r>
    <s v="CARACAS"/>
    <s v="CORPORACIÓN FIBEX TELECOM, C.A."/>
    <n v="2672573314"/>
    <s v="ANDRES GIOBERTTY TERAN VALBUENA"/>
    <n v="26901515"/>
    <x v="1"/>
    <s v="NUEVOS PROYECTOS"/>
    <s v="PENDIENTE INFORMACIÓN"/>
    <x v="1"/>
    <x v="1"/>
    <x v="1"/>
    <x v="3"/>
    <s v="Por Certificar"/>
    <s v="-"/>
    <s v="Por Certificar"/>
    <s v="-"/>
    <s v="-"/>
    <s v="SI"/>
    <m/>
  </r>
  <r>
    <s v="CARACAS"/>
    <s v="CORPORACIÓN FIBEX TELECOM, C.A."/>
    <n v="2672573314"/>
    <s v="YENDELBETH ALEXANDER RODRIGUEZ GUTIERREZ"/>
    <n v="29571160"/>
    <x v="1"/>
    <s v="NUEVOS PROYECTOS"/>
    <s v="PENDIENTE INFORMACIÓN"/>
    <x v="1"/>
    <x v="1"/>
    <x v="1"/>
    <x v="3"/>
    <s v="Por Certificar"/>
    <s v="-"/>
    <s v="Por Certificar"/>
    <s v="-"/>
    <s v="-"/>
    <s v="SI"/>
    <m/>
  </r>
  <r>
    <s v="CARACAS"/>
    <s v="CORPORACIÓN FIBEX TELECOM, C.A."/>
    <n v="2672573314"/>
    <s v="ANTONIO JOSE PONCE LINARES"/>
    <n v="19254876"/>
    <x v="1"/>
    <s v="NUEVOS PROYECTOS"/>
    <s v="PENDIENTE INFORMACIÓN"/>
    <x v="1"/>
    <x v="1"/>
    <x v="1"/>
    <x v="3"/>
    <s v="Por Certificar"/>
    <s v="-"/>
    <s v="Por Certificar"/>
    <s v="-"/>
    <s v="-"/>
    <s v="SI"/>
    <m/>
  </r>
  <r>
    <s v="CARACAS"/>
    <s v="CORPORACIÓN FIBEX TELECOM, C.A."/>
    <n v="2672573314"/>
    <s v="JOIMER ALEXANDER ALVAREZ CursadoLVA"/>
    <n v="29969613"/>
    <x v="1"/>
    <s v="NUEVOS PROYECTOS"/>
    <s v="PENDIENTE INFORMACIÓN"/>
    <x v="1"/>
    <x v="1"/>
    <x v="1"/>
    <x v="3"/>
    <s v="Por Certificar"/>
    <s v="-"/>
    <s v="Por Certificar"/>
    <s v="-"/>
    <s v="-"/>
    <s v="SI"/>
    <m/>
  </r>
  <r>
    <s v="CARACAS"/>
    <s v="CORPORACIÓN FIBEX TELECOM, C.A."/>
    <n v="2672573314"/>
    <s v="ROBERTO ANTONIO GUZMAN CANTILLO"/>
    <n v="84589609"/>
    <x v="3"/>
    <s v="NUEVOS PROYECTOS"/>
    <s v="PENDIENTE INFORMACIÓN"/>
    <x v="1"/>
    <x v="1"/>
    <x v="1"/>
    <x v="3"/>
    <s v="Por Certificar"/>
    <s v="-"/>
    <s v="Por Certificar"/>
    <s v="-"/>
    <s v="-"/>
    <s v="SI"/>
    <m/>
  </r>
  <r>
    <s v="CARACAS"/>
    <s v="CORPORACIÓN FIBEX TELECOM, C.A."/>
    <n v="2672573314"/>
    <s v="TOMAS ALEXANDER PERFECTO GONZALEZ"/>
    <n v="31448244"/>
    <x v="1"/>
    <s v="NUEVOS PROYECTOS"/>
    <s v="PENDIENTE INFORMACIÓN"/>
    <x v="1"/>
    <x v="1"/>
    <x v="1"/>
    <x v="3"/>
    <s v="Por Certificar"/>
    <s v="-"/>
    <s v="Por Certificar"/>
    <s v="-"/>
    <s v="-"/>
    <s v="SI"/>
    <m/>
  </r>
  <r>
    <s v="CARACAS"/>
    <s v="CORPORACIÓN FIBEX TELECOM, C.A."/>
    <n v="2672573314"/>
    <s v="WILLIS OBRAYAN OVIEDO RODRIGUEZ"/>
    <n v="25866051"/>
    <x v="1"/>
    <s v="NUEVOS PROYECTOS"/>
    <s v="PENDIENTE INFORMACIÓN"/>
    <x v="1"/>
    <x v="1"/>
    <x v="1"/>
    <x v="3"/>
    <s v="Por Certificar"/>
    <s v="-"/>
    <s v="Por Certificar"/>
    <s v="-"/>
    <s v="-"/>
    <s v="SI"/>
    <m/>
  </r>
  <r>
    <s v="CARACAS"/>
    <s v="CORPORACIÓN FIBEX TELECOM, C.A."/>
    <n v="2672573314"/>
    <s v="RICARDO AZAEL GIL CASTILLO"/>
    <n v="28082163"/>
    <x v="1"/>
    <s v="O&amp;M"/>
    <s v="PENDIENTE INFORMACIÓN"/>
    <x v="1"/>
    <x v="1"/>
    <x v="1"/>
    <x v="3"/>
    <s v="Por Certificar"/>
    <s v="-"/>
    <s v="Por Certificar"/>
    <s v="-"/>
    <s v="-"/>
    <s v="SI"/>
    <m/>
  </r>
  <r>
    <s v="CARACAS"/>
    <s v="CORPORACIÓN FIBEX TELECOM, C.A."/>
    <n v="2672573314"/>
    <s v="WARLIN EDUARDO GARCIA SANCHEZ"/>
    <n v="28324753"/>
    <x v="0"/>
    <s v="IMPLEMENTACION"/>
    <s v="PENDIENTE INFORMACIÓN"/>
    <x v="1"/>
    <x v="1"/>
    <x v="1"/>
    <x v="3"/>
    <s v="Por Certificar"/>
    <s v="-"/>
    <s v="Por Certificar"/>
    <s v="-"/>
    <s v="-"/>
    <s v="SI"/>
    <m/>
  </r>
  <r>
    <s v="CARACAS"/>
    <s v="CORPORACIÓN FIBEX TELECOM, C.A."/>
    <n v="2672573314"/>
    <s v="SNAIDER LEONARDO ZUNIGA GALINDO"/>
    <n v="31784740"/>
    <x v="1"/>
    <s v="O&amp;M"/>
    <s v="PENDIENTE INFORMACIÓN"/>
    <x v="1"/>
    <x v="1"/>
    <x v="1"/>
    <x v="3"/>
    <s v="Por Certificar"/>
    <s v="-"/>
    <s v="Por Certificar"/>
    <s v="-"/>
    <s v="-"/>
    <s v="SI"/>
    <m/>
  </r>
  <r>
    <s v="CARACAS"/>
    <s v="CORPORACIÓN FIBEX TELECOM, C.A."/>
    <n v="2672573314"/>
    <s v="LUIS ANTONIO IRIARTE URRIETA"/>
    <n v="10865648"/>
    <x v="3"/>
    <s v="O&amp;M"/>
    <s v="PENDIENTE INFORMACIÓN"/>
    <x v="1"/>
    <x v="1"/>
    <x v="1"/>
    <x v="3"/>
    <s v="Por Certificar"/>
    <s v="-"/>
    <s v="Por Certificar"/>
    <s v="-"/>
    <s v="-"/>
    <s v="SI"/>
    <m/>
  </r>
  <r>
    <s v="CARACAS"/>
    <s v="CORPORACIÓN FIBEX TELECOM, C.A."/>
    <n v="2672573314"/>
    <s v="ANTHONY VALERA"/>
    <n v="20604349"/>
    <x v="0"/>
    <s v="O&amp;M"/>
    <s v="PENDIENTE INFORMACIÓN"/>
    <x v="1"/>
    <x v="1"/>
    <x v="1"/>
    <x v="3"/>
    <s v="Por Certificar"/>
    <s v="-"/>
    <s v="Por Certificar"/>
    <s v="-"/>
    <s v="-"/>
    <s v="SI"/>
    <m/>
  </r>
  <r>
    <s v="CARACAS"/>
    <s v="CORPORACIÓN FIBEX TELECOM, C.A."/>
    <n v="2672573314"/>
    <s v="JOSE MANUEL PARRA NAVARRO"/>
    <n v="17142406"/>
    <x v="0"/>
    <s v="O&amp;M"/>
    <s v="PENDIENTE INFORMACIÓN"/>
    <x v="1"/>
    <x v="1"/>
    <x v="1"/>
    <x v="3"/>
    <s v="Por Certificar"/>
    <s v="-"/>
    <s v="Por Certificar"/>
    <s v="-"/>
    <s v="-"/>
    <s v="SI"/>
    <m/>
  </r>
  <r>
    <s v="CARACAS"/>
    <s v="CORPORACIÓN FIBEX TELECOM, C.A."/>
    <n v="2672573314"/>
    <s v="LEONEL ALEXANDER CEDEÑO RIVAS"/>
    <n v="27667420"/>
    <x v="0"/>
    <s v="O&amp;M"/>
    <s v="PENDIENTE INFORMACIÓN"/>
    <x v="1"/>
    <x v="1"/>
    <x v="1"/>
    <x v="3"/>
    <s v="Por Certificar"/>
    <s v="-"/>
    <s v="Por Certificar"/>
    <s v="-"/>
    <s v="-"/>
    <s v="SI"/>
    <m/>
  </r>
  <r>
    <s v="CARACAS"/>
    <s v="CORPORACIÓN FIBEX TELECOM, C.A."/>
    <n v="2672573314"/>
    <s v="YANEZ HERRERA, GREGSON JESUS"/>
    <n v="12785597"/>
    <x v="5"/>
    <s v="PLANTA INTERNA"/>
    <s v="PENDIENTE INFORMACIÓN"/>
    <x v="1"/>
    <x v="1"/>
    <x v="0"/>
    <x v="0"/>
    <s v="Por Certificar"/>
    <s v="-"/>
    <s v="Por Certificar"/>
    <s v="-"/>
    <s v="-"/>
    <s v="SI"/>
    <m/>
  </r>
  <r>
    <s v="CARACAS"/>
    <s v="CORPORACIÓN FIBEX TELECOM, C.A."/>
    <n v="2672573314"/>
    <s v="HERNANDEZ GUEVARA, MAURO ISRAEL"/>
    <n v="17077133"/>
    <x v="5"/>
    <s v="PLANTA INTERNA"/>
    <s v="PENDIENTE INFORMACIÓN"/>
    <x v="1"/>
    <x v="1"/>
    <x v="0"/>
    <x v="0"/>
    <s v="Por Certificar"/>
    <s v="-"/>
    <s v="Por Certificar"/>
    <s v="-"/>
    <s v="-"/>
    <s v="SI"/>
    <m/>
  </r>
  <r>
    <s v="CARACAS"/>
    <s v="CORPORACIÓN FIBEX TELECOM, C.A."/>
    <n v="2672573314"/>
    <s v="JOSE LUIS GONZALEZ CATIRE"/>
    <n v="17390765"/>
    <x v="2"/>
    <s v="EMPALME"/>
    <s v="PENDIENTE INFORMACIÓN"/>
    <x v="1"/>
    <x v="1"/>
    <x v="0"/>
    <x v="0"/>
    <s v="Por Certificar"/>
    <s v="-"/>
    <s v="Por Certificar"/>
    <s v="-"/>
    <s v="-"/>
    <s v="SI"/>
    <m/>
  </r>
  <r>
    <s v="CARACAS"/>
    <s v="CORPORACIÓN FIBEX TELECOM, C.A."/>
    <n v="2672573314"/>
    <s v="MARIA JOSE TOVAR MORILLO"/>
    <n v="28070903"/>
    <x v="2"/>
    <s v="EMPALME"/>
    <s v="PENDIENTE INFORMACIÓN"/>
    <x v="1"/>
    <x v="1"/>
    <x v="0"/>
    <x v="0"/>
    <s v="Por Certificar"/>
    <s v="-"/>
    <s v="Por Certificar"/>
    <s v="-"/>
    <s v="-"/>
    <s v="SI"/>
    <m/>
  </r>
  <r>
    <s v="CARACAS"/>
    <s v="CORPORACIÓN FIBEX TELECOM, C.A."/>
    <n v="2672573314"/>
    <s v="JESUS TORRES"/>
    <n v="16095522"/>
    <x v="2"/>
    <s v="MDC"/>
    <s v="PENDIENTE INFORMACIÓN"/>
    <x v="1"/>
    <x v="1"/>
    <x v="0"/>
    <x v="0"/>
    <s v="Por Certificar"/>
    <s v="-"/>
    <s v="Por Certificar"/>
    <s v="-"/>
    <s v="-"/>
    <s v="SI"/>
    <m/>
  </r>
  <r>
    <s v="CARACAS"/>
    <s v="CORPORACIÓN FIBEX TELECOM, C.A."/>
    <n v="2672573314"/>
    <s v="ANGEL EDUARDO AGUILAR URBINA"/>
    <n v="21482200"/>
    <x v="2"/>
    <s v="MDC"/>
    <s v="PENDIENTE INFORMACIÓN"/>
    <x v="1"/>
    <x v="1"/>
    <x v="0"/>
    <x v="0"/>
    <s v="Por Certificar"/>
    <s v="-"/>
    <s v="Por Certificar"/>
    <s v="-"/>
    <s v="-"/>
    <s v="SI"/>
    <m/>
  </r>
  <r>
    <s v="CARACAS"/>
    <s v="CORPORACIÓN FIBEX TELECOM, C.A."/>
    <n v="2672573314"/>
    <s v="KENNY GABRIEL CEDEÑO"/>
    <n v="25019808"/>
    <x v="2"/>
    <s v="MDC"/>
    <s v="PENDIENTE INFORMACIÓN"/>
    <x v="1"/>
    <x v="1"/>
    <x v="0"/>
    <x v="0"/>
    <s v="Por Certificar"/>
    <s v="-"/>
    <s v="Por Certificar"/>
    <s v="-"/>
    <s v="-"/>
    <s v="SI"/>
    <m/>
  </r>
  <r>
    <s v="CARACAS"/>
    <s v="CORPORACIÓN FIBEX TELECOM, C.A."/>
    <n v="2672573314"/>
    <s v="NANDY GREGORIO MARTINEZ MONASTERIO"/>
    <n v="15931722"/>
    <x v="1"/>
    <s v="EMPALME"/>
    <s v="PENDIENTE INFORMACIÓN"/>
    <x v="1"/>
    <x v="1"/>
    <x v="0"/>
    <x v="0"/>
    <s v="Por Certificar"/>
    <s v="-"/>
    <s v="Por Certificar"/>
    <s v="-"/>
    <s v="-"/>
    <s v="SI"/>
    <m/>
  </r>
  <r>
    <s v="CARACAS"/>
    <s v="CORPORACIÓN FIBEX TELECOM, C.A."/>
    <n v="2672573314"/>
    <s v="BRIAN JAVIER GUERRERO OLIVEROS"/>
    <n v="25258063"/>
    <x v="1"/>
    <s v="EMPALME"/>
    <s v="PENDIENTE INFORMACIÓN"/>
    <x v="1"/>
    <x v="1"/>
    <x v="0"/>
    <x v="0"/>
    <s v="Por Certificar"/>
    <s v="-"/>
    <s v="Por Certificar"/>
    <s v="-"/>
    <s v="-"/>
    <s v="SI"/>
    <m/>
  </r>
  <r>
    <s v="CARACAS"/>
    <s v="CORPORACIÓN FIBEX TELECOM, C.A."/>
    <n v="2672573314"/>
    <s v="SERGIO LEANDRO MEDINA MONTILLA"/>
    <n v="29584813"/>
    <x v="1"/>
    <s v="EMPALME"/>
    <s v="PENDIENTE INFORMACIÓN"/>
    <x v="1"/>
    <x v="1"/>
    <x v="0"/>
    <x v="0"/>
    <s v="Por Certificar"/>
    <s v="-"/>
    <s v="Por Certificar"/>
    <s v="-"/>
    <s v="-"/>
    <s v="SI"/>
    <m/>
  </r>
  <r>
    <s v="CARACAS"/>
    <s v="CORPORACIÓN FIBEX TELECOM, C.A."/>
    <n v="2672573314"/>
    <s v="CRISTIAN JESUS MEDINA ESTANGA"/>
    <n v="29898115"/>
    <x v="1"/>
    <s v="EMPALME"/>
    <s v="PENDIENTE INFORMACIÓN"/>
    <x v="1"/>
    <x v="1"/>
    <x v="0"/>
    <x v="0"/>
    <s v="Por Certificar"/>
    <s v="-"/>
    <s v="Por Certificar"/>
    <s v="-"/>
    <s v="-"/>
    <s v="SI"/>
    <m/>
  </r>
  <r>
    <s v="CARACAS"/>
    <s v="CORPORACIÓN FIBEX TELECOM, C.A."/>
    <n v="2672573314"/>
    <s v="JULIO JESUS ROSILLO RAMOS"/>
    <n v="12385103"/>
    <x v="0"/>
    <s v="O&amp;M"/>
    <s v="PENDIENTE INFORMACIÓN"/>
    <x v="1"/>
    <x v="1"/>
    <x v="0"/>
    <x v="0"/>
    <s v="Por Certificar"/>
    <s v="-"/>
    <s v="Por Certificar"/>
    <s v="-"/>
    <s v="-"/>
    <s v="SI"/>
    <m/>
  </r>
  <r>
    <s v="COJEDES"/>
    <s v="CORPORACIÓN FIBEX TELECOM, C.A."/>
    <n v="2672573314"/>
    <s v="JESUS MANUEL REYES NADAL"/>
    <n v="27890716"/>
    <x v="4"/>
    <s v="O&amp;M"/>
    <s v="JESUS REYES NADAL"/>
    <x v="1"/>
    <x v="1"/>
    <x v="1"/>
    <x v="4"/>
    <s v="Por Certificar"/>
    <s v="-"/>
    <s v="Por Certificar"/>
    <s v="-"/>
    <s v="-"/>
    <s v="SI"/>
    <m/>
  </r>
  <r>
    <s v="COJEDES"/>
    <s v="CORPORACIÓN FIBEX TELECOM, C.A."/>
    <n v="2672573314"/>
    <s v="ROSO JOSE QUIROZ TORREALBA"/>
    <n v="25332341"/>
    <x v="3"/>
    <s v="O&amp;M"/>
    <s v="JESUS REYES NADAL"/>
    <x v="1"/>
    <x v="1"/>
    <x v="1"/>
    <x v="4"/>
    <s v="Por Certificar"/>
    <s v="-"/>
    <s v="Por Certificar"/>
    <s v="-"/>
    <s v="-"/>
    <s v="SI"/>
    <m/>
  </r>
  <r>
    <s v="COJEDES"/>
    <s v="CORPORACIÓN FIBEX TELECOM, C.A."/>
    <n v="2672573314"/>
    <s v="YOSMAR YVAN COBO ORTIZ"/>
    <n v="20700330"/>
    <x v="0"/>
    <s v="CDR"/>
    <s v="JESUS REYES NADAL"/>
    <x v="0"/>
    <x v="0"/>
    <x v="1"/>
    <x v="3"/>
    <s v="Por Certificar"/>
    <s v="-"/>
    <s v="Por Certificar"/>
    <s v="-"/>
    <s v="-"/>
    <s v="SI"/>
    <m/>
  </r>
  <r>
    <s v="COJEDES"/>
    <s v="CORPORACIÓN FIBEX TELECOM, C.A."/>
    <n v="2672573314"/>
    <s v="JOSETH STALIN FIGUEROA LOPEZ"/>
    <n v="30371821"/>
    <x v="0"/>
    <s v="CDR"/>
    <s v="JESUS REYES NADAL"/>
    <x v="0"/>
    <x v="0"/>
    <x v="1"/>
    <x v="3"/>
    <s v="Por Certificar"/>
    <s v="-"/>
    <s v="Por Certificar"/>
    <s v="-"/>
    <s v="-"/>
    <s v="SI"/>
    <m/>
  </r>
  <r>
    <s v="COJEDES"/>
    <s v="CORPORACIÓN FIBEX TELECOM, C.A."/>
    <n v="2672573314"/>
    <s v="MAURO JOSE AGUILAR SUAREZ"/>
    <n v="19260284"/>
    <x v="0"/>
    <s v="O&amp;M"/>
    <s v="JESUS REYES NADAL"/>
    <x v="0"/>
    <x v="0"/>
    <x v="1"/>
    <x v="3"/>
    <s v="Por Certificar"/>
    <s v="-"/>
    <s v="Por Certificar"/>
    <s v="-"/>
    <s v="-"/>
    <s v="SI"/>
    <m/>
  </r>
  <r>
    <s v="COJEDES"/>
    <s v="CORPORACIÓN FIBEX TELECOM, C.A."/>
    <n v="2672573314"/>
    <s v="JOSE MANUEL BRITO MONTIEL"/>
    <n v="27013056"/>
    <x v="0"/>
    <s v="O&amp;M"/>
    <s v="JESUS REYES NADAL"/>
    <x v="0"/>
    <x v="0"/>
    <x v="1"/>
    <x v="3"/>
    <s v="Por Certificar"/>
    <s v="-"/>
    <s v="Por Certificar"/>
    <s v="-"/>
    <s v="-"/>
    <s v="SI"/>
    <m/>
  </r>
  <r>
    <s v="COJEDES"/>
    <s v="CORPORACIÓN FIBEX TELECOM, C.A."/>
    <n v="2672573314"/>
    <s v="MARCOS MARCEL PEREZ REYES"/>
    <n v="26145382"/>
    <x v="0"/>
    <s v="O&amp;M"/>
    <s v="JESUS REYES NADAL"/>
    <x v="0"/>
    <x v="0"/>
    <x v="1"/>
    <x v="3"/>
    <s v="Por Certificar"/>
    <s v="-"/>
    <s v="Por Certificar"/>
    <s v="-"/>
    <s v="-"/>
    <s v="SI"/>
    <m/>
  </r>
  <r>
    <s v="COJEDES"/>
    <s v="CORPORACIÓN FIBEX TELECOM, C.A."/>
    <n v="2672573314"/>
    <s v="LUIS ALEJANDRO APARICIO HERRERA"/>
    <n v="25534806"/>
    <x v="0"/>
    <s v="O&amp;M"/>
    <s v="JESUS REYES NADAL"/>
    <x v="0"/>
    <x v="0"/>
    <x v="1"/>
    <x v="3"/>
    <s v="Por Certificar"/>
    <s v="-"/>
    <s v="Por Certificar"/>
    <s v="-"/>
    <s v="-"/>
    <s v="SI"/>
    <m/>
  </r>
  <r>
    <s v="COJEDES"/>
    <s v="CORPORACIÓN FIBEX TELECOM, C.A."/>
    <n v="2672573314"/>
    <s v="JOSE ALFREDO MIRELES BENITES"/>
    <n v="20041117"/>
    <x v="1"/>
    <s v="O&amp;M"/>
    <s v="JESUS REYES NADAL"/>
    <x v="0"/>
    <x v="0"/>
    <x v="1"/>
    <x v="3"/>
    <s v="Por Certificar"/>
    <s v="-"/>
    <s v="Por Certificar"/>
    <s v="-"/>
    <s v="-"/>
    <s v="SI"/>
    <m/>
  </r>
  <r>
    <s v="COJEDES"/>
    <s v="CORPORACIÓN FIBEX TELECOM, C.A."/>
    <n v="2672573314"/>
    <s v="AMILCAR ALEJANDRO REYES NATERA"/>
    <n v="14414733"/>
    <x v="0"/>
    <s v="CDR"/>
    <s v="JESUS REYES NADAL"/>
    <x v="1"/>
    <x v="1"/>
    <x v="1"/>
    <x v="3"/>
    <s v="Por Certificar"/>
    <s v="-"/>
    <s v="Por Certificar"/>
    <s v="-"/>
    <s v="-"/>
    <s v="SI"/>
    <m/>
  </r>
  <r>
    <s v="COJEDES"/>
    <s v="CORPORACIÓN FIBEX TELECOM, C.A."/>
    <n v="2672573314"/>
    <s v="FIDEL JOSE ANDRADES SANDOVAL"/>
    <n v="25954162"/>
    <x v="1"/>
    <s v="CDR"/>
    <s v="JESUS REYES NADAL"/>
    <x v="1"/>
    <x v="1"/>
    <x v="1"/>
    <x v="3"/>
    <s v="Por Certificar"/>
    <s v="-"/>
    <s v="Por Certificar"/>
    <s v="-"/>
    <s v="-"/>
    <s v="SI"/>
    <m/>
  </r>
  <r>
    <s v="COJEDES"/>
    <s v="CORPORACIÓN FIBEX TELECOM, C.A."/>
    <n v="2672573314"/>
    <s v="JESUS MANUEL SEQUERA MONTENEGRO"/>
    <n v="28339838"/>
    <x v="1"/>
    <s v="CDR"/>
    <s v="JESUS REYES NADAL"/>
    <x v="1"/>
    <x v="1"/>
    <x v="1"/>
    <x v="3"/>
    <s v="Por Certificar"/>
    <s v="-"/>
    <s v="Por Certificar"/>
    <s v="-"/>
    <s v="-"/>
    <s v="SI"/>
    <m/>
  </r>
  <r>
    <s v="COJEDES"/>
    <s v="CORPORACIÓN FIBEX TELECOM, C.A."/>
    <n v="2672573314"/>
    <s v="ANDERSON BETANIO CANCINES DELGADO"/>
    <n v="24793644"/>
    <x v="1"/>
    <s v="CDR"/>
    <s v="JESUS REYES NADAL"/>
    <x v="1"/>
    <x v="1"/>
    <x v="1"/>
    <x v="3"/>
    <s v="Por Certificar"/>
    <s v="-"/>
    <s v="Por Certificar"/>
    <s v="-"/>
    <s v="-"/>
    <s v="SI"/>
    <m/>
  </r>
  <r>
    <s v="COJEDES"/>
    <s v="CORPORACIÓN FIBEX TELECOM, C.A."/>
    <n v="2672573314"/>
    <s v="MIGUEL ANGEL LOPEZ BLANCO"/>
    <n v="18850224"/>
    <x v="1"/>
    <s v="O&amp;M"/>
    <s v="JESUS REYES NADAL"/>
    <x v="1"/>
    <x v="1"/>
    <x v="1"/>
    <x v="4"/>
    <s v="Por Certificar"/>
    <s v="-"/>
    <s v="Por Certificar"/>
    <s v="-"/>
    <s v="-"/>
    <s v="SI"/>
    <m/>
  </r>
  <r>
    <s v="COJEDES"/>
    <s v="CORPORACIÓN FIBEX TELECOM, C.A."/>
    <n v="2672573314"/>
    <s v="EDUARDO JOSE SANDOVAL DIAZ"/>
    <n v="22597048"/>
    <x v="1"/>
    <s v="O&amp;M"/>
    <s v="JESUS REYES NADAL"/>
    <x v="1"/>
    <x v="1"/>
    <x v="1"/>
    <x v="4"/>
    <s v="Por Certificar"/>
    <s v="-"/>
    <s v="Por Certificar"/>
    <s v="-"/>
    <s v="-"/>
    <s v="SI"/>
    <m/>
  </r>
  <r>
    <s v="COJEDES"/>
    <s v="CORPORACIÓN FIBEX TELECOM, C.A."/>
    <n v="2672573314"/>
    <s v="CARLOS MANUEL ADAMES HERNANDEZ"/>
    <n v="19182485"/>
    <x v="1"/>
    <s v="O&amp;M"/>
    <s v="JESUS REYES NADAL"/>
    <x v="1"/>
    <x v="1"/>
    <x v="1"/>
    <x v="3"/>
    <s v="Por Certificar"/>
    <s v="-"/>
    <s v="Por Certificar"/>
    <s v="-"/>
    <s v="-"/>
    <s v="SI"/>
    <m/>
  </r>
  <r>
    <s v="COJEDES"/>
    <s v="CORPORACIÓN FIBEX TELECOM, C.A."/>
    <n v="2672573314"/>
    <s v="JOSE ANTONIO NAVAS ALVAREZ"/>
    <n v="19357155"/>
    <x v="1"/>
    <s v="O&amp;M"/>
    <s v="JESUS REYES NADAL"/>
    <x v="1"/>
    <x v="1"/>
    <x v="1"/>
    <x v="3"/>
    <s v="Por Certificar"/>
    <s v="-"/>
    <s v="Por Certificar"/>
    <s v="-"/>
    <s v="-"/>
    <s v="SI"/>
    <m/>
  </r>
  <r>
    <s v="COJEDES"/>
    <s v="CORPORACIÓN FIBEX TELECOM, C.A."/>
    <n v="2672573314"/>
    <s v="YOHAN ANTONIO PERAZA CASTEL"/>
    <n v="20641121"/>
    <x v="0"/>
    <s v="O&amp;M"/>
    <s v="JESUS REYES NADAL"/>
    <x v="1"/>
    <x v="1"/>
    <x v="1"/>
    <x v="3"/>
    <s v="Por Certificar"/>
    <s v="-"/>
    <s v="Por Certificar"/>
    <s v="-"/>
    <s v="-"/>
    <s v="SI"/>
    <m/>
  </r>
  <r>
    <s v="COJEDES"/>
    <s v="CORPORACIÓN FIBEX TELECOM, C.A."/>
    <n v="2672573314"/>
    <s v="ARMANDO JESUS CAICEDO ANGARITA"/>
    <n v="26400401"/>
    <x v="1"/>
    <s v="O&amp;M"/>
    <s v="JESUS REYES NADAL"/>
    <x v="1"/>
    <x v="1"/>
    <x v="1"/>
    <x v="3"/>
    <s v="Por Certificar"/>
    <s v="-"/>
    <s v="Por Certificar"/>
    <s v="-"/>
    <s v="-"/>
    <s v="SI"/>
    <m/>
  </r>
  <r>
    <s v="COJEDES"/>
    <s v="CORPORACIÓN FIBEX TELECOM, C.A."/>
    <n v="2672573314"/>
    <s v="LUIS JOSE FRANCHI MORLES"/>
    <n v="23959129"/>
    <x v="0"/>
    <s v="O&amp;M"/>
    <s v="JESUS REYES NADAL"/>
    <x v="1"/>
    <x v="1"/>
    <x v="1"/>
    <x v="4"/>
    <s v="Por Certificar"/>
    <s v="-"/>
    <s v="Por Certificar"/>
    <s v="-"/>
    <s v="-"/>
    <s v="SI"/>
    <m/>
  </r>
  <r>
    <s v="COJEDES"/>
    <s v="CORPORACIÓN FIBEX TELECOM, C.A."/>
    <n v="2672573314"/>
    <s v="EUDIMAR ANTONIO AGUIRRE SALCEDO"/>
    <n v="19542063"/>
    <x v="1"/>
    <s v="O&amp;M"/>
    <s v="JESUS REYES NADAL"/>
    <x v="1"/>
    <x v="1"/>
    <x v="1"/>
    <x v="4"/>
    <s v="Por Certificar"/>
    <s v="-"/>
    <s v="Por Certificar"/>
    <s v="-"/>
    <s v="-"/>
    <s v="SI"/>
    <m/>
  </r>
  <r>
    <s v="COJEDES"/>
    <s v="CORPORACIÓN FIBEX TELECOM, C.A."/>
    <n v="2672573314"/>
    <s v="GUSTAVO JOSE ALVARADO RODRIGUEZ"/>
    <n v="24793601"/>
    <x v="0"/>
    <s v="O&amp;M"/>
    <s v="JESUS REYES NADAL"/>
    <x v="1"/>
    <x v="1"/>
    <x v="1"/>
    <x v="4"/>
    <s v="Por Certificar"/>
    <s v="-"/>
    <s v="Por Certificar"/>
    <s v="-"/>
    <s v="-"/>
    <s v="SI"/>
    <m/>
  </r>
  <r>
    <s v="COJEDES"/>
    <s v="CORPORACIÓN FIBEX TELECOM, C.A."/>
    <n v="2672573314"/>
    <s v="KEVIN ALBERTO YABLONKIS GARCIA"/>
    <n v="29920753"/>
    <x v="1"/>
    <s v="O&amp;M"/>
    <s v="JESUS REYES NADAL"/>
    <x v="1"/>
    <x v="1"/>
    <x v="1"/>
    <x v="3"/>
    <s v="Por Certificar"/>
    <s v="-"/>
    <s v="Por Certificar"/>
    <s v="-"/>
    <s v="-"/>
    <s v="SI"/>
    <m/>
  </r>
  <r>
    <s v="COJEDES"/>
    <s v="CORPORACIÓN FIBEX TELECOM, C.A."/>
    <n v="2672573314"/>
    <s v="DOMYSMER VICTOR PEREZ  MORALES"/>
    <n v="25954652"/>
    <x v="0"/>
    <s v="O&amp;M"/>
    <s v="JESUS REYES NADAL"/>
    <x v="1"/>
    <x v="1"/>
    <x v="1"/>
    <x v="4"/>
    <s v="Por Certificar"/>
    <s v="-"/>
    <s v="Por Certificar"/>
    <s v="-"/>
    <s v="-"/>
    <s v="SI"/>
    <m/>
  </r>
  <r>
    <s v="COJEDES"/>
    <s v="CORPORACIÓN FIBEX TELECOM, C.A."/>
    <n v="2672573314"/>
    <s v="DANIEL HUMBERTO PARRA TORRES"/>
    <n v="24247265"/>
    <x v="1"/>
    <s v="O&amp;M"/>
    <s v="JESUS REYES NADAL"/>
    <x v="1"/>
    <x v="1"/>
    <x v="1"/>
    <x v="4"/>
    <s v="Por Certificar"/>
    <s v="-"/>
    <s v="Por Certificar"/>
    <s v="-"/>
    <s v="-"/>
    <s v="SI"/>
    <m/>
  </r>
  <r>
    <s v="COJEDES"/>
    <s v="CORPORACIÓN FIBEX TELECOM, C.A."/>
    <n v="2672573314"/>
    <s v="ANDRES ANTONIO CASTILLO MEDINA"/>
    <n v="19356963"/>
    <x v="0"/>
    <s v="O&amp;M"/>
    <s v="JESUS REYES NADAL"/>
    <x v="1"/>
    <x v="1"/>
    <x v="1"/>
    <x v="3"/>
    <s v="Por Certificar"/>
    <s v="-"/>
    <s v="Por Certificar"/>
    <s v="-"/>
    <s v="-"/>
    <s v="SI"/>
    <m/>
  </r>
  <r>
    <s v="COJEDES"/>
    <s v="CORPORACIÓN FIBEX TELECOM, C.A."/>
    <n v="2672573314"/>
    <s v="WILSON RAMON PONCE PONCE"/>
    <n v="25419378"/>
    <x v="1"/>
    <s v="O&amp;M"/>
    <s v="JESUS REYES NADAL"/>
    <x v="1"/>
    <x v="1"/>
    <x v="1"/>
    <x v="3"/>
    <s v="Por Certificar"/>
    <s v="-"/>
    <s v="Por Certificar"/>
    <s v="-"/>
    <s v="-"/>
    <s v="SI"/>
    <m/>
  </r>
  <r>
    <s v="COJEDES"/>
    <s v="CORPORACIÓN FIBEX TELECOM, C.A."/>
    <n v="2672573314"/>
    <s v="LUIS DAVID FARFAN PIÑERO"/>
    <n v="21139746"/>
    <x v="0"/>
    <s v="O&amp;M"/>
    <s v="JESUS REYES NADAL"/>
    <x v="1"/>
    <x v="1"/>
    <x v="1"/>
    <x v="4"/>
    <s v="Por Certificar"/>
    <s v="-"/>
    <s v="Por Certificar"/>
    <s v="-"/>
    <s v="-"/>
    <s v="SI"/>
    <m/>
  </r>
  <r>
    <s v="COJEDES"/>
    <s v="CORPORACIÓN FIBEX TELECOM, C.A."/>
    <n v="2672573314"/>
    <s v="JESUS ALFONSO BRITO MONTIEL"/>
    <n v="30241946"/>
    <x v="1"/>
    <s v="O&amp;M"/>
    <s v="JESUS REYES NADAL"/>
    <x v="1"/>
    <x v="1"/>
    <x v="1"/>
    <x v="4"/>
    <s v="Por Certificar"/>
    <s v="-"/>
    <s v="Por Certificar"/>
    <s v="-"/>
    <s v="-"/>
    <s v="SI"/>
    <m/>
  </r>
  <r>
    <s v="COJEDES"/>
    <s v="CORPORACIÓN FIBEX TELECOM, C.A."/>
    <n v="2672573314"/>
    <s v="MOISES DAVID BERENZUELA CONTRERAS"/>
    <n v="29525224"/>
    <x v="0"/>
    <s v="O&amp;M"/>
    <s v="JESUS REYES NADAL"/>
    <x v="1"/>
    <x v="1"/>
    <x v="1"/>
    <x v="4"/>
    <s v="Por Certificar"/>
    <s v="-"/>
    <s v="Por Certificar"/>
    <s v="-"/>
    <s v="-"/>
    <s v="SI"/>
    <m/>
  </r>
  <r>
    <s v="COJEDES"/>
    <s v="CORPORACIÓN FIBEX TELECOM, C.A."/>
    <n v="2672573314"/>
    <s v="KEYBER EDUARDO DA SILVA SULBARAN"/>
    <n v="31903946"/>
    <x v="1"/>
    <s v="O&amp;M"/>
    <s v="JESUS REYES NADAL"/>
    <x v="1"/>
    <x v="1"/>
    <x v="1"/>
    <x v="4"/>
    <s v="Por Certificar"/>
    <s v="-"/>
    <s v="Por Certificar"/>
    <s v="-"/>
    <s v="-"/>
    <s v="SI"/>
    <m/>
  </r>
  <r>
    <s v="COJEDES"/>
    <s v="CORPORACIÓN FIBEX TELECOM, C.A."/>
    <n v="2672573314"/>
    <s v="ALAIN JOSE GARCIA GUTIERREZ"/>
    <n v="10992362"/>
    <x v="0"/>
    <s v="O&amp;M"/>
    <s v="JESUS REYES NADAL"/>
    <x v="1"/>
    <x v="1"/>
    <x v="1"/>
    <x v="4"/>
    <s v="Por Certificar"/>
    <s v="-"/>
    <s v="Por Certificar"/>
    <s v="-"/>
    <s v="-"/>
    <s v="SI"/>
    <m/>
  </r>
  <r>
    <s v="COJEDES"/>
    <s v="CORPORACIÓN FIBEX TELECOM, C.A."/>
    <n v="2672573314"/>
    <s v="WILMER COLINA"/>
    <n v="12029969"/>
    <x v="3"/>
    <s v="O&amp;M"/>
    <s v="JESUS REYES NADAL"/>
    <x v="1"/>
    <x v="1"/>
    <x v="1"/>
    <x v="3"/>
    <s v="Por Certificar"/>
    <s v="-"/>
    <s v="Por Certificar"/>
    <s v="-"/>
    <s v="-"/>
    <s v="SI"/>
    <m/>
  </r>
  <r>
    <s v="COJEDES"/>
    <s v="CORPORACIÓN FIBEX TELECOM, C.A."/>
    <n v="2672573314"/>
    <s v="JOSE JAVIER MAYOR MONTIEL"/>
    <n v="18322387"/>
    <x v="2"/>
    <s v="MDC"/>
    <s v="JESUS REYES NADAL"/>
    <x v="1"/>
    <x v="1"/>
    <x v="0"/>
    <x v="0"/>
    <s v="Por Certificar"/>
    <s v="-"/>
    <s v="Por Certificar"/>
    <s v="-"/>
    <s v="-"/>
    <s v="SI"/>
    <m/>
  </r>
  <r>
    <s v="COJEDES"/>
    <s v="CORPORACIÓN FIBEX TELECOM, C.A."/>
    <n v="2672573314"/>
    <s v="JHOAN MANUEL AGUILAR RODRIGUEZ"/>
    <n v="20949978"/>
    <x v="2"/>
    <s v="MDC"/>
    <s v="JESUS REYES NADAL"/>
    <x v="1"/>
    <x v="1"/>
    <x v="0"/>
    <x v="0"/>
    <s v="Por Certificar"/>
    <s v="-"/>
    <s v="Por Certificar"/>
    <s v="-"/>
    <s v="-"/>
    <s v="SI"/>
    <m/>
  </r>
  <r>
    <s v="COJEDES"/>
    <s v="CORPORACIÓN FIBEX TELECOM, C.A."/>
    <n v="2672573314"/>
    <s v="DARWIN JOSE MATUTE LIMA"/>
    <n v="21670559"/>
    <x v="2"/>
    <s v="MDC"/>
    <s v="JESUS REYES NADAL"/>
    <x v="1"/>
    <x v="1"/>
    <x v="0"/>
    <x v="0"/>
    <s v="Por Certificar"/>
    <s v="-"/>
    <s v="Por Certificar"/>
    <s v="-"/>
    <s v="-"/>
    <s v="SI"/>
    <m/>
  </r>
  <r>
    <s v="GUARICO"/>
    <s v="CORPORACIÓN FIBEX TELECOM, C.A."/>
    <n v="2672573314"/>
    <s v="YNIHEL JOSE REYES VARGAS"/>
    <n v="19543804"/>
    <x v="4"/>
    <s v="O&amp;M"/>
    <s v="YNIHEL REYES"/>
    <x v="1"/>
    <x v="1"/>
    <x v="0"/>
    <x v="0"/>
    <s v="Por Certificar"/>
    <s v="-"/>
    <s v="Por Certificar"/>
    <s v="-"/>
    <s v="-"/>
    <s v="SI"/>
    <m/>
  </r>
  <r>
    <s v="GUARICO"/>
    <s v="CORPORACIÓN FIBEX TELECOM, C.A."/>
    <n v="2672573314"/>
    <s v="RAMON CELESTINO RIOS SALOMON"/>
    <n v="16505021"/>
    <x v="3"/>
    <s v="O&amp;M"/>
    <s v="YNIHEL REYES"/>
    <x v="1"/>
    <x v="1"/>
    <x v="0"/>
    <x v="0"/>
    <s v="Por Certificar"/>
    <s v="-"/>
    <s v="Por Certificar"/>
    <s v="-"/>
    <s v="-"/>
    <s v="SI"/>
    <m/>
  </r>
  <r>
    <s v="GUARICO"/>
    <s v="CORPORACIÓN FIBEX TELECOM, C.A."/>
    <n v="2672573314"/>
    <s v="JOSE LUIS GONZALEZ ALSECO"/>
    <n v="27867242"/>
    <x v="0"/>
    <s v="CDR"/>
    <s v="YNIHEL REYES"/>
    <x v="1"/>
    <x v="1"/>
    <x v="0"/>
    <x v="0"/>
    <s v="Por Certificar"/>
    <s v="-"/>
    <s v="Por Certificar"/>
    <s v="-"/>
    <s v="-"/>
    <s v="SI"/>
    <m/>
  </r>
  <r>
    <s v="GUARICO"/>
    <s v="CORPORACIÓN FIBEX TELECOM, C.A."/>
    <n v="2672573314"/>
    <s v="BRAULIO SALVADOR CARRILLO  RODRIGUEZ"/>
    <n v="18972727"/>
    <x v="1"/>
    <s v="CDR"/>
    <s v="YNIHEL REYES"/>
    <x v="1"/>
    <x v="1"/>
    <x v="0"/>
    <x v="0"/>
    <s v="Por Certificar"/>
    <s v="-"/>
    <s v="Por Certificar"/>
    <s v="-"/>
    <s v="-"/>
    <s v="SI"/>
    <m/>
  </r>
  <r>
    <s v="GUARICO"/>
    <s v="CORPORACIÓN FIBEX TELECOM, C.A."/>
    <n v="2672573314"/>
    <s v="SIMON ANDRES VEGAS QUIRO"/>
    <n v="25130170"/>
    <x v="0"/>
    <s v="O&amp;M"/>
    <s v="YNIHEL REYES"/>
    <x v="1"/>
    <x v="1"/>
    <x v="0"/>
    <x v="0"/>
    <s v="Por Certificar"/>
    <s v="-"/>
    <s v="Por Certificar"/>
    <s v="-"/>
    <s v="-"/>
    <s v="SI"/>
    <m/>
  </r>
  <r>
    <s v="GUARICO"/>
    <s v="CORPORACIÓN FIBEX TELECOM, C.A."/>
    <n v="2672573314"/>
    <s v="HOLZNER JOSGRE CENTENO RIVAS"/>
    <n v="26973137"/>
    <x v="1"/>
    <s v="O&amp;M"/>
    <s v="YNIHEL REYES"/>
    <x v="1"/>
    <x v="1"/>
    <x v="0"/>
    <x v="0"/>
    <s v="Por Certificar"/>
    <s v="-"/>
    <s v="Por Certificar"/>
    <s v="-"/>
    <s v="-"/>
    <s v="SI"/>
    <m/>
  </r>
  <r>
    <s v="GUARICO"/>
    <s v="CORPORACIÓN FIBEX TELECOM, C.A."/>
    <n v="2672573314"/>
    <s v="ENDER ARMANDO SIDRAN BELISARIO"/>
    <n v="19600123"/>
    <x v="3"/>
    <s v="O&amp;M"/>
    <s v="YNIHEL REYES"/>
    <x v="1"/>
    <x v="1"/>
    <x v="0"/>
    <x v="0"/>
    <s v="Por Certificar"/>
    <s v="-"/>
    <s v="Por Certificar"/>
    <s v="-"/>
    <s v="-"/>
    <s v="SI"/>
    <m/>
  </r>
  <r>
    <s v="GUARICO"/>
    <s v="CORPORACIÓN FIBEX TELECOM, C.A."/>
    <n v="2672573314"/>
    <s v="SAMUEL JOSE PEREZ BELISARIO"/>
    <n v="30459887"/>
    <x v="2"/>
    <s v="O&amp;M"/>
    <s v="YNIHEL REYES"/>
    <x v="1"/>
    <x v="1"/>
    <x v="0"/>
    <x v="0"/>
    <s v="Por Certificar"/>
    <s v="-"/>
    <s v="Por Certificar"/>
    <s v="-"/>
    <s v="-"/>
    <s v="SI"/>
    <m/>
  </r>
  <r>
    <s v="GUARICO"/>
    <s v="CORPORACIÓN FIBEX TELECOM, C.A."/>
    <n v="2672573314"/>
    <s v="LUIS GUILLERMO ESTRADA VARGAS"/>
    <n v="20878360"/>
    <x v="2"/>
    <s v="O&amp;M"/>
    <s v="YNIHEL REYES"/>
    <x v="1"/>
    <x v="1"/>
    <x v="0"/>
    <x v="0"/>
    <s v="Por Certificar"/>
    <s v="-"/>
    <s v="Por Certificar"/>
    <s v="-"/>
    <s v="-"/>
    <s v="SI"/>
    <m/>
  </r>
  <r>
    <s v="GUARICO"/>
    <s v="CORPORACIÓN FIBEX TELECOM, C.A."/>
    <n v="2672573314"/>
    <s v="JOSE RAFAEL ASTUDILLO"/>
    <n v="10976485"/>
    <x v="1"/>
    <s v="O&amp;M"/>
    <s v="YNIHEL REYES"/>
    <x v="1"/>
    <x v="1"/>
    <x v="0"/>
    <x v="0"/>
    <s v="Por Certificar"/>
    <s v="-"/>
    <s v="Por Certificar"/>
    <s v="-"/>
    <s v="-"/>
    <s v="SI"/>
    <m/>
  </r>
  <r>
    <s v="GUARICO"/>
    <s v="CORPORACIÓN FIBEX TELECOM, C.A."/>
    <n v="2672573314"/>
    <s v="JOSE ALBERTO FLORES GONZALEZ"/>
    <n v="20908839"/>
    <x v="0"/>
    <s v="O&amp;M"/>
    <s v="YNIHEL REYES"/>
    <x v="1"/>
    <x v="1"/>
    <x v="0"/>
    <x v="0"/>
    <s v="Por Certificar"/>
    <s v="-"/>
    <s v="Por Certificar"/>
    <s v="-"/>
    <s v="-"/>
    <s v="SI"/>
    <m/>
  </r>
  <r>
    <s v="GUARICO"/>
    <s v="CORPORACIÓN FIBEX TELECOM, C.A."/>
    <n v="2672573314"/>
    <s v="MIGUEL ANGEL RODRIGUEZ SOLORZANO"/>
    <n v="10674969"/>
    <x v="0"/>
    <s v="O&amp;M"/>
    <s v="YNIHEL REYES"/>
    <x v="1"/>
    <x v="1"/>
    <x v="0"/>
    <x v="0"/>
    <s v="Por Certificar"/>
    <s v="-"/>
    <s v="Por Certificar"/>
    <s v="-"/>
    <s v="-"/>
    <s v="SI"/>
    <m/>
  </r>
  <r>
    <s v="GUARICO"/>
    <s v="CORPORACIÓN FIBEX TELECOM, C.A."/>
    <n v="2672573314"/>
    <s v="JOSE AMABLE DELGADO CARRILLO"/>
    <n v="25573222"/>
    <x v="1"/>
    <s v="O&amp;M"/>
    <s v="YNIHEL REYES"/>
    <x v="1"/>
    <x v="1"/>
    <x v="0"/>
    <x v="0"/>
    <s v="Por Certificar"/>
    <s v="-"/>
    <s v="Por Certificar"/>
    <s v="-"/>
    <s v="-"/>
    <s v="SI"/>
    <m/>
  </r>
  <r>
    <s v="GUARICO"/>
    <s v="CORPORACIÓN FIBEX TELECOM, C.A."/>
    <n v="2672573314"/>
    <s v="HECTOR RAMON FERNANDEZ MUNOZ"/>
    <n v="14147844"/>
    <x v="0"/>
    <s v="O&amp;M"/>
    <s v="YNIHEL REYES"/>
    <x v="1"/>
    <x v="1"/>
    <x v="0"/>
    <x v="0"/>
    <s v="Por Certificar"/>
    <s v="-"/>
    <s v="Por Certificar"/>
    <s v="-"/>
    <s v="-"/>
    <s v="SI"/>
    <m/>
  </r>
  <r>
    <s v="GUARICO"/>
    <s v="CORPORACIÓN FIBEX TELECOM, C.A."/>
    <n v="2672573314"/>
    <s v="MARCIAL AGUSTIN RISSO GIL"/>
    <n v="17714754"/>
    <x v="1"/>
    <s v="O&amp;M"/>
    <s v="YNIHEL REYES"/>
    <x v="1"/>
    <x v="1"/>
    <x v="0"/>
    <x v="0"/>
    <s v="Por Certificar"/>
    <s v="-"/>
    <s v="Por Certificar"/>
    <s v="-"/>
    <s v="-"/>
    <s v="SI"/>
    <m/>
  </r>
  <r>
    <s v="GUARICO"/>
    <s v="CORPORACIÓN FIBEX TELECOM, C.A."/>
    <n v="2672573314"/>
    <s v="MITCHELL JOSE RIVAS VICENT"/>
    <n v="19273427"/>
    <x v="0"/>
    <s v="O&amp;M"/>
    <s v="YNIHEL REYES"/>
    <x v="1"/>
    <x v="1"/>
    <x v="0"/>
    <x v="0"/>
    <s v="Por Certificar"/>
    <s v="-"/>
    <s v="Por Certificar"/>
    <s v="-"/>
    <s v="-"/>
    <s v="SI"/>
    <m/>
  </r>
  <r>
    <s v="GUARICO"/>
    <s v="CORPORACIÓN FIBEX TELECOM, C.A."/>
    <n v="2672573314"/>
    <s v="JAVIER JOSE RUIZ PERDOMO"/>
    <n v="23563451"/>
    <x v="1"/>
    <s v="O&amp;M"/>
    <s v="YNIHEL REYES"/>
    <x v="1"/>
    <x v="1"/>
    <x v="0"/>
    <x v="0"/>
    <s v="Por Certificar"/>
    <s v="-"/>
    <s v="Por Certificar"/>
    <s v="-"/>
    <s v="-"/>
    <s v="SI"/>
    <m/>
  </r>
  <r>
    <s v="GUARICO"/>
    <s v="CORPORACIÓN FIBEX TELECOM, C.A."/>
    <n v="2672573314"/>
    <s v="DAVID EMILIO GASSETE REQUENA"/>
    <n v="22610283"/>
    <x v="0"/>
    <s v="O&amp;M"/>
    <s v="YNIHEL REYES"/>
    <x v="1"/>
    <x v="1"/>
    <x v="0"/>
    <x v="0"/>
    <s v="Por Certificar"/>
    <s v="-"/>
    <s v="Por Certificar"/>
    <s v="-"/>
    <s v="-"/>
    <s v="SI"/>
    <m/>
  </r>
  <r>
    <s v="GUARICO"/>
    <s v="CORPORACIÓN FIBEX TELECOM, C.A."/>
    <n v="2672573314"/>
    <s v="HUGO RAFAEL MARTINEZ GARCIA"/>
    <n v="20247506"/>
    <x v="1"/>
    <s v="O&amp;M"/>
    <s v="YNIHEL REYES"/>
    <x v="1"/>
    <x v="1"/>
    <x v="0"/>
    <x v="0"/>
    <s v="Por Certificar"/>
    <s v="-"/>
    <s v="Por Certificar"/>
    <s v="-"/>
    <s v="-"/>
    <s v="SI"/>
    <m/>
  </r>
  <r>
    <s v="GUARICO"/>
    <s v="CORPORACIÓN FIBEX TELECOM, C.A."/>
    <n v="2672573314"/>
    <s v="MARTIN ANDRES URIBE BARRIOS"/>
    <n v="20958316"/>
    <x v="0"/>
    <s v="O&amp;M"/>
    <s v="YNIHEL REYES"/>
    <x v="1"/>
    <x v="1"/>
    <x v="0"/>
    <x v="0"/>
    <s v="Por Certificar"/>
    <s v="-"/>
    <s v="Por Certificar"/>
    <s v="-"/>
    <s v="-"/>
    <s v="SI"/>
    <m/>
  </r>
  <r>
    <s v="GUARICO"/>
    <s v="CORPORACIÓN FIBEX TELECOM, C.A."/>
    <n v="2672573314"/>
    <s v="JHONNY ALCIDES PERALTA MEDINA"/>
    <n v="13811292"/>
    <x v="0"/>
    <s v="O&amp;M"/>
    <s v="YNIHEL REYES"/>
    <x v="1"/>
    <x v="1"/>
    <x v="0"/>
    <x v="0"/>
    <s v="Por Certificar"/>
    <s v="-"/>
    <s v="Por Certificar"/>
    <s v="-"/>
    <s v="-"/>
    <s v="SI"/>
    <m/>
  </r>
  <r>
    <s v="GUARICO"/>
    <s v="CORPORACIÓN FIBEX TELECOM, C.A."/>
    <n v="2672573314"/>
    <s v="JOSE RAFAEL RANGEL SILVA"/>
    <n v="17252977"/>
    <x v="1"/>
    <s v="O&amp;M"/>
    <s v="YNIHEL REYES"/>
    <x v="1"/>
    <x v="1"/>
    <x v="0"/>
    <x v="0"/>
    <s v="Por Certificar"/>
    <s v="-"/>
    <s v="Por Certificar"/>
    <s v="-"/>
    <s v="-"/>
    <s v="SI"/>
    <m/>
  </r>
  <r>
    <s v="GUARICO"/>
    <s v="CORPORACIÓN FIBEX TELECOM, C.A."/>
    <n v="2672573314"/>
    <s v="WUILMAN JOSE SALVATIERRA RODRIGUEZ"/>
    <n v="19601377"/>
    <x v="1"/>
    <s v="O&amp;M"/>
    <s v="YNIHEL REYES"/>
    <x v="1"/>
    <x v="1"/>
    <x v="0"/>
    <x v="0"/>
    <s v="Por Certificar"/>
    <s v="-"/>
    <s v="Por Certificar"/>
    <s v="-"/>
    <s v="-"/>
    <s v="SI"/>
    <m/>
  </r>
  <r>
    <s v="GUARICO"/>
    <s v="CORPORACIÓN FIBEX TELECOM, C.A."/>
    <n v="2672573314"/>
    <s v="MARLON ELIEZER UTRERA  YLARRAZA"/>
    <n v="20247665"/>
    <x v="1"/>
    <s v="O&amp;M"/>
    <s v="YNIHEL REYES"/>
    <x v="1"/>
    <x v="1"/>
    <x v="0"/>
    <x v="0"/>
    <s v="Por Certificar"/>
    <s v="-"/>
    <s v="Por Certificar"/>
    <s v="-"/>
    <s v="-"/>
    <s v="SI"/>
    <m/>
  </r>
  <r>
    <s v="GUARICO"/>
    <s v="CORPORACIÓN FIBEX TELECOM, C.A."/>
    <n v="2672573314"/>
    <s v=" ROMULO APOLO RINCONES  ZAMBRANO"/>
    <n v="18616736"/>
    <x v="1"/>
    <s v="O&amp;M"/>
    <s v="YNIHEL REYES"/>
    <x v="1"/>
    <x v="1"/>
    <x v="0"/>
    <x v="0"/>
    <s v="Por Certificar"/>
    <s v="-"/>
    <s v="Por Certificar"/>
    <s v="-"/>
    <s v="-"/>
    <s v="SI"/>
    <m/>
  </r>
  <r>
    <s v="GUARICO"/>
    <s v="CORPORACIÓN FIBEX TELECOM, C.A."/>
    <n v="2672573314"/>
    <s v="ALIS ALEJANDRO ARANA  ROJAS"/>
    <n v="20521196"/>
    <x v="1"/>
    <s v="O&amp;M"/>
    <s v="YNIHEL REYES"/>
    <x v="1"/>
    <x v="1"/>
    <x v="0"/>
    <x v="0"/>
    <s v="Por Certificar"/>
    <s v="-"/>
    <s v="Por Certificar"/>
    <s v="-"/>
    <s v="-"/>
    <s v="SI"/>
    <m/>
  </r>
  <r>
    <s v="GUARICO"/>
    <s v="CORPORACIÓN FIBEX TELECOM, C.A."/>
    <n v="2672573314"/>
    <s v="FRANCISCO JAVIER BELISARIO LARA"/>
    <n v="19600124"/>
    <x v="1"/>
    <s v="O&amp;M"/>
    <s v="YNIHEL REYES"/>
    <x v="1"/>
    <x v="1"/>
    <x v="0"/>
    <x v="0"/>
    <s v="Por Certificar"/>
    <s v="-"/>
    <s v="Por Certificar"/>
    <s v="-"/>
    <s v="-"/>
    <s v="SI"/>
    <m/>
  </r>
  <r>
    <s v="GUARICO"/>
    <s v="CORPORACIÓN FIBEX TELECOM, C.A."/>
    <n v="2672573314"/>
    <s v="JOSE AGUSTIN GARRIDO UTRERA"/>
    <n v="26448805"/>
    <x v="1"/>
    <s v="O&amp;M"/>
    <s v="YNIHEL REYES"/>
    <x v="1"/>
    <x v="1"/>
    <x v="0"/>
    <x v="0"/>
    <s v="Por Certificar"/>
    <s v="-"/>
    <s v="Por Certificar"/>
    <s v="-"/>
    <s v="-"/>
    <s v="SI"/>
    <m/>
  </r>
  <r>
    <s v="GUARICO"/>
    <s v="CORPORACIÓN FIBEX TELECOM, C.A."/>
    <n v="2672573314"/>
    <s v="JOSE ANTONIO MARQUEZ BREA"/>
    <n v="30038779"/>
    <x v="1"/>
    <s v="CDR"/>
    <s v="YNIHEL REYES"/>
    <x v="1"/>
    <x v="1"/>
    <x v="0"/>
    <x v="0"/>
    <s v="Por Certificar"/>
    <s v="-"/>
    <s v="Por Certificar"/>
    <s v="-"/>
    <s v="-"/>
    <s v="SI"/>
    <m/>
  </r>
  <r>
    <s v="GUARICO"/>
    <s v="CORPORACIÓN FIBEX TELECOM, C.A."/>
    <n v="2672573314"/>
    <s v="ELIECER BLADIMIR SILVA MENDEZ"/>
    <n v="27698734"/>
    <x v="1"/>
    <s v="O&amp;M"/>
    <s v="YNIHEL REYES"/>
    <x v="1"/>
    <x v="1"/>
    <x v="0"/>
    <x v="0"/>
    <s v="Por Certificar"/>
    <s v="-"/>
    <s v="Por Certificar"/>
    <s v="-"/>
    <s v="-"/>
    <s v="SI"/>
    <m/>
  </r>
  <r>
    <s v="GUARICO"/>
    <s v="CORPORACIÓN FIBEX TELECOM, C.A."/>
    <n v="2672573314"/>
    <s v="VICTOR MANUEL ORTIZ FLORES"/>
    <n v="19657734"/>
    <x v="0"/>
    <s v="O&amp;M"/>
    <s v="YNIHEL REYES"/>
    <x v="1"/>
    <x v="1"/>
    <x v="0"/>
    <x v="0"/>
    <s v="Por Certificar"/>
    <s v="-"/>
    <s v="Por Certificar"/>
    <s v="-"/>
    <s v="-"/>
    <s v="SI"/>
    <m/>
  </r>
  <r>
    <s v="GUARICO"/>
    <s v="CORPORACIÓN FIBEX TELECOM, C.A."/>
    <n v="2672573314"/>
    <s v="EVEL JOSE CAMPOS MACHADO"/>
    <n v="19361262"/>
    <x v="1"/>
    <s v="O&amp;M"/>
    <s v="YNIHEL REYES"/>
    <x v="1"/>
    <x v="1"/>
    <x v="0"/>
    <x v="0"/>
    <s v="Por Certificar"/>
    <s v="-"/>
    <s v="Por Certificar"/>
    <s v="-"/>
    <s v="-"/>
    <s v="SI"/>
    <m/>
  </r>
  <r>
    <s v="GUARICO"/>
    <s v="CORPORACIÓN FIBEX TELECOM, C.A."/>
    <n v="2672573314"/>
    <s v="ARNALDO ANTONIO MARTINEZ"/>
    <n v="18834932"/>
    <x v="1"/>
    <s v="O&amp;M"/>
    <s v="YNIHEL REYES"/>
    <x v="1"/>
    <x v="1"/>
    <x v="0"/>
    <x v="0"/>
    <s v="Por Certificar"/>
    <s v="-"/>
    <s v="Por Certificar"/>
    <s v="-"/>
    <s v="-"/>
    <s v="SI"/>
    <m/>
  </r>
  <r>
    <s v="GUARICO"/>
    <s v="CORPORACIÓN FIBEX TELECOM, C.A."/>
    <n v="2672573314"/>
    <s v="JUAN JOSE SANTAELLA ROJAS"/>
    <n v="15823162"/>
    <x v="0"/>
    <s v="O&amp;M"/>
    <s v="YNIHEL REYES"/>
    <x v="1"/>
    <x v="1"/>
    <x v="0"/>
    <x v="0"/>
    <s v="Por Certificar"/>
    <s v="-"/>
    <s v="Por Certificar"/>
    <s v="-"/>
    <s v="-"/>
    <s v="SI"/>
    <m/>
  </r>
  <r>
    <s v="GUARICO"/>
    <s v="CORPORACIÓN FIBEX TELECOM, C.A."/>
    <n v="2672573314"/>
    <s v="ANTONIO EDUARDO CERRUTO OCHOA"/>
    <n v="19067089"/>
    <x v="1"/>
    <s v="O&amp;M"/>
    <s v="YNIHEL REYES"/>
    <x v="1"/>
    <x v="1"/>
    <x v="0"/>
    <x v="0"/>
    <s v="Por Certificar"/>
    <s v="-"/>
    <s v="Por Certificar"/>
    <s v="-"/>
    <s v="-"/>
    <s v="SI"/>
    <m/>
  </r>
  <r>
    <s v="GUARICO"/>
    <s v="CORPORACIÓN FIBEX TELECOM, C.A."/>
    <n v="2672573314"/>
    <s v="JHON ALEXANDER CHAVEZ RUJANO"/>
    <n v="21152260"/>
    <x v="0"/>
    <s v="O&amp;M"/>
    <s v="YNIHEL REYES"/>
    <x v="1"/>
    <x v="1"/>
    <x v="0"/>
    <x v="0"/>
    <s v="Por Certificar"/>
    <s v="-"/>
    <s v="Por Certificar"/>
    <s v="-"/>
    <s v="-"/>
    <s v="SI"/>
    <m/>
  </r>
  <r>
    <s v="GUARICO"/>
    <s v="CORPORACIÓN FIBEX TELECOM, C.A."/>
    <n v="2672573314"/>
    <s v="ALI JOSE TRANQUINI HERNANDEZ"/>
    <n v="27695464"/>
    <x v="1"/>
    <s v="O&amp;M"/>
    <s v="YNIHEL REYES"/>
    <x v="1"/>
    <x v="1"/>
    <x v="0"/>
    <x v="0"/>
    <s v="Por Certificar"/>
    <s v="-"/>
    <s v="Por Certificar"/>
    <s v="-"/>
    <s v="-"/>
    <s v="SI"/>
    <m/>
  </r>
  <r>
    <s v="GUARICO"/>
    <s v="CORPORACIÓN FIBEX TELECOM, C.A."/>
    <n v="2672573314"/>
    <s v="KIRMIA KARINA LOPEZ DELGADO"/>
    <n v="18972992"/>
    <x v="2"/>
    <s v="MDC"/>
    <s v="YNIHEL REYES"/>
    <x v="1"/>
    <x v="1"/>
    <x v="0"/>
    <x v="0"/>
    <s v="Por Certificar"/>
    <s v="-"/>
    <s v="Por Certificar"/>
    <s v="-"/>
    <s v="-"/>
    <s v="SI"/>
    <m/>
  </r>
  <r>
    <s v="GUARICO"/>
    <s v="CORPORACIÓN FIBEX TELECOM, C.A."/>
    <n v="2672573314"/>
    <s v="ODRA IVANA VALENTINA HERRERA MORGADO"/>
    <n v="28482162"/>
    <x v="2"/>
    <s v="MDC"/>
    <s v="YNIHEL REYES"/>
    <x v="1"/>
    <x v="1"/>
    <x v="0"/>
    <x v="0"/>
    <s v="Por Certificar"/>
    <s v="-"/>
    <s v="Por Certificar"/>
    <s v="-"/>
    <s v="-"/>
    <s v="SI"/>
    <m/>
  </r>
  <r>
    <s v="GUARICO"/>
    <s v="CORPORACIÓN FIBEX TELECOM, C.A."/>
    <n v="2672573314"/>
    <s v="PEDRO ANGEL RONDON ROJAS"/>
    <n v="29866305"/>
    <x v="2"/>
    <s v="MDC"/>
    <s v="YNIHEL REYES"/>
    <x v="1"/>
    <x v="1"/>
    <x v="0"/>
    <x v="0"/>
    <s v="Por Certificar"/>
    <s v="-"/>
    <s v="Por Certificar"/>
    <s v="-"/>
    <s v="-"/>
    <s v="SI"/>
    <m/>
  </r>
  <r>
    <s v="LA GUAIRA"/>
    <s v="CORPORACIÓN FIBEX TELECOM, C.A."/>
    <n v="2672573314"/>
    <s v="JORDY ALFREDO MC KENZIE TOVAR"/>
    <n v="18324998"/>
    <x v="1"/>
    <s v="O&amp;M"/>
    <s v="PENDIENTE INFORMACIÓN"/>
    <x v="1"/>
    <x v="1"/>
    <x v="1"/>
    <x v="3"/>
    <s v="Por Certificar"/>
    <s v="-"/>
    <s v="Por Certificar"/>
    <s v="-"/>
    <s v="-"/>
    <s v="SI"/>
    <m/>
  </r>
  <r>
    <s v="LA GUAIRA"/>
    <s v="CORPORACIÓN FIBEX TELECOM, C.A."/>
    <n v="2672573314"/>
    <s v="RICHARTSON ERIMIG GUZMAN BANDRA"/>
    <n v="26938811"/>
    <x v="0"/>
    <s v="O&amp;M"/>
    <s v="PENDIENTE INFORMACIÓN"/>
    <x v="1"/>
    <x v="1"/>
    <x v="1"/>
    <x v="3"/>
    <s v="Por Certificar"/>
    <s v="-"/>
    <s v="Por Certificar"/>
    <s v="-"/>
    <s v="-"/>
    <s v="SI"/>
    <m/>
  </r>
  <r>
    <s v="LARA"/>
    <s v="CORPORACIÓN FIBEX TELECOM, C.A."/>
    <n v="2672573314"/>
    <s v="ALEXIS LERMIT DURAN HERNANDEZ"/>
    <n v="17196736"/>
    <x v="0"/>
    <s v="O&amp;M"/>
    <s v="LALESKA PEÑA"/>
    <x v="1"/>
    <x v="1"/>
    <x v="1"/>
    <x v="4"/>
    <s v="Por Certificar"/>
    <s v="-"/>
    <s v="Por Certificar"/>
    <s v="-"/>
    <s v="-"/>
    <s v="SI"/>
    <m/>
  </r>
  <r>
    <s v="LARA"/>
    <s v="CORPORACIÓN FIBEX TELECOM, C.A."/>
    <n v="2672573314"/>
    <s v="ANDRU DE LOS SANTOS FIGUEROA PEROZO"/>
    <n v="20943796"/>
    <x v="1"/>
    <s v="O&amp;M"/>
    <s v="LALESKA PEÑA"/>
    <x v="0"/>
    <x v="0"/>
    <x v="1"/>
    <x v="4"/>
    <s v="Por Certificar"/>
    <s v="-"/>
    <s v="Por Certificar"/>
    <s v="-"/>
    <s v="-"/>
    <s v="SI"/>
    <m/>
  </r>
  <r>
    <s v="LARA"/>
    <s v="CORPORACIÓN FIBEX TELECOM, C.A."/>
    <n v="2672573314"/>
    <s v="BRANDON  SEGUNDO GARRIDO  GONZALEZ"/>
    <n v="27193698"/>
    <x v="1"/>
    <s v="O&amp;M"/>
    <s v="LALESKA PEÑA"/>
    <x v="0"/>
    <x v="0"/>
    <x v="1"/>
    <x v="4"/>
    <s v="Por Certificar"/>
    <s v="-"/>
    <s v="Por Certificar"/>
    <s v="-"/>
    <s v="-"/>
    <s v="SI"/>
    <m/>
  </r>
  <r>
    <s v="LARA"/>
    <s v="CORPORACIÓN FIBEX TELECOM, C.A."/>
    <n v="2672573314"/>
    <s v="CARLOS ALBERTO VERA ZURITA"/>
    <n v="17372733"/>
    <x v="0"/>
    <s v="O&amp;M"/>
    <s v="LALESKA PEÑA"/>
    <x v="1"/>
    <x v="1"/>
    <x v="1"/>
    <x v="4"/>
    <s v="Por Certificar"/>
    <s v="-"/>
    <s v="Por Certificar"/>
    <s v="-"/>
    <s v="-"/>
    <s v="SI"/>
    <m/>
  </r>
  <r>
    <s v="LARA"/>
    <s v="CORPORACIÓN FIBEX TELECOM, C.A."/>
    <n v="2672573314"/>
    <s v="CARLOS ALEXANDER LINAREZ MELENDEZ"/>
    <n v="15778646"/>
    <x v="1"/>
    <s v="O&amp;M"/>
    <s v="LALESKA PEÑA"/>
    <x v="1"/>
    <x v="1"/>
    <x v="1"/>
    <x v="4"/>
    <s v="Por Certificar"/>
    <s v="-"/>
    <s v="Por Certificar"/>
    <s v="-"/>
    <s v="-"/>
    <s v="SI"/>
    <m/>
  </r>
  <r>
    <s v="LARA"/>
    <s v="CORPORACIÓN FIBEX TELECOM, C.A."/>
    <n v="2672573314"/>
    <s v="CARLOS ENRIQUE  PEREZ RAMOS"/>
    <n v="16404187"/>
    <x v="0"/>
    <s v="O&amp;M"/>
    <s v="LALESKA PEÑA"/>
    <x v="1"/>
    <x v="1"/>
    <x v="1"/>
    <x v="4"/>
    <s v="Por Certificar"/>
    <s v="-"/>
    <s v="Por Certificar"/>
    <s v="-"/>
    <s v="-"/>
    <s v="SI"/>
    <m/>
  </r>
  <r>
    <s v="LARA"/>
    <s v="CORPORACIÓN FIBEX TELECOM, C.A."/>
    <n v="2672573314"/>
    <s v="DANIEL ANDRES YAGUAS TORREALBA"/>
    <n v="26584200"/>
    <x v="1"/>
    <s v="O&amp;M"/>
    <s v="LALESKA PEÑA"/>
    <x v="1"/>
    <x v="1"/>
    <x v="1"/>
    <x v="4"/>
    <s v="Por Certificar"/>
    <s v="-"/>
    <s v="Por Certificar"/>
    <s v="-"/>
    <s v="-"/>
    <s v="SI"/>
    <m/>
  </r>
  <r>
    <s v="LARA"/>
    <s v="CORPORACIÓN FIBEX TELECOM, C.A."/>
    <n v="2672573314"/>
    <s v="DENNYS MANUEL SANDOVAL  ORELLANA"/>
    <n v="27737966"/>
    <x v="1"/>
    <s v="O&amp;M"/>
    <s v="LALESKA PEÑA"/>
    <x v="1"/>
    <x v="1"/>
    <x v="1"/>
    <x v="4"/>
    <s v="Por Certificar"/>
    <s v="-"/>
    <s v="Por Certificar"/>
    <s v="-"/>
    <s v="-"/>
    <s v="SI"/>
    <m/>
  </r>
  <r>
    <s v="LARA"/>
    <s v="CORPORACIÓN FIBEX TELECOM, C.A."/>
    <n v="2672573314"/>
    <s v="EDGAR JOSE MUJICA PIÑA"/>
    <n v="19431115"/>
    <x v="1"/>
    <s v="O&amp;M"/>
    <s v="LALESKA PEÑA"/>
    <x v="1"/>
    <x v="1"/>
    <x v="1"/>
    <x v="4"/>
    <s v="Por Certificar"/>
    <s v="-"/>
    <s v="Por Certificar"/>
    <s v="-"/>
    <s v="-"/>
    <s v="SI"/>
    <m/>
  </r>
  <r>
    <s v="LARA"/>
    <s v="CORPORACIÓN FIBEX TELECOM, C.A."/>
    <n v="2672573314"/>
    <s v="EDWIN JOSE SILVA GIMENEZ"/>
    <n v="18057256"/>
    <x v="0"/>
    <s v="CDR"/>
    <s v="LALESKA PEÑA"/>
    <x v="0"/>
    <x v="0"/>
    <x v="1"/>
    <x v="4"/>
    <s v="Por Certificar"/>
    <s v="-"/>
    <s v="Por Certificar"/>
    <s v="-"/>
    <s v="-"/>
    <s v="SI"/>
    <m/>
  </r>
  <r>
    <s v="LARA"/>
    <s v="CORPORACIÓN FIBEX TELECOM, C.A."/>
    <n v="2672573314"/>
    <s v="ENRIQUE ANTONIO COLINA RODRIGUEZ"/>
    <n v="26136005"/>
    <x v="0"/>
    <s v="O&amp;M"/>
    <s v="LALESKA PEÑA"/>
    <x v="1"/>
    <x v="1"/>
    <x v="1"/>
    <x v="4"/>
    <s v="Por Certificar"/>
    <s v="-"/>
    <s v="Por Certificar"/>
    <s v="-"/>
    <s v="-"/>
    <s v="SI"/>
    <m/>
  </r>
  <r>
    <s v="LARA"/>
    <s v="CORPORACIÓN FIBEX TELECOM, C.A."/>
    <n v="2672573314"/>
    <s v="ESAU ELIEZER BENITEZ"/>
    <n v="18135786"/>
    <x v="0"/>
    <s v="O&amp;M"/>
    <s v="LALESKA PEÑA"/>
    <x v="1"/>
    <x v="1"/>
    <x v="1"/>
    <x v="4"/>
    <s v="Por Certificar"/>
    <s v="-"/>
    <s v="Por Certificar"/>
    <s v="-"/>
    <s v="-"/>
    <s v="SI"/>
    <m/>
  </r>
  <r>
    <s v="LARA"/>
    <s v="CORPORACIÓN FIBEX TELECOM, C.A."/>
    <n v="2672573314"/>
    <s v="FERNANDO ANDRES RONDON ARAPE"/>
    <n v="30446361"/>
    <x v="1"/>
    <s v="CDR"/>
    <s v="LALESKA PEÑA"/>
    <x v="0"/>
    <x v="0"/>
    <x v="1"/>
    <x v="4"/>
    <s v="Por Certificar"/>
    <s v="-"/>
    <s v="Por Certificar"/>
    <s v="-"/>
    <s v="-"/>
    <s v="SI"/>
    <m/>
  </r>
  <r>
    <s v="LARA"/>
    <s v="CORPORACIÓN FIBEX TELECOM, C.A."/>
    <n v="2672573314"/>
    <s v="JESUS ELIAS MONTILLA MENDEZ"/>
    <n v="29703391"/>
    <x v="1"/>
    <s v="O&amp;M"/>
    <s v="LALESKA PEÑA"/>
    <x v="1"/>
    <x v="1"/>
    <x v="1"/>
    <x v="4"/>
    <s v="Por Certificar"/>
    <s v="-"/>
    <s v="Por Certificar"/>
    <s v="-"/>
    <s v="-"/>
    <s v="SI"/>
    <m/>
  </r>
  <r>
    <s v="LARA"/>
    <s v="CORPORACIÓN FIBEX TELECOM, C.A."/>
    <n v="2672573314"/>
    <s v="JOSE ANGEL WANKLAAR NUÑEZ"/>
    <n v="14825900"/>
    <x v="1"/>
    <s v="O&amp;M"/>
    <s v="LALESKA PEÑA"/>
    <x v="0"/>
    <x v="0"/>
    <x v="1"/>
    <x v="4"/>
    <s v="Por Certificar"/>
    <s v="-"/>
    <s v="Por Certificar"/>
    <s v="-"/>
    <s v="-"/>
    <s v="SI"/>
    <m/>
  </r>
  <r>
    <s v="LARA"/>
    <s v="CORPORACIÓN FIBEX TELECOM, C.A."/>
    <n v="2672573314"/>
    <s v="JOSE ANYER RODRIGUEZ SEGUERI"/>
    <n v="27554969"/>
    <x v="0"/>
    <s v="IMPLEMENTACION"/>
    <s v="LALESKA PEÑA"/>
    <x v="1"/>
    <x v="1"/>
    <x v="1"/>
    <x v="4"/>
    <s v="Por Certificar"/>
    <s v="-"/>
    <s v="Por Certificar"/>
    <s v="-"/>
    <s v="-"/>
    <s v="SI"/>
    <m/>
  </r>
  <r>
    <s v="LARA"/>
    <s v="CORPORACIÓN FIBEX TELECOM, C.A."/>
    <n v="2672573314"/>
    <s v="JOSE PASTOR ARRIECHE PRIMERA"/>
    <n v="15964859"/>
    <x v="0"/>
    <s v="O&amp;M"/>
    <s v="LALESKA PEÑA"/>
    <x v="1"/>
    <x v="1"/>
    <x v="1"/>
    <x v="4"/>
    <s v="Por Certificar"/>
    <s v="-"/>
    <s v="Por Certificar"/>
    <s v="-"/>
    <s v="-"/>
    <s v="SI"/>
    <m/>
  </r>
  <r>
    <s v="LARA"/>
    <s v="CORPORACIÓN FIBEX TELECOM, C.A."/>
    <n v="2672573314"/>
    <s v="JOSE RENEE MACHADO FERREIRO"/>
    <n v="10843697"/>
    <x v="0"/>
    <s v="O&amp;M"/>
    <s v="LALESKA PEÑA"/>
    <x v="1"/>
    <x v="1"/>
    <x v="1"/>
    <x v="4"/>
    <s v="Por Certificar"/>
    <s v="-"/>
    <s v="Por Certificar"/>
    <s v="-"/>
    <s v="-"/>
    <s v="SI"/>
    <m/>
  </r>
  <r>
    <s v="LARA"/>
    <s v="CORPORACIÓN FIBEX TELECOM, C.A."/>
    <n v="2672573314"/>
    <s v="KEOMA JESUS EDUARDO HERNANDEZ ROJAS"/>
    <n v="30146362"/>
    <x v="1"/>
    <s v="O&amp;M"/>
    <s v="LALESKA PEÑA"/>
    <x v="1"/>
    <x v="1"/>
    <x v="1"/>
    <x v="4"/>
    <s v="Por Certificar"/>
    <s v="-"/>
    <s v="Por Certificar"/>
    <s v="-"/>
    <s v="-"/>
    <s v="SI"/>
    <m/>
  </r>
  <r>
    <s v="LARA"/>
    <s v="CORPORACIÓN FIBEX TELECOM, C.A."/>
    <n v="2672573314"/>
    <s v="KEVIN ANTONIO PRADO PENA"/>
    <n v="22333451"/>
    <x v="3"/>
    <s v="EMPALME"/>
    <s v="LALESKA PEÑA"/>
    <x v="1"/>
    <x v="1"/>
    <x v="1"/>
    <x v="4"/>
    <s v="Por Certificar"/>
    <s v="-"/>
    <s v="Por Certificar"/>
    <s v="-"/>
    <s v="-"/>
    <s v="SI"/>
    <m/>
  </r>
  <r>
    <s v="LARA"/>
    <s v="CORPORACIÓN FIBEX TELECOM, C.A."/>
    <n v="2672573314"/>
    <s v="LALESKA BRIGGIT PEÑA VELASQUEZ "/>
    <n v="24418218"/>
    <x v="4"/>
    <s v="O&amp;M"/>
    <s v="LALESKA PEÑA"/>
    <x v="1"/>
    <x v="1"/>
    <x v="1"/>
    <x v="4"/>
    <s v="Por Certificar"/>
    <s v="-"/>
    <s v="Por Certificar"/>
    <s v="-"/>
    <s v="-"/>
    <s v="SI"/>
    <m/>
  </r>
  <r>
    <s v="LARA"/>
    <s v="CORPORACIÓN FIBEX TELECOM, C.A."/>
    <n v="2672573314"/>
    <s v="LAURYMAR ELADIA LUQUE PEÑA"/>
    <n v="20924368"/>
    <x v="2"/>
    <s v="MDC"/>
    <s v="LALESKA PEÑA"/>
    <x v="1"/>
    <x v="1"/>
    <x v="0"/>
    <x v="0"/>
    <s v="Por Certificar"/>
    <s v="-"/>
    <s v="Por Certificar"/>
    <s v="-"/>
    <s v="-"/>
    <s v="SI"/>
    <m/>
  </r>
  <r>
    <s v="LARA"/>
    <s v="CORPORACIÓN FIBEX TELECOM, C.A."/>
    <n v="2672573314"/>
    <s v="MANUEL JOSE FIGUEROA FIGUEROA"/>
    <n v="25563223"/>
    <x v="2"/>
    <s v="CDR"/>
    <s v="LALESKA PEÑA"/>
    <x v="1"/>
    <x v="1"/>
    <x v="1"/>
    <x v="4"/>
    <s v="Por Certificar"/>
    <s v="-"/>
    <s v="Por Certificar"/>
    <s v="-"/>
    <s v="-"/>
    <s v="SI"/>
    <m/>
  </r>
  <r>
    <s v="LARA"/>
    <s v="CORPORACIÓN FIBEX TELECOM, C.A."/>
    <n v="2672573314"/>
    <s v="MIRIALBER ALEJANDRA VASQUEZ VIELMA"/>
    <n v="20926533"/>
    <x v="2"/>
    <s v="O&amp;M"/>
    <s v="LALESKA PEÑA"/>
    <x v="1"/>
    <x v="1"/>
    <x v="1"/>
    <x v="4"/>
    <s v="Por Certificar"/>
    <s v="-"/>
    <s v="Por Certificar"/>
    <s v="-"/>
    <s v="-"/>
    <s v="SI"/>
    <m/>
  </r>
  <r>
    <s v="LARA"/>
    <s v="CORPORACIÓN FIBEX TELECOM, C.A."/>
    <n v="2672573314"/>
    <s v="OMAR ABELARDO CAMACARO"/>
    <n v="16386133"/>
    <x v="1"/>
    <s v="O&amp;M"/>
    <s v="LALESKA PEÑA"/>
    <x v="1"/>
    <x v="1"/>
    <x v="1"/>
    <x v="4"/>
    <s v="Por Certificar"/>
    <s v="-"/>
    <s v="Por Certificar"/>
    <s v="-"/>
    <s v="-"/>
    <s v="SI"/>
    <m/>
  </r>
  <r>
    <s v="LARA"/>
    <s v="CORPORACIÓN FIBEX TELECOM, C.A."/>
    <n v="2672573314"/>
    <s v="OSCAR JOSE RIVERO RODRIGUEZ"/>
    <n v="15730122"/>
    <x v="0"/>
    <s v="DOCUMENTACIÓN Y DISEÑO"/>
    <s v="LALESKA PEÑA"/>
    <x v="1"/>
    <x v="1"/>
    <x v="0"/>
    <x v="0"/>
    <s v="Por Certificar"/>
    <s v="-"/>
    <s v="Por Certificar"/>
    <s v="-"/>
    <s v="-"/>
    <s v="SI"/>
    <m/>
  </r>
  <r>
    <s v="LARA"/>
    <s v="CORPORACIÓN FIBEX TELECOM, C.A."/>
    <n v="2672573314"/>
    <s v="YON ELIMELEC SALAZAR CANELON"/>
    <n v="27142424"/>
    <x v="1"/>
    <s v="O&amp;M"/>
    <s v="LALESKA PEÑA"/>
    <x v="1"/>
    <x v="1"/>
    <x v="1"/>
    <x v="4"/>
    <s v="Por Certificar"/>
    <s v="-"/>
    <s v="Por Certificar"/>
    <s v="-"/>
    <s v="-"/>
    <s v="SI"/>
    <m/>
  </r>
  <r>
    <s v="LARA"/>
    <s v="CORPORACIÓN FIBEX TELECOM, C.A."/>
    <n v="2672573314"/>
    <s v="YUANNI DIANETH HUERTA SUAREZ"/>
    <n v="16003925"/>
    <x v="2"/>
    <s v="MDC"/>
    <s v="LALESKA PEÑA"/>
    <x v="1"/>
    <x v="1"/>
    <x v="0"/>
    <x v="0"/>
    <s v="Por Certificar"/>
    <s v="-"/>
    <s v="Por Certificar"/>
    <s v="-"/>
    <s v="-"/>
    <s v="SI"/>
    <m/>
  </r>
  <r>
    <s v="MIRANDA"/>
    <s v="CORPORACIÓN FIBEX TELECOM, C.A."/>
    <n v="2672573314"/>
    <s v="CRISTHIAN  YSMAEL SALAZAR ANDRADE"/>
    <n v="18599101"/>
    <x v="3"/>
    <s v="O&amp;M"/>
    <s v="PENDIENTE INFORMACIÓN"/>
    <x v="1"/>
    <x v="1"/>
    <x v="1"/>
    <x v="3"/>
    <s v="Por Certificar"/>
    <s v="-"/>
    <s v="Por Certificar"/>
    <s v="-"/>
    <s v="-"/>
    <s v="SI"/>
    <m/>
  </r>
  <r>
    <s v="MIRANDA"/>
    <s v="CORPORACIÓN FIBEX TELECOM, C.A."/>
    <n v="2672573314"/>
    <s v="JORGE LUIS  YANES ACOSTA"/>
    <n v="26089438"/>
    <x v="0"/>
    <s v="O&amp;M"/>
    <s v="PENDIENTE INFORMACIÓN"/>
    <x v="1"/>
    <x v="1"/>
    <x v="1"/>
    <x v="3"/>
    <s v="Por Certificar"/>
    <s v="-"/>
    <s v="Por Certificar"/>
    <s v="-"/>
    <s v="-"/>
    <s v="SI"/>
    <m/>
  </r>
  <r>
    <s v="MIRANDA"/>
    <s v="CORPORACIÓN FIBEX TELECOM, C.A."/>
    <n v="2672573314"/>
    <s v="BEYKER JOSE NIMLIN MORALES"/>
    <n v="30264717"/>
    <x v="1"/>
    <s v="O&amp;M"/>
    <s v="PENDIENTE INFORMACIÓN"/>
    <x v="1"/>
    <x v="1"/>
    <x v="1"/>
    <x v="3"/>
    <s v="Por Certificar"/>
    <s v="-"/>
    <s v="Por Certificar"/>
    <s v="-"/>
    <s v="-"/>
    <s v="SI"/>
    <m/>
  </r>
  <r>
    <s v="MONAGAS"/>
    <s v="CORPORACIÓN FIBEX TELECOM, C.A."/>
    <n v="2672573314"/>
    <s v="JHONNY JESUS RONDON CORDOVA"/>
    <n v="18926859"/>
    <x v="0"/>
    <s v="O&amp;M"/>
    <s v="PENDIENTE INFORMACIÓN"/>
    <x v="1"/>
    <x v="1"/>
    <x v="1"/>
    <x v="3"/>
    <s v="Por Certificar"/>
    <s v="-"/>
    <s v="Por Certificar"/>
    <s v="-"/>
    <s v="-"/>
    <s v="SI"/>
    <m/>
  </r>
  <r>
    <s v="MONAGAS"/>
    <s v="CORPORACIÓN FIBEX TELECOM, C.A."/>
    <n v="2672573314"/>
    <s v="JOSE ALBERTO VELASQUEZ DEPABLOS"/>
    <n v="14993247"/>
    <x v="1"/>
    <s v="O&amp;M"/>
    <s v="PENDIENTE INFORMACIÓN"/>
    <x v="1"/>
    <x v="1"/>
    <x v="1"/>
    <x v="3"/>
    <s v="Por Certificar"/>
    <s v="-"/>
    <s v="Por Certificar"/>
    <s v="-"/>
    <s v="-"/>
    <s v="SI"/>
    <m/>
  </r>
  <r>
    <s v="MONAGAS"/>
    <s v="CORPORACIÓN FIBEX TELECOM, C.A."/>
    <n v="2672573314"/>
    <s v="JUAN EDUARDO CESIN LUCES"/>
    <n v="22722734"/>
    <x v="1"/>
    <s v="O&amp;M"/>
    <s v="PENDIENTE INFORMACIÓN"/>
    <x v="1"/>
    <x v="1"/>
    <x v="1"/>
    <x v="3"/>
    <s v="Por Certificar"/>
    <s v="-"/>
    <s v="Por Certificar"/>
    <s v="-"/>
    <s v="-"/>
    <s v="SI"/>
    <m/>
  </r>
  <r>
    <s v="MONAGAS"/>
    <s v="CORPORACIÓN FIBEX TELECOM, C.A."/>
    <n v="2672573314"/>
    <s v="JEAN MANUEL MOUSSA CABELLO"/>
    <n v="17754635"/>
    <x v="1"/>
    <s v="O&amp;M"/>
    <s v="PENDIENTE INFORMACIÓN"/>
    <x v="1"/>
    <x v="1"/>
    <x v="0"/>
    <x v="0"/>
    <s v="Por Certificar"/>
    <s v="-"/>
    <s v="Por Certificar"/>
    <s v="-"/>
    <s v="-"/>
    <s v="SI"/>
    <m/>
  </r>
  <r>
    <s v="MONAGAS"/>
    <s v="CORPORACIÓN FIBEX TELECOM, C.A."/>
    <n v="2672573314"/>
    <s v="ELVIS LEONARDO RAMOS SALAZAR"/>
    <n v="14859200"/>
    <x v="0"/>
    <s v="O&amp;M"/>
    <s v="PENDIENTE INFORMACIÓN"/>
    <x v="1"/>
    <x v="1"/>
    <x v="1"/>
    <x v="3"/>
    <s v="Por Certificar"/>
    <s v="-"/>
    <s v="Por Certificar"/>
    <s v="-"/>
    <s v="-"/>
    <s v="SI"/>
    <m/>
  </r>
  <r>
    <s v="MONAGAS"/>
    <s v="CORPORACIÓN FIBEX TELECOM, C.A."/>
    <n v="2672573314"/>
    <s v="FERNANDO ANTONIO RAMOS GARCIA"/>
    <n v="25265091"/>
    <x v="1"/>
    <s v="O&amp;M"/>
    <s v="PENDIENTE INFORMACIÓN"/>
    <x v="1"/>
    <x v="1"/>
    <x v="1"/>
    <x v="3"/>
    <s v="Por Certificar"/>
    <s v="-"/>
    <s v="Por Certificar"/>
    <s v="-"/>
    <s v="-"/>
    <s v="SI"/>
    <m/>
  </r>
  <r>
    <s v="MONAGAS"/>
    <s v="CORPORACIÓN FIBEX TELECOM, C.A."/>
    <n v="2672573314"/>
    <s v="DOMINGO RAFAEL MARTINEZ GUZMAN"/>
    <n v="17486584"/>
    <x v="1"/>
    <s v="O&amp;M"/>
    <s v="PENDIENTE INFORMACIÓN"/>
    <x v="1"/>
    <x v="1"/>
    <x v="1"/>
    <x v="3"/>
    <s v="Por Certificar"/>
    <s v="-"/>
    <s v="Por Certificar"/>
    <s v="-"/>
    <s v="-"/>
    <s v="SI"/>
    <m/>
  </r>
  <r>
    <s v="NUEVA ESPARTA"/>
    <s v="CORPORACIÓN FIBEX TELECOM, C.A."/>
    <n v="2672573314"/>
    <s v="AARON RAFAEL CHACON OLIVERO"/>
    <n v="30008746"/>
    <x v="0"/>
    <s v="O&amp;M"/>
    <s v="FRANCISCO VALDERRAMA"/>
    <x v="1"/>
    <x v="1"/>
    <x v="1"/>
    <x v="3"/>
    <s v="Por Certificar"/>
    <s v="-"/>
    <s v="Por Certificar"/>
    <s v="-"/>
    <s v="SI"/>
    <s v="SI"/>
    <m/>
  </r>
  <r>
    <s v="NUEVA ESPARTA"/>
    <s v="CORPORACIÓN FIBEX TELECOM, C.A."/>
    <n v="2672573314"/>
    <s v="ALBERT JOSE FARIAS  SIERRA"/>
    <n v="28166432"/>
    <x v="2"/>
    <s v="MDC"/>
    <s v="FRANCISCO VALDERRAMA"/>
    <x v="1"/>
    <x v="1"/>
    <x v="0"/>
    <x v="0"/>
    <s v="Por Certificar"/>
    <s v="-"/>
    <s v="Por Certificar"/>
    <s v="-"/>
    <s v="SI"/>
    <s v="SI"/>
    <m/>
  </r>
  <r>
    <s v="NUEVA ESPARTA"/>
    <s v="CORPORACIÓN FIBEX TELECOM, C.A."/>
    <n v="2672573314"/>
    <s v="ANDRES RAFAEL VALDIVIEZO TORMES"/>
    <n v="28468116"/>
    <x v="1"/>
    <s v="O&amp;M"/>
    <s v="FRANCISCO VALDERRAMA"/>
    <x v="1"/>
    <x v="1"/>
    <x v="1"/>
    <x v="3"/>
    <s v="Por Certificar"/>
    <s v="-"/>
    <s v="Por Certificar"/>
    <s v="-"/>
    <s v="SI"/>
    <s v="SI"/>
    <m/>
  </r>
  <r>
    <s v="NUEVA ESPARTA"/>
    <s v="CORPORACIÓN FIBEX TELECOM, C.A."/>
    <n v="2672573314"/>
    <s v="BRAYAN MOISES VALDEZ GARCIA"/>
    <n v="23182127"/>
    <x v="0"/>
    <s v="O&amp;M"/>
    <s v="FRANCISCO VALDERRAMA"/>
    <x v="1"/>
    <x v="1"/>
    <x v="1"/>
    <x v="3"/>
    <s v="Por Certificar"/>
    <s v="-"/>
    <s v="Por Certificar"/>
    <s v="-"/>
    <s v="SI"/>
    <s v="SI"/>
    <m/>
  </r>
  <r>
    <s v="NUEVA ESPARTA"/>
    <s v="CORPORACIÓN FIBEX TELECOM, C.A."/>
    <n v="2672573314"/>
    <s v="CARLOS JAVIER HAMANA PINO"/>
    <n v="27650985"/>
    <x v="3"/>
    <s v="O&amp;M"/>
    <s v="FRANCISCO VALDERRAMA"/>
    <x v="1"/>
    <x v="1"/>
    <x v="1"/>
    <x v="3"/>
    <s v="Por Certificar"/>
    <s v="-"/>
    <s v="Por Certificar"/>
    <s v="-"/>
    <s v="SI"/>
    <s v="SI"/>
    <m/>
  </r>
  <r>
    <s v="NUEVA ESPARTA"/>
    <s v="CORPORACIÓN FIBEX TELECOM, C.A."/>
    <n v="2672573314"/>
    <s v="DANIEL ALEJANDRO SALINAS SALAZAR"/>
    <n v="27899805"/>
    <x v="2"/>
    <s v="MDC"/>
    <s v="FRANCISCO VALDERRAMA"/>
    <x v="1"/>
    <x v="1"/>
    <x v="0"/>
    <x v="0"/>
    <s v="Por Certificar"/>
    <s v="-"/>
    <s v="Por Certificar"/>
    <s v="-"/>
    <s v="NO"/>
    <s v="SI"/>
    <m/>
  </r>
  <r>
    <s v="NUEVA ESPARTA"/>
    <s v="CORPORACIÓN FIBEX TELECOM, C.A."/>
    <n v="2672573314"/>
    <s v="FRANCISCO ALBERTO VALDERRAMA SALAZAR"/>
    <n v="25097186"/>
    <x v="4"/>
    <s v="O&amp;M"/>
    <s v="FRANCISCO VALDERRAMA"/>
    <x v="1"/>
    <x v="1"/>
    <x v="1"/>
    <x v="3"/>
    <s v="Por Certificar"/>
    <s v="-"/>
    <s v="Por Certificar"/>
    <s v="-"/>
    <s v="SI"/>
    <s v="SI"/>
    <m/>
  </r>
  <r>
    <s v="NUEVA ESPARTA"/>
    <s v="CORPORACIÓN FIBEX TELECOM, C.A."/>
    <n v="2672573314"/>
    <s v="FREDDY NICOLAS RAMOS MARCANO"/>
    <n v="16546352"/>
    <x v="0"/>
    <s v="MDC"/>
    <s v="FRANCISCO VALDERRAMA"/>
    <x v="1"/>
    <x v="1"/>
    <x v="1"/>
    <x v="3"/>
    <s v="Por Certificar"/>
    <s v="-"/>
    <s v="Por Certificar"/>
    <s v="-"/>
    <s v="SI"/>
    <s v="SI"/>
    <m/>
  </r>
  <r>
    <s v="NUEVA ESPARTA"/>
    <s v="CORPORACIÓN FIBEX TELECOM, C.A."/>
    <n v="2672573314"/>
    <s v="GERMAIN RODOLFO GONZALEZ LOPEZ"/>
    <n v="10877686"/>
    <x v="1"/>
    <s v="O&amp;M"/>
    <s v="FRANCISCO VALDERRAMA"/>
    <x v="1"/>
    <x v="1"/>
    <x v="1"/>
    <x v="3"/>
    <s v="Por Certificar"/>
    <s v="-"/>
    <s v="Por Certificar"/>
    <s v="-"/>
    <s v="SI"/>
    <s v="SI"/>
    <m/>
  </r>
  <r>
    <s v="NUEVA ESPARTA"/>
    <s v="CORPORACIÓN FIBEX TELECOM, C.A."/>
    <n v="2672573314"/>
    <s v="JESUS ANDRES RAMIREZ ROMERO"/>
    <n v="25877580"/>
    <x v="0"/>
    <s v="O&amp;M"/>
    <s v="FRANCISCO VALDERRAMA"/>
    <x v="1"/>
    <x v="1"/>
    <x v="1"/>
    <x v="3"/>
    <s v="Por Certificar"/>
    <s v="-"/>
    <s v="Por Certificar"/>
    <s v="-"/>
    <s v="SI"/>
    <s v="SI"/>
    <m/>
  </r>
  <r>
    <s v="NUEVA ESPARTA"/>
    <s v="CORPORACIÓN FIBEX TELECOM, C.A."/>
    <n v="2672573314"/>
    <s v="JESUS RAFAEL MATA MARCANO"/>
    <n v="11537163"/>
    <x v="0"/>
    <s v="O&amp;M"/>
    <s v="FRANCISCO VALDERRAMA"/>
    <x v="1"/>
    <x v="1"/>
    <x v="1"/>
    <x v="3"/>
    <s v="Por Certificar"/>
    <s v="-"/>
    <s v="Por Certificar"/>
    <s v="-"/>
    <s v="SI"/>
    <s v="SI"/>
    <m/>
  </r>
  <r>
    <s v="NUEVA ESPARTA"/>
    <s v="CORPORACIÓN FIBEX TELECOM, C.A."/>
    <n v="2672573314"/>
    <s v="JORGE LUIS NUNEZ AGUILERA"/>
    <n v="18788988"/>
    <x v="1"/>
    <s v="O&amp;M"/>
    <s v="FRANCISCO VALDERRAMA"/>
    <x v="1"/>
    <x v="1"/>
    <x v="1"/>
    <x v="3"/>
    <s v="Por Certificar"/>
    <s v="-"/>
    <s v="Por Certificar"/>
    <s v="-"/>
    <s v="SI"/>
    <s v="SI"/>
    <m/>
  </r>
  <r>
    <s v="NUEVA ESPARTA"/>
    <s v="CORPORACIÓN FIBEX TELECOM, C.A."/>
    <n v="2672573314"/>
    <s v="JUAN PABLO LOPEZ MARCANO"/>
    <n v="30441499"/>
    <x v="1"/>
    <s v="O&amp;M"/>
    <s v="FRANCISCO VALDERRAMA"/>
    <x v="1"/>
    <x v="1"/>
    <x v="1"/>
    <x v="3"/>
    <s v="Por Certificar"/>
    <s v="-"/>
    <s v="Por Certificar"/>
    <s v="-"/>
    <s v="SI"/>
    <s v="SI"/>
    <m/>
  </r>
  <r>
    <s v="NUEVA ESPARTA"/>
    <s v="CORPORACIÓN FIBEX TELECOM, C.A."/>
    <n v="2672573314"/>
    <s v="MARCOS ALI CHACON MARCANO"/>
    <n v="12672190"/>
    <x v="0"/>
    <s v="O&amp;M"/>
    <s v="FRANCISCO VALDERRAMA"/>
    <x v="1"/>
    <x v="1"/>
    <x v="1"/>
    <x v="3"/>
    <s v="Por Certificar"/>
    <s v="-"/>
    <s v="Por Certificar"/>
    <s v="-"/>
    <s v="SI"/>
    <s v="SI"/>
    <m/>
  </r>
  <r>
    <s v="NUEVA ESPARTA"/>
    <s v="CORPORACIÓN FIBEX TELECOM, C.A."/>
    <n v="2672573314"/>
    <s v="NANYOR ENRIQUE ABACHE LOZADA"/>
    <n v="18215038"/>
    <x v="1"/>
    <s v="O&amp;M"/>
    <s v="FRANCISCO VALDERRAMA"/>
    <x v="1"/>
    <x v="1"/>
    <x v="1"/>
    <x v="3"/>
    <s v="Por Certificar"/>
    <s v="-"/>
    <s v="Por Certificar"/>
    <s v="-"/>
    <s v="SI"/>
    <s v="SI"/>
    <m/>
  </r>
  <r>
    <s v="NUEVA ESPARTA"/>
    <s v="CORPORACIÓN FIBEX TELECOM, C.A."/>
    <n v="2672573314"/>
    <s v="NIUMAR MANUEL MATA VERA"/>
    <n v="12393177"/>
    <x v="0"/>
    <s v="O&amp;M"/>
    <s v="FRANCISCO VALDERRAMA"/>
    <x v="1"/>
    <x v="1"/>
    <x v="1"/>
    <x v="3"/>
    <s v="Por Certificar"/>
    <s v="-"/>
    <s v="Por Certificar"/>
    <s v="-"/>
    <s v="SI"/>
    <s v="SI"/>
    <m/>
  </r>
  <r>
    <s v="NUEVA ESPARTA"/>
    <s v="CORPORACIÓN FIBEX TELECOM, C.A."/>
    <n v="2672573314"/>
    <s v="RUBEN DAVID CANAS ROSADO"/>
    <n v="26778197"/>
    <x v="0"/>
    <s v="O&amp;M"/>
    <s v="FRANCISCO VALDERRAMA"/>
    <x v="1"/>
    <x v="1"/>
    <x v="1"/>
    <x v="3"/>
    <s v="Por Certificar"/>
    <s v="-"/>
    <s v="Por Certificar"/>
    <s v="-"/>
    <s v="SI"/>
    <s v="SI"/>
    <m/>
  </r>
  <r>
    <s v="NUEVA ESPARTA"/>
    <s v="CORPORACIÓN FIBEX TELECOM, C.A."/>
    <n v="2672573314"/>
    <s v="WILLIAMS ELIESER ROMERO BARELA"/>
    <n v="12032334"/>
    <x v="1"/>
    <s v="O&amp;M"/>
    <s v="FRANCISCO VALDERRAMA"/>
    <x v="1"/>
    <x v="1"/>
    <x v="1"/>
    <x v="3"/>
    <s v="Por Certificar"/>
    <s v="-"/>
    <s v="Por Certificar"/>
    <s v="-"/>
    <s v="SI"/>
    <s v="SI"/>
    <m/>
  </r>
  <r>
    <s v="SUCRE"/>
    <s v="CORPORACIÓN FIBEX TELECOM, C.A."/>
    <n v="2672573314"/>
    <s v="ANGEL DAVID ALVAREZ CORDOBA"/>
    <n v="27288190"/>
    <x v="0"/>
    <s v="MDC"/>
    <s v="HASSAN CARVAJAL"/>
    <x v="0"/>
    <x v="0"/>
    <x v="1"/>
    <x v="3"/>
    <s v="Por Certificar"/>
    <s v="-"/>
    <s v="Por Certificar"/>
    <s v="-"/>
    <s v="-"/>
    <s v="SI"/>
    <m/>
  </r>
  <r>
    <s v="SUCRE"/>
    <s v="CORPORACIÓN FIBEX TELECOM, C.A."/>
    <n v="2672573314"/>
    <s v="BARBARA BETANIA GONZALEZ REYES"/>
    <n v="19238197"/>
    <x v="2"/>
    <s v="MDC"/>
    <s v="HASSAN CARVAJAL"/>
    <x v="1"/>
    <x v="1"/>
    <x v="0"/>
    <x v="0"/>
    <s v="Por Certificar"/>
    <s v="-"/>
    <s v="Por Certificar"/>
    <s v="-"/>
    <s v="-"/>
    <s v="SI"/>
    <m/>
  </r>
  <r>
    <s v="SUCRE"/>
    <s v="CORPORACIÓN FIBEX TELECOM, C.A."/>
    <n v="2672573314"/>
    <s v="DANIEL RAFAEL CALVO VELASQUEZ"/>
    <n v="18212648"/>
    <x v="1"/>
    <s v="O&amp;M"/>
    <s v="HASSAN CARVAJAL"/>
    <x v="0"/>
    <x v="0"/>
    <x v="1"/>
    <x v="3"/>
    <s v="Por Certificar"/>
    <s v="-"/>
    <s v="Por Certificar"/>
    <s v="-"/>
    <s v="-"/>
    <s v="SI"/>
    <m/>
  </r>
  <r>
    <s v="SUCRE"/>
    <s v="CORPORACIÓN FIBEX TELECOM, C.A."/>
    <n v="2672573314"/>
    <s v="ELUIS JOSE MADRID CARVAJA"/>
    <n v="18077227"/>
    <x v="1"/>
    <s v="O&amp;M"/>
    <s v="HASSAN CARVAJAL"/>
    <x v="1"/>
    <x v="1"/>
    <x v="1"/>
    <x v="3"/>
    <s v="Por Certificar"/>
    <s v="-"/>
    <s v="Por Certificar"/>
    <s v="-"/>
    <s v="-"/>
    <s v="SI"/>
    <m/>
  </r>
  <r>
    <s v="SUCRE"/>
    <s v="CORPORACIÓN FIBEX TELECOM, C.A."/>
    <n v="2672573314"/>
    <s v="FERNANDO LUIS MEAÑO VEGA"/>
    <n v="28401512"/>
    <x v="1"/>
    <s v="O&amp;M"/>
    <s v="HASSAN CARVAJAL"/>
    <x v="1"/>
    <x v="1"/>
    <x v="1"/>
    <x v="3"/>
    <s v="Por Certificar"/>
    <s v="-"/>
    <s v="Por Certificar"/>
    <s v="-"/>
    <s v="-"/>
    <s v="SI"/>
    <m/>
  </r>
  <r>
    <s v="SUCRE"/>
    <s v="CORPORACIÓN FIBEX TELECOM, C.A."/>
    <n v="2672573314"/>
    <s v="FIDEL ALEJANDRO FERMIN FEBRES"/>
    <n v="19346250"/>
    <x v="0"/>
    <s v="IMPLEMENTACION"/>
    <s v="HASSAN CARVAJAL"/>
    <x v="0"/>
    <x v="0"/>
    <x v="1"/>
    <x v="3"/>
    <s v="Por Certificar"/>
    <s v="-"/>
    <s v="Por Certificar"/>
    <s v="-"/>
    <s v="-"/>
    <s v="SI"/>
    <m/>
  </r>
  <r>
    <s v="SUCRE"/>
    <s v="CORPORACIÓN FIBEX TELECOM, C.A."/>
    <n v="2672573314"/>
    <s v="GABRIEL ENRIQUE CHIRINOS CHIRINOS"/>
    <n v="17763315"/>
    <x v="0"/>
    <s v="O&amp;M"/>
    <s v="HASSAN CARVAJAL"/>
    <x v="0"/>
    <x v="0"/>
    <x v="1"/>
    <x v="3"/>
    <s v="Por Certificar"/>
    <s v="-"/>
    <s v="Por Certificar"/>
    <s v="-"/>
    <s v="-"/>
    <s v="SI"/>
    <m/>
  </r>
  <r>
    <s v="SUCRE"/>
    <s v="CORPORACIÓN FIBEX TELECOM, C.A."/>
    <n v="2672573314"/>
    <s v="GONZALEZ PEREIRA, JAVIER DAVID"/>
    <n v="17446806"/>
    <x v="3"/>
    <s v="EMPALME"/>
    <s v="HASSAN CARVAJAL"/>
    <x v="1"/>
    <x v="1"/>
    <x v="0"/>
    <x v="0"/>
    <s v="Por Certificar"/>
    <s v="-"/>
    <s v="Por Certificar"/>
    <s v="-"/>
    <s v="-"/>
    <s v="SI"/>
    <m/>
  </r>
  <r>
    <s v="SUCRE"/>
    <s v="CORPORACIÓN FIBEX TELECOM, C.A."/>
    <n v="2672573314"/>
    <s v="HASSAN GIOMAR CARVAJAL ZAMORA"/>
    <n v="24849178"/>
    <x v="4"/>
    <s v="O&amp;M"/>
    <s v="HASSAN CARVAJAL"/>
    <x v="0"/>
    <x v="0"/>
    <x v="1"/>
    <x v="3"/>
    <s v="Por Certificar"/>
    <s v="-"/>
    <s v="Por Certificar"/>
    <s v="-"/>
    <s v="-"/>
    <s v="SI"/>
    <m/>
  </r>
  <r>
    <s v="SUCRE"/>
    <s v="CORPORACIÓN FIBEX TELECOM, C.A."/>
    <n v="2672573314"/>
    <s v="JEANPIERE JESUS MALAVE CEDEÑO"/>
    <n v="26108367"/>
    <x v="1"/>
    <s v="O&amp;M"/>
    <s v="HASSAN CARVAJAL"/>
    <x v="0"/>
    <x v="0"/>
    <x v="1"/>
    <x v="3"/>
    <s v="Por Certificar"/>
    <s v="-"/>
    <s v="Por Certificar"/>
    <s v="-"/>
    <s v="-"/>
    <s v="SI"/>
    <m/>
  </r>
  <r>
    <s v="SUCRE"/>
    <s v="CORPORACIÓN FIBEX TELECOM, C.A."/>
    <n v="2672573314"/>
    <s v="JESUS EMILIO  ROMERO  AGREDA"/>
    <n v="28242185"/>
    <x v="1"/>
    <s v="O&amp;M"/>
    <s v="HASSAN CARVAJAL"/>
    <x v="1"/>
    <x v="1"/>
    <x v="1"/>
    <x v="3"/>
    <s v="Por Certificar"/>
    <s v="-"/>
    <s v="Por Certificar"/>
    <s v="-"/>
    <s v="-"/>
    <s v="SI"/>
    <m/>
  </r>
  <r>
    <s v="SUCRE"/>
    <s v="CORPORACIÓN FIBEX TELECOM, C.A."/>
    <n v="2672573314"/>
    <s v="JESUS GABRIEL MARQUEZ FUENTES"/>
    <n v="20574497"/>
    <x v="1"/>
    <s v="O&amp;M"/>
    <s v="HASSAN CARVAJAL"/>
    <x v="1"/>
    <x v="1"/>
    <x v="1"/>
    <x v="3"/>
    <s v="Por Certificar"/>
    <s v="-"/>
    <s v="Por Certificar"/>
    <s v="-"/>
    <s v="-"/>
    <s v="SI"/>
    <m/>
  </r>
  <r>
    <s v="SUCRE"/>
    <s v="CORPORACIÓN FIBEX TELECOM, C.A."/>
    <n v="2672573314"/>
    <s v="JESUS RAFAEL APONTE JIMENEZ"/>
    <n v="28614058"/>
    <x v="1"/>
    <s v="O&amp;M"/>
    <s v="HASSAN CARVAJAL"/>
    <x v="1"/>
    <x v="1"/>
    <x v="1"/>
    <x v="3"/>
    <s v="Por Certificar"/>
    <s v="-"/>
    <s v="Por Certificar"/>
    <s v="-"/>
    <s v="-"/>
    <s v="SI"/>
    <m/>
  </r>
  <r>
    <s v="SUCRE"/>
    <s v="CORPORACIÓN FIBEX TELECOM, C.A."/>
    <n v="2672573314"/>
    <s v="JORGER DAVID RODRIGUEZ SOUSS"/>
    <n v="25528094"/>
    <x v="1"/>
    <s v="IMPLEMENTACION"/>
    <s v="HASSAN CARVAJAL"/>
    <x v="0"/>
    <x v="0"/>
    <x v="1"/>
    <x v="3"/>
    <s v="Por Certificar"/>
    <s v="-"/>
    <s v="Por Certificar"/>
    <s v="-"/>
    <s v="-"/>
    <s v="SI"/>
    <m/>
  </r>
  <r>
    <s v="SUCRE"/>
    <s v="CORPORACIÓN FIBEX TELECOM, C.A."/>
    <n v="2672573314"/>
    <s v="JOSE ALEJANDRO CASTELLAR PEREDA"/>
    <n v="19893313"/>
    <x v="1"/>
    <s v="O&amp;M"/>
    <s v="HASSAN CARVAJAL"/>
    <x v="1"/>
    <x v="1"/>
    <x v="1"/>
    <x v="3"/>
    <s v="Por Certificar"/>
    <s v="-"/>
    <s v="Por Certificar"/>
    <s v="-"/>
    <s v="-"/>
    <s v="SI"/>
    <m/>
  </r>
  <r>
    <s v="SUCRE"/>
    <s v="CORPORACIÓN FIBEX TELECOM, C.A."/>
    <n v="2672573314"/>
    <s v="JOSE ANTONIO  APARICIO GIL"/>
    <n v="21398841"/>
    <x v="0"/>
    <s v="O&amp;M"/>
    <s v="HASSAN CARVAJAL"/>
    <x v="1"/>
    <x v="1"/>
    <x v="1"/>
    <x v="3"/>
    <s v="Por Certificar"/>
    <s v="-"/>
    <s v="Por Certificar"/>
    <s v="-"/>
    <s v="-"/>
    <s v="SI"/>
    <m/>
  </r>
  <r>
    <s v="SUCRE"/>
    <s v="CORPORACIÓN FIBEX TELECOM, C.A."/>
    <n v="2672573314"/>
    <s v="JUAN JOSE CABEZA MILLAN"/>
    <n v="16703470"/>
    <x v="0"/>
    <s v="O&amp;M"/>
    <s v="HASSAN CARVAJAL"/>
    <x v="1"/>
    <x v="1"/>
    <x v="1"/>
    <x v="3"/>
    <s v="Por Certificar"/>
    <s v="-"/>
    <s v="Por Certificar"/>
    <s v="-"/>
    <s v="-"/>
    <s v="SI"/>
    <m/>
  </r>
  <r>
    <s v="SUCRE"/>
    <s v="CORPORACIÓN FIBEX TELECOM, C.A."/>
    <n v="2672573314"/>
    <s v="LUIS DANIEL PATINO PATINO"/>
    <n v="15612027"/>
    <x v="0"/>
    <s v="O&amp;M"/>
    <s v="HASSAN CARVAJAL"/>
    <x v="0"/>
    <x v="0"/>
    <x v="1"/>
    <x v="3"/>
    <s v="Por Certificar"/>
    <s v="-"/>
    <s v="Por Certificar"/>
    <s v="-"/>
    <s v="-"/>
    <s v="SI"/>
    <m/>
  </r>
  <r>
    <s v="SUCRE"/>
    <s v="CORPORACIÓN FIBEX TELECOM, C.A."/>
    <n v="2672573314"/>
    <s v="LUIS MIGUEL MARIN ARIAS"/>
    <n v="27897019"/>
    <x v="0"/>
    <s v="MDC"/>
    <s v="HASSAN CARVAJAL"/>
    <x v="0"/>
    <x v="0"/>
    <x v="1"/>
    <x v="3"/>
    <s v="Por Certificar"/>
    <s v="-"/>
    <s v="Por Certificar"/>
    <s v="-"/>
    <s v="-"/>
    <s v="SI"/>
    <m/>
  </r>
  <r>
    <s v="SUCRE"/>
    <s v="CORPORACIÓN FIBEX TELECOM, C.A."/>
    <n v="2672573314"/>
    <s v="MANUEL ALEJANDRO ZABALA ZABALA"/>
    <n v="28383462"/>
    <x v="1"/>
    <s v="O&amp;M"/>
    <s v="HASSAN CARVAJAL"/>
    <x v="1"/>
    <x v="1"/>
    <x v="1"/>
    <x v="3"/>
    <s v="Por Certificar"/>
    <s v="-"/>
    <s v="Por Certificar"/>
    <s v="-"/>
    <s v="-"/>
    <s v="SI"/>
    <m/>
  </r>
  <r>
    <s v="SUCRE"/>
    <s v="CORPORACIÓN FIBEX TELECOM, C.A."/>
    <n v="2672573314"/>
    <s v="MANUEL DAVID TORRES SANTIAGO"/>
    <n v="20358418"/>
    <x v="1"/>
    <s v="O&amp;M"/>
    <s v="HASSAN CARVAJAL"/>
    <x v="1"/>
    <x v="1"/>
    <x v="1"/>
    <x v="3"/>
    <s v="Por Certificar"/>
    <s v="-"/>
    <s v="Por Certificar"/>
    <s v="-"/>
    <s v="-"/>
    <s v="SI"/>
    <m/>
  </r>
  <r>
    <s v="SUCRE"/>
    <s v="CORPORACIÓN FIBEX TELECOM, C.A."/>
    <n v="2672573314"/>
    <s v="MARIA GABRIELA BRITO BRITO"/>
    <n v="24873145"/>
    <x v="2"/>
    <s v="MDC"/>
    <s v="HASSAN CARVAJAL"/>
    <x v="1"/>
    <x v="1"/>
    <x v="0"/>
    <x v="0"/>
    <s v="Por Certificar"/>
    <s v="-"/>
    <s v="Por Certificar"/>
    <s v="-"/>
    <s v="-"/>
    <s v="SI"/>
    <m/>
  </r>
  <r>
    <s v="SUCRE"/>
    <s v="CORPORACIÓN FIBEX TELECOM, C.A."/>
    <n v="2672573314"/>
    <s v="RAFAEL ANTONIO GUTIERREZ VELASQUEZ"/>
    <n v="17539249"/>
    <x v="3"/>
    <s v="O&amp;M"/>
    <s v="HASSAN CARVAJAL"/>
    <x v="0"/>
    <x v="0"/>
    <x v="1"/>
    <x v="3"/>
    <s v="Por Certificar"/>
    <s v="-"/>
    <s v="Por Certificar"/>
    <s v="-"/>
    <s v="-"/>
    <s v="SI"/>
    <m/>
  </r>
  <r>
    <s v="SUCRE"/>
    <s v="CORPORACIÓN FIBEX TELECOM, C.A."/>
    <n v="2672573314"/>
    <s v="REINALDO RAMON PATIÑO ESPINOZA"/>
    <n v="18212884"/>
    <x v="1"/>
    <s v="O&amp;M"/>
    <s v="HASSAN CARVAJAL"/>
    <x v="1"/>
    <x v="1"/>
    <x v="1"/>
    <x v="3"/>
    <s v="Por Certificar"/>
    <s v="-"/>
    <s v="Por Certificar"/>
    <s v="-"/>
    <s v="-"/>
    <s v="SI"/>
    <m/>
  </r>
  <r>
    <s v="SUCRE"/>
    <s v="CORPORACIÓN FIBEX TELECOM, C.A."/>
    <n v="2672573314"/>
    <s v="SAMUEL DAVID CURA RIVAS"/>
    <n v="25897770"/>
    <x v="0"/>
    <s v="IMPLEMENTACION"/>
    <s v="HASSAN CARVAJAL"/>
    <x v="0"/>
    <x v="0"/>
    <x v="1"/>
    <x v="3"/>
    <s v="Por Certificar"/>
    <s v="-"/>
    <s v="Por Certificar"/>
    <s v="-"/>
    <s v="-"/>
    <s v="SI"/>
    <m/>
  </r>
  <r>
    <s v="SUCRE"/>
    <s v="CORPORACIÓN FIBEX TELECOM, C.A."/>
    <n v="2672573314"/>
    <s v="VICTOR MANUEL FIGUEROA RODRIGUEZ"/>
    <n v="26704442"/>
    <x v="1"/>
    <s v="IMPLEMENTACION"/>
    <s v="HASSAN CARVAJAL"/>
    <x v="0"/>
    <x v="0"/>
    <x v="1"/>
    <x v="3"/>
    <s v="Por Certificar"/>
    <s v="-"/>
    <s v="Por Certificar"/>
    <s v="-"/>
    <s v="-"/>
    <s v="SI"/>
    <m/>
  </r>
  <r>
    <s v="SUCRE"/>
    <s v="CORPORACIÓN FIBEX TELECOM, C.A."/>
    <n v="2672573314"/>
    <s v="WLADIMIR JOSE RODRIGUEZ CEDEÑO"/>
    <n v="18417228"/>
    <x v="0"/>
    <s v="O&amp;M"/>
    <s v="HASSAN CARVAJAL"/>
    <x v="1"/>
    <x v="1"/>
    <x v="1"/>
    <x v="3"/>
    <s v="Por Certificar"/>
    <s v="-"/>
    <s v="Por Certificar"/>
    <s v="-"/>
    <s v="-"/>
    <s v="SI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TablaDinámica5" cacheId="4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D19" firstHeaderRow="1" firstDataRow="2" firstDataCol="1"/>
  <pivotFields count="21"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11"/>
  </colFields>
  <colItems count="3">
    <i>
      <x/>
    </i>
    <i>
      <x v="1"/>
    </i>
    <i t="grand">
      <x/>
    </i>
  </colItems>
  <dataFields count="1">
    <dataField name="Suma de CONTADOR" fld="20" baseField="0" baseItem="0"/>
  </dataFields>
  <formats count="6">
    <format dxfId="1241">
      <pivotArea collapsedLevelsAreSubtotals="1" fieldPosition="0">
        <references count="1">
          <reference field="0" count="0"/>
        </references>
      </pivotArea>
    </format>
    <format dxfId="1240">
      <pivotArea collapsedLevelsAreSubtotals="1" fieldPosition="0">
        <references count="1">
          <reference field="0" count="0"/>
        </references>
      </pivotArea>
    </format>
    <format dxfId="1239">
      <pivotArea dataOnly="0" labelOnly="1" fieldPosition="0">
        <references count="1">
          <reference field="11" count="0"/>
        </references>
      </pivotArea>
    </format>
    <format dxfId="1238">
      <pivotArea dataOnly="0" labelOnly="1" grandCol="1" outline="0" fieldPosition="0"/>
    </format>
    <format dxfId="1237">
      <pivotArea field="11" grandRow="1" outline="0" collapsedLevelsAreSubtotals="1" axis="axisCol" fieldPosition="0">
        <references count="1">
          <reference field="11" count="0" selected="0"/>
        </references>
      </pivotArea>
    </format>
    <format dxfId="1236">
      <pivotArea field="11" grandRow="1" outline="0" collapsedLevelsAreSubtotals="1" axis="axisCol" fieldPosition="0">
        <references count="1">
          <reference field="11" count="0" selected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aDinámica2" cacheId="4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rowHeaderCaption="Técnico Básico" colHeaderCaption="Cargo">
  <location ref="B15:I19" firstHeaderRow="1" firstDataRow="2" firstDataCol="1"/>
  <pivotFields count="21">
    <pivotField multipleItemSelectionAllowed="1" showAll="0"/>
    <pivotField showAll="0" defaultSubtotal="0"/>
    <pivotField showAll="0" defaultSubtotal="0"/>
    <pivotField showAll="0" defaultSubtotal="0"/>
    <pivotField showAll="0"/>
    <pivotField showAll="0"/>
    <pivotField axis="axisCol" multipleItemSelectionAllowed="1" showAll="0">
      <items count="7">
        <item x="2"/>
        <item x="1"/>
        <item x="3"/>
        <item x="0"/>
        <item x="4"/>
        <item x="5"/>
        <item t="default"/>
      </items>
    </pivotField>
    <pivotField showAll="0"/>
    <pivotField showAll="0" defaultSubtotal="0"/>
    <pivotField showAll="0" defaultSubtotal="0">
      <items count="2">
        <item x="0"/>
        <item x="1"/>
      </items>
    </pivotField>
    <pivotField showAll="0" defaultSubtotal="0"/>
    <pivotField axis="axisRow" showAll="0" defaultSubtotal="0">
      <items count="2">
        <item x="1"/>
        <item x="0"/>
      </items>
    </pivotField>
    <pivotField showAll="0" defaultSubtotal="0"/>
    <pivotField showAll="0" defaultSubtotal="0">
      <items count="1">
        <item x="0"/>
      </items>
    </pivotField>
    <pivotField showAll="0" defaultSubtotal="0"/>
    <pivotField showAll="0" defaultSubtotal="0">
      <items count="1">
        <item x="0"/>
      </items>
    </pivotField>
    <pivotField showAll="0" defaultSubtotal="0"/>
    <pivotField showAll="0" defaultSubtotal="0"/>
    <pivotField showAll="0" defaultSubtotal="0"/>
    <pivotField showAll="0" defaultSubtotal="0"/>
    <pivotField dataField="1" showAll="0" defaultSubtotal="0"/>
  </pivotFields>
  <rowFields count="1">
    <field x="11"/>
  </rowFields>
  <rowItems count="3">
    <i>
      <x/>
    </i>
    <i>
      <x v="1"/>
    </i>
    <i t="grand">
      <x/>
    </i>
  </rowItems>
  <colFields count="1">
    <field x="6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a de CONTADOR" fld="20" baseField="0" baseItem="0"/>
  </dataFields>
  <formats count="2">
    <format dxfId="1230">
      <pivotArea dataOnly="0" labelOnly="1" fieldPosition="0">
        <references count="1">
          <reference field="6" count="0"/>
        </references>
      </pivotArea>
    </format>
    <format dxfId="1229">
      <pivotArea dataOnly="0" labelOnly="1" fieldPosition="0">
        <references count="1">
          <reference field="6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laDinámica1" cacheId="4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rowHeaderCaption="Técnico Inicial" colHeaderCaption="Cargo">
  <location ref="B8:I12" firstHeaderRow="1" firstDataRow="2" firstDataCol="1"/>
  <pivotFields count="21">
    <pivotField multipleItemSelectionAllowed="1" showAll="0"/>
    <pivotField showAll="0" defaultSubtotal="0"/>
    <pivotField showAll="0" defaultSubtotal="0"/>
    <pivotField showAll="0" defaultSubtotal="0"/>
    <pivotField showAll="0"/>
    <pivotField showAll="0"/>
    <pivotField axis="axisCol" multipleItemSelectionAllowed="1" showAll="0">
      <items count="7">
        <item x="2"/>
        <item x="1"/>
        <item x="3"/>
        <item x="0"/>
        <item x="4"/>
        <item x="5"/>
        <item t="default"/>
      </items>
    </pivotField>
    <pivotField showAll="0"/>
    <pivotField showAll="0" defaultSubtotal="0"/>
    <pivotField axis="axisRow" showAll="0" defaultSubtotal="0">
      <items count="2">
        <item x="0"/>
        <item x="1"/>
      </items>
    </pivotField>
    <pivotField showAll="0" defaultSubtotal="0"/>
    <pivotField showAll="0" defaultSubtotal="0">
      <items count="2">
        <item x="1"/>
        <item x="0"/>
      </items>
    </pivotField>
    <pivotField showAll="0" defaultSubtotal="0"/>
    <pivotField showAll="0" defaultSubtotal="0">
      <items count="1">
        <item x="0"/>
      </items>
    </pivotField>
    <pivotField showAll="0" defaultSubtotal="0"/>
    <pivotField showAll="0" defaultSubtotal="0">
      <items count="1">
        <item x="0"/>
      </items>
    </pivotField>
    <pivotField showAll="0" defaultSubtotal="0"/>
    <pivotField showAll="0" defaultSubtotal="0"/>
    <pivotField showAll="0" defaultSubtotal="0"/>
    <pivotField showAll="0" defaultSubtotal="0"/>
    <pivotField dataField="1" showAll="0" defaultSubtotal="0"/>
  </pivotFields>
  <rowFields count="1">
    <field x="9"/>
  </rowFields>
  <rowItems count="3">
    <i>
      <x/>
    </i>
    <i>
      <x v="1"/>
    </i>
    <i t="grand">
      <x/>
    </i>
  </rowItems>
  <colFields count="1">
    <field x="6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a de CONTADOR" fld="20" baseField="0" baseItem="0"/>
  </dataFields>
  <formats count="1">
    <format dxfId="1231">
      <pivotArea dataOnly="0" labelOnly="1" fieldPosition="0">
        <references count="1">
          <reference field="6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TablaDinámica4" cacheId="4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rowHeaderCaption="Técnico Premium" colHeaderCaption="Cargo">
  <location ref="B29:I32" firstHeaderRow="1" firstDataRow="2" firstDataCol="1"/>
  <pivotFields count="21">
    <pivotField multipleItemSelectionAllowed="1" showAll="0"/>
    <pivotField showAll="0" defaultSubtotal="0"/>
    <pivotField showAll="0" defaultSubtotal="0"/>
    <pivotField showAll="0" defaultSubtotal="0"/>
    <pivotField showAll="0"/>
    <pivotField showAll="0"/>
    <pivotField axis="axisCol" multipleItemSelectionAllowed="1" showAll="0">
      <items count="7">
        <item x="2"/>
        <item x="1"/>
        <item x="3"/>
        <item x="0"/>
        <item x="4"/>
        <item x="5"/>
        <item t="default"/>
      </items>
    </pivotField>
    <pivotField showAll="0"/>
    <pivotField showAll="0" defaultSubtotal="0"/>
    <pivotField showAll="0" defaultSubtotal="0">
      <items count="2">
        <item x="0"/>
        <item x="1"/>
      </items>
    </pivotField>
    <pivotField showAll="0" defaultSubtotal="0"/>
    <pivotField showAll="0" defaultSubtotal="0">
      <items count="2">
        <item x="1"/>
        <item x="0"/>
      </items>
    </pivotField>
    <pivotField showAll="0" defaultSubtotal="0"/>
    <pivotField showAll="0" defaultSubtotal="0">
      <items count="1">
        <item x="0"/>
      </items>
    </pivotField>
    <pivotField showAll="0" defaultSubtotal="0"/>
    <pivotField axis="axisRow" showAll="0" defaultSubtotal="0">
      <items count="1">
        <item x="0"/>
      </items>
    </pivotField>
    <pivotField showAll="0" defaultSubtotal="0"/>
    <pivotField showAll="0" defaultSubtotal="0"/>
    <pivotField showAll="0" defaultSubtotal="0"/>
    <pivotField showAll="0" defaultSubtotal="0"/>
    <pivotField dataField="1" showAll="0" defaultSubtotal="0"/>
  </pivotFields>
  <rowFields count="1">
    <field x="15"/>
  </rowFields>
  <rowItems count="2">
    <i>
      <x/>
    </i>
    <i t="grand">
      <x/>
    </i>
  </rowItems>
  <colFields count="1">
    <field x="6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a de CONTADOR" fld="20" baseField="0" baseItem="0"/>
  </dataFields>
  <formats count="2">
    <format dxfId="1233">
      <pivotArea dataOnly="0" labelOnly="1" fieldPosition="0">
        <references count="1">
          <reference field="6" count="0"/>
        </references>
      </pivotArea>
    </format>
    <format dxfId="1232">
      <pivotArea dataOnly="0" labelOnly="1" fieldPosition="0">
        <references count="1">
          <reference field="6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TablaDinámica3" cacheId="4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rowHeaderCaption="Técnico Integral" colHeaderCaption="Cargo">
  <location ref="B22:I25" firstHeaderRow="1" firstDataRow="2" firstDataCol="1"/>
  <pivotFields count="21">
    <pivotField multipleItemSelectionAllowed="1" showAll="0"/>
    <pivotField showAll="0" defaultSubtotal="0"/>
    <pivotField showAll="0" defaultSubtotal="0"/>
    <pivotField showAll="0" defaultSubtotal="0"/>
    <pivotField showAll="0"/>
    <pivotField showAll="0"/>
    <pivotField axis="axisCol" multipleItemSelectionAllowed="1" showAll="0">
      <items count="7">
        <item x="2"/>
        <item x="1"/>
        <item x="3"/>
        <item x="0"/>
        <item x="4"/>
        <item x="5"/>
        <item t="default"/>
      </items>
    </pivotField>
    <pivotField showAll="0"/>
    <pivotField showAll="0" defaultSubtotal="0"/>
    <pivotField showAll="0" defaultSubtotal="0">
      <items count="2">
        <item x="0"/>
        <item x="1"/>
      </items>
    </pivotField>
    <pivotField showAll="0" defaultSubtotal="0"/>
    <pivotField showAll="0" defaultSubtotal="0">
      <items count="2">
        <item x="1"/>
        <item x="0"/>
      </items>
    </pivotField>
    <pivotField showAll="0" defaultSubtotal="0"/>
    <pivotField axis="axisRow" showAll="0" defaultSubtotal="0">
      <items count="1">
        <item x="0"/>
      </items>
    </pivotField>
    <pivotField showAll="0" defaultSubtotal="0"/>
    <pivotField showAll="0" defaultSubtotal="0">
      <items count="1">
        <item x="0"/>
      </items>
    </pivotField>
    <pivotField showAll="0" defaultSubtotal="0"/>
    <pivotField showAll="0" defaultSubtotal="0"/>
    <pivotField showAll="0" defaultSubtotal="0"/>
    <pivotField showAll="0" defaultSubtotal="0"/>
    <pivotField dataField="1" showAll="0" defaultSubtotal="0"/>
  </pivotFields>
  <rowFields count="1">
    <field x="13"/>
  </rowFields>
  <rowItems count="2">
    <i>
      <x/>
    </i>
    <i t="grand">
      <x/>
    </i>
  </rowItems>
  <colFields count="1">
    <field x="6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a de CONTADOR" fld="20" baseField="0" baseItem="0"/>
  </dataFields>
  <formats count="2">
    <format dxfId="1235">
      <pivotArea dataOnly="0" labelOnly="1" fieldPosition="0">
        <references count="1">
          <reference field="6" count="0"/>
        </references>
      </pivotArea>
    </format>
    <format dxfId="1234">
      <pivotArea dataOnly="0" labelOnly="1" fieldPosition="0">
        <references count="1">
          <reference field="6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TablaDinámica1" cacheId="7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rowHeaderCaption="Departamento">
  <location ref="A3:A60" firstHeaderRow="1" firstDataRow="1" firstDataCol="1" rowPageCount="1" colPageCount="1"/>
  <pivotFields count="6">
    <pivotField axis="axisPage" multipleItemSelectionAllowed="1" showAll="0">
      <items count="13">
        <item h="1" x="1"/>
        <item h="1" x="8"/>
        <item h="1" x="6"/>
        <item x="0"/>
        <item h="1" x="3"/>
        <item h="1" x="2"/>
        <item h="1" x="4"/>
        <item h="1" x="7"/>
        <item h="1" x="9"/>
        <item h="1" x="5"/>
        <item h="1" x="10"/>
        <item m="1" x="11"/>
        <item t="default"/>
      </items>
    </pivotField>
    <pivotField axis="axisRow" showAll="0">
      <items count="207">
        <item x="42"/>
        <item x="33"/>
        <item x="100"/>
        <item x="179"/>
        <item x="66"/>
        <item x="59"/>
        <item x="168"/>
        <item x="127"/>
        <item x="115"/>
        <item x="10"/>
        <item x="13"/>
        <item x="94"/>
        <item m="1" x="190"/>
        <item x="152"/>
        <item x="56"/>
        <item x="125"/>
        <item x="55"/>
        <item x="24"/>
        <item x="87"/>
        <item x="180"/>
        <item x="123"/>
        <item m="1" x="192"/>
        <item x="38"/>
        <item x="79"/>
        <item x="164"/>
        <item x="40"/>
        <item x="18"/>
        <item x="133"/>
        <item x="71"/>
        <item x="84"/>
        <item x="160"/>
        <item x="158"/>
        <item x="41"/>
        <item x="48"/>
        <item x="163"/>
        <item x="31"/>
        <item x="1"/>
        <item x="183"/>
        <item x="44"/>
        <item x="153"/>
        <item x="23"/>
        <item x="93"/>
        <item x="189"/>
        <item x="15"/>
        <item x="107"/>
        <item x="165"/>
        <item x="92"/>
        <item x="154"/>
        <item x="7"/>
        <item x="83"/>
        <item x="148"/>
        <item x="119"/>
        <item x="129"/>
        <item x="169"/>
        <item x="141"/>
        <item x="128"/>
        <item x="157"/>
        <item x="14"/>
        <item x="43"/>
        <item x="34"/>
        <item x="89"/>
        <item x="121"/>
        <item x="151"/>
        <item x="2"/>
        <item x="11"/>
        <item x="116"/>
        <item x="77"/>
        <item x="39"/>
        <item m="1" x="202"/>
        <item x="90"/>
        <item x="182"/>
        <item x="170"/>
        <item x="186"/>
        <item x="131"/>
        <item x="173"/>
        <item x="26"/>
        <item x="185"/>
        <item x="102"/>
        <item x="108"/>
        <item m="1" x="205"/>
        <item x="54"/>
        <item x="76"/>
        <item x="29"/>
        <item x="69"/>
        <item x="105"/>
        <item m="1" x="201"/>
        <item x="106"/>
        <item x="132"/>
        <item x="28"/>
        <item x="62"/>
        <item x="0"/>
        <item x="30"/>
        <item x="65"/>
        <item x="146"/>
        <item x="97"/>
        <item x="167"/>
        <item m="1" x="203"/>
        <item m="1" x="194"/>
        <item x="12"/>
        <item x="16"/>
        <item x="126"/>
        <item x="110"/>
        <item m="1" x="199"/>
        <item x="3"/>
        <item x="45"/>
        <item x="60"/>
        <item x="6"/>
        <item x="172"/>
        <item x="46"/>
        <item x="63"/>
        <item m="1" x="196"/>
        <item x="161"/>
        <item x="67"/>
        <item x="184"/>
        <item x="159"/>
        <item x="122"/>
        <item x="27"/>
        <item x="75"/>
        <item x="118"/>
        <item x="117"/>
        <item x="17"/>
        <item x="53"/>
        <item x="85"/>
        <item x="111"/>
        <item x="162"/>
        <item x="78"/>
        <item x="143"/>
        <item m="1" x="204"/>
        <item x="171"/>
        <item x="124"/>
        <item x="74"/>
        <item x="81"/>
        <item x="155"/>
        <item x="64"/>
        <item x="147"/>
        <item x="91"/>
        <item x="99"/>
        <item x="166"/>
        <item x="32"/>
        <item x="52"/>
        <item x="70"/>
        <item x="96"/>
        <item x="88"/>
        <item x="37"/>
        <item x="51"/>
        <item x="181"/>
        <item x="5"/>
        <item x="145"/>
        <item x="113"/>
        <item x="109"/>
        <item x="73"/>
        <item x="68"/>
        <item x="82"/>
        <item x="104"/>
        <item x="98"/>
        <item x="144"/>
        <item m="1" x="191"/>
        <item x="36"/>
        <item x="188"/>
        <item m="1" x="195"/>
        <item x="150"/>
        <item x="149"/>
        <item x="50"/>
        <item m="1" x="193"/>
        <item x="80"/>
        <item x="61"/>
        <item x="103"/>
        <item x="9"/>
        <item x="142"/>
        <item x="49"/>
        <item x="4"/>
        <item x="114"/>
        <item x="72"/>
        <item x="58"/>
        <item x="47"/>
        <item m="1" x="198"/>
        <item x="130"/>
        <item x="101"/>
        <item x="35"/>
        <item x="57"/>
        <item x="120"/>
        <item x="187"/>
        <item m="1" x="200"/>
        <item x="25"/>
        <item m="1" x="197"/>
        <item x="95"/>
        <item x="140"/>
        <item x="112"/>
        <item x="86"/>
        <item x="156"/>
        <item x="8"/>
        <item x="174"/>
        <item x="175"/>
        <item x="176"/>
        <item x="177"/>
        <item x="178"/>
        <item x="19"/>
        <item x="20"/>
        <item x="21"/>
        <item x="22"/>
        <item x="134"/>
        <item x="135"/>
        <item x="136"/>
        <item x="137"/>
        <item x="138"/>
        <item x="139"/>
        <item t="default"/>
      </items>
    </pivotField>
    <pivotField showAll="0"/>
    <pivotField axis="axisRow" showAll="0">
      <items count="16">
        <item x="1"/>
        <item x="4"/>
        <item x="0"/>
        <item m="1" x="14"/>
        <item x="6"/>
        <item x="7"/>
        <item x="8"/>
        <item x="9"/>
        <item x="10"/>
        <item x="11"/>
        <item x="12"/>
        <item x="13"/>
        <item x="2"/>
        <item x="3"/>
        <item x="5"/>
        <item t="default"/>
      </items>
    </pivotField>
    <pivotField showAll="0" defaultSubtotal="0"/>
    <pivotField showAll="0" defaultSubtotal="0"/>
  </pivotFields>
  <rowFields count="2">
    <field x="3"/>
    <field x="1"/>
  </rowFields>
  <rowItems count="57">
    <i>
      <x/>
    </i>
    <i r="1">
      <x/>
    </i>
    <i r="1">
      <x v="1"/>
    </i>
    <i r="1">
      <x v="32"/>
    </i>
    <i r="1">
      <x v="33"/>
    </i>
    <i r="1">
      <x v="35"/>
    </i>
    <i r="1">
      <x v="48"/>
    </i>
    <i r="1">
      <x v="59"/>
    </i>
    <i r="1">
      <x v="67"/>
    </i>
    <i r="1">
      <x v="104"/>
    </i>
    <i r="1">
      <x v="106"/>
    </i>
    <i r="1">
      <x v="108"/>
    </i>
    <i r="1">
      <x v="143"/>
    </i>
    <i r="1">
      <x v="146"/>
    </i>
    <i r="1">
      <x v="170"/>
    </i>
    <i r="1">
      <x v="190"/>
    </i>
    <i>
      <x v="2"/>
    </i>
    <i r="1">
      <x v="19"/>
    </i>
    <i r="1">
      <x v="22"/>
    </i>
    <i r="1">
      <x v="25"/>
    </i>
    <i r="1">
      <x v="36"/>
    </i>
    <i r="1">
      <x v="37"/>
    </i>
    <i r="1">
      <x v="38"/>
    </i>
    <i r="1">
      <x v="42"/>
    </i>
    <i r="1">
      <x v="58"/>
    </i>
    <i r="1">
      <x v="63"/>
    </i>
    <i r="1">
      <x v="70"/>
    </i>
    <i r="1">
      <x v="72"/>
    </i>
    <i r="1">
      <x v="76"/>
    </i>
    <i r="1">
      <x v="90"/>
    </i>
    <i r="1">
      <x v="91"/>
    </i>
    <i r="1">
      <x v="103"/>
    </i>
    <i r="1">
      <x v="113"/>
    </i>
    <i r="1">
      <x v="138"/>
    </i>
    <i r="1">
      <x v="145"/>
    </i>
    <i r="1">
      <x v="157"/>
    </i>
    <i r="1">
      <x v="158"/>
    </i>
    <i r="1">
      <x v="174"/>
    </i>
    <i r="1">
      <x v="178"/>
    </i>
    <i r="1">
      <x v="181"/>
    </i>
    <i>
      <x v="7"/>
    </i>
    <i r="1">
      <x v="152"/>
    </i>
    <i>
      <x v="8"/>
    </i>
    <i r="1">
      <x v="71"/>
    </i>
    <i r="1">
      <x v="74"/>
    </i>
    <i r="1">
      <x v="107"/>
    </i>
    <i r="1">
      <x v="128"/>
    </i>
    <i>
      <x v="9"/>
    </i>
    <i r="1">
      <x v="191"/>
    </i>
    <i r="1">
      <x v="194"/>
    </i>
    <i>
      <x v="10"/>
    </i>
    <i r="1">
      <x v="3"/>
    </i>
    <i r="1">
      <x v="192"/>
    </i>
    <i r="1">
      <x v="195"/>
    </i>
    <i>
      <x v="11"/>
    </i>
    <i r="1">
      <x v="193"/>
    </i>
    <i t="grand">
      <x/>
    </i>
  </rowItems>
  <colItems count="1">
    <i/>
  </colItems>
  <pageFields count="1">
    <pageField fld="0" hier="-1"/>
  </pageFields>
  <formats count="4">
    <format dxfId="1207">
      <pivotArea dataOnly="0" labelOnly="1" grandCol="1" outline="0" fieldPosition="0"/>
    </format>
    <format dxfId="1206">
      <pivotArea dataOnly="0" labelOnly="1" grandCol="1" outline="0" fieldPosition="0"/>
    </format>
    <format dxfId="1205">
      <pivotArea outline="0" collapsedLevelsAreSubtotals="1" fieldPosition="0"/>
    </format>
    <format dxfId="120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TablaDinámica4" cacheId="5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T19:AA23" firstHeaderRow="1" firstDataRow="2" firstDataCol="1"/>
  <pivotFields count="19">
    <pivotField showAll="0"/>
    <pivotField showAll="0"/>
    <pivotField showAll="0"/>
    <pivotField showAll="0"/>
    <pivotField showAll="0"/>
    <pivotField axis="axisCol" showAll="0">
      <items count="7">
        <item x="2"/>
        <item x="1"/>
        <item x="4"/>
        <item x="3"/>
        <item x="0"/>
        <item x="5"/>
        <item t="default"/>
      </items>
    </pivotField>
    <pivotField showAll="0"/>
    <pivotField showAll="0"/>
    <pivotField showAll="0">
      <items count="4">
        <item sd="0" x="0"/>
        <item sd="0" m="1" x="2"/>
        <item x="1"/>
        <item t="default" sd="0"/>
      </items>
    </pivotField>
    <pivotField showAll="0"/>
    <pivotField axis="axisRow" dataField="1" showAll="0">
      <items count="4">
        <item sd="0" x="1"/>
        <item m="1" x="2"/>
        <item sd="0" x="0"/>
        <item t="default"/>
      </items>
    </pivotField>
    <pivotField axis="axisRow" showAll="0">
      <items count="6">
        <item x="0"/>
        <item x="3"/>
        <item x="4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2">
    <field x="10"/>
    <field x="11"/>
  </rowFields>
  <rowItems count="3">
    <i>
      <x/>
    </i>
    <i>
      <x v="2"/>
    </i>
    <i t="grand">
      <x/>
    </i>
  </rowItems>
  <colFields count="1">
    <field x="5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uenta de CERTIFICACION TECNICO BASICO" fld="10" subtotal="count" baseField="0" baseItem="0"/>
  </dataFields>
  <formats count="1">
    <format dxfId="1202">
      <pivotArea field="8" type="button" dataOnly="0" labelOnly="1" outline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TablaDinámica3" cacheId="5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T12:AA17" firstHeaderRow="1" firstDataRow="2" firstDataCol="1"/>
  <pivotFields count="19">
    <pivotField showAll="0"/>
    <pivotField showAll="0"/>
    <pivotField showAll="0"/>
    <pivotField showAll="0"/>
    <pivotField showAll="0"/>
    <pivotField axis="axisCol" showAll="0">
      <items count="7">
        <item x="2"/>
        <item x="1"/>
        <item x="4"/>
        <item x="3"/>
        <item x="0"/>
        <item x="5"/>
        <item t="default"/>
      </items>
    </pivotField>
    <pivotField showAll="0"/>
    <pivotField showAll="0"/>
    <pivotField axis="axisRow" dataField="1" showAll="0">
      <items count="4">
        <item sd="0" x="0"/>
        <item sd="0" m="1" x="2"/>
        <item x="1"/>
        <item t="default" sd="0"/>
      </items>
    </pivotField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8"/>
    <field x="9"/>
  </rowFields>
  <rowItems count="4">
    <i>
      <x/>
    </i>
    <i>
      <x v="2"/>
    </i>
    <i r="1">
      <x v="1"/>
    </i>
    <i t="grand">
      <x/>
    </i>
  </rowItems>
  <colFields count="1">
    <field x="5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uenta de CERTIFICACION TECNICO 1" fld="8" subtotal="count" baseField="0" baseItem="0"/>
  </dataFields>
  <formats count="1">
    <format dxfId="1203">
      <pivotArea field="8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TablaDinámica1" cacheId="5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O12:Q46" firstHeaderRow="0" firstDataRow="1" firstDataCol="1"/>
  <pivotFields count="19">
    <pivotField showAll="0"/>
    <pivotField showAll="0"/>
    <pivotField showAll="0"/>
    <pivotField showAll="0"/>
    <pivotField showAll="0"/>
    <pivotField axis="axisRow" showAll="0">
      <items count="7">
        <item x="2"/>
        <item x="1"/>
        <item x="4"/>
        <item x="3"/>
        <item x="0"/>
        <item x="5"/>
        <item t="default"/>
      </items>
    </pivotField>
    <pivotField showAll="0"/>
    <pivotField showAll="0"/>
    <pivotField axis="axisRow" showAll="0">
      <items count="4">
        <item x="0"/>
        <item m="1" x="2"/>
        <item x="1"/>
        <item t="default"/>
      </items>
    </pivotField>
    <pivotField dataField="1" showAll="0"/>
    <pivotField axis="axisRow" showAll="0">
      <items count="4">
        <item x="1"/>
        <item m="1" x="2"/>
        <item x="0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5"/>
    <field x="8"/>
    <field x="10"/>
  </rowFields>
  <rowItems count="34">
    <i>
      <x/>
    </i>
    <i r="1">
      <x v="2"/>
    </i>
    <i r="2">
      <x/>
    </i>
    <i r="2">
      <x v="2"/>
    </i>
    <i>
      <x v="1"/>
    </i>
    <i r="1">
      <x/>
    </i>
    <i r="2">
      <x/>
    </i>
    <i r="2">
      <x v="2"/>
    </i>
    <i r="1">
      <x v="2"/>
    </i>
    <i r="2">
      <x/>
    </i>
    <i r="2">
      <x v="2"/>
    </i>
    <i>
      <x v="2"/>
    </i>
    <i r="1">
      <x/>
    </i>
    <i r="2">
      <x/>
    </i>
    <i r="1">
      <x v="2"/>
    </i>
    <i r="2">
      <x/>
    </i>
    <i r="2">
      <x v="2"/>
    </i>
    <i>
      <x v="3"/>
    </i>
    <i r="1">
      <x/>
    </i>
    <i r="2">
      <x/>
    </i>
    <i r="1">
      <x v="2"/>
    </i>
    <i r="2">
      <x/>
    </i>
    <i r="2">
      <x v="2"/>
    </i>
    <i>
      <x v="4"/>
    </i>
    <i r="1">
      <x/>
    </i>
    <i r="2">
      <x/>
    </i>
    <i r="2">
      <x v="2"/>
    </i>
    <i r="1">
      <x v="2"/>
    </i>
    <i r="2">
      <x/>
    </i>
    <i r="2">
      <x v="2"/>
    </i>
    <i>
      <x v="5"/>
    </i>
    <i r="1">
      <x v="2"/>
    </i>
    <i r="2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uenta de FECHA TECNICO 1" fld="9" subtotal="count" baseField="0" baseItem="0"/>
    <dataField name="Cuenta de FECHA TECNICO BASICO" fld="1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TablaDinámica1" cacheId="6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6" rowHeaderCaption="Técnico Básico" colHeaderCaption="">
  <location ref="A3:M80" firstHeaderRow="1" firstDataRow="2" firstDataCol="1"/>
  <pivotFields count="21">
    <pivotField axis="axisRow" showAll="0">
      <items count="17">
        <item x="0"/>
        <item x="1"/>
        <item x="2"/>
        <item x="3"/>
        <item x="5"/>
        <item x="6"/>
        <item x="7"/>
        <item x="9"/>
        <item x="11"/>
        <item x="12"/>
        <item x="13"/>
        <item x="4"/>
        <item x="8"/>
        <item x="10"/>
        <item m="1" x="14"/>
        <item m="1" x="15"/>
        <item t="default"/>
      </items>
    </pivotField>
    <pivotField showAll="0" defaultSubtotal="0"/>
    <pivotField showAll="0" defaultSubtotal="0"/>
    <pivotField showAll="0" defaultSubtotal="0"/>
    <pivotField showAll="0"/>
    <pivotField showAll="0"/>
    <pivotField axis="axisRow" showAll="0">
      <items count="30">
        <item x="2"/>
        <item m="1" x="22"/>
        <item x="1"/>
        <item m="1" x="15"/>
        <item m="1" x="19"/>
        <item m="1" x="11"/>
        <item m="1" x="27"/>
        <item m="1" x="17"/>
        <item m="1" x="18"/>
        <item x="3"/>
        <item m="1" x="14"/>
        <item m="1" x="24"/>
        <item m="1" x="25"/>
        <item m="1" x="10"/>
        <item x="0"/>
        <item m="1" x="20"/>
        <item m="1" x="12"/>
        <item m="1" x="26"/>
        <item m="1" x="6"/>
        <item m="1" x="8"/>
        <item m="1" x="21"/>
        <item m="1" x="16"/>
        <item m="1" x="9"/>
        <item m="1" x="13"/>
        <item m="1" x="28"/>
        <item m="1" x="7"/>
        <item m="1" x="23"/>
        <item x="4"/>
        <item x="5"/>
        <item t="default"/>
      </items>
    </pivotField>
    <pivotField axis="axisCol" showAll="0">
      <items count="14">
        <item x="1"/>
        <item x="7"/>
        <item m="1" x="12"/>
        <item x="6"/>
        <item x="2"/>
        <item n="NVOS PROY." x="8"/>
        <item x="0"/>
        <item m="1" x="11"/>
        <item x="3"/>
        <item x="4"/>
        <item x="5"/>
        <item x="9"/>
        <item x="10"/>
        <item t="default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2">
    <field x="0"/>
    <field x="6"/>
  </rowFields>
  <rowItems count="76">
    <i>
      <x/>
    </i>
    <i r="1">
      <x/>
    </i>
    <i r="1">
      <x v="2"/>
    </i>
    <i r="1">
      <x v="9"/>
    </i>
    <i r="1">
      <x v="14"/>
    </i>
    <i r="1">
      <x v="27"/>
    </i>
    <i>
      <x v="1"/>
    </i>
    <i r="1">
      <x v="2"/>
    </i>
    <i r="1">
      <x v="9"/>
    </i>
    <i r="1">
      <x v="14"/>
    </i>
    <i>
      <x v="2"/>
    </i>
    <i r="1">
      <x/>
    </i>
    <i r="1">
      <x v="2"/>
    </i>
    <i r="1">
      <x v="9"/>
    </i>
    <i r="1">
      <x v="14"/>
    </i>
    <i r="1">
      <x v="27"/>
    </i>
    <i>
      <x v="3"/>
    </i>
    <i r="1">
      <x/>
    </i>
    <i r="1">
      <x v="2"/>
    </i>
    <i r="1">
      <x v="9"/>
    </i>
    <i r="1">
      <x v="14"/>
    </i>
    <i r="1">
      <x v="27"/>
    </i>
    <i>
      <x v="4"/>
    </i>
    <i r="1">
      <x/>
    </i>
    <i r="1">
      <x v="2"/>
    </i>
    <i r="1">
      <x v="9"/>
    </i>
    <i r="1">
      <x v="14"/>
    </i>
    <i r="1">
      <x v="27"/>
    </i>
    <i r="1">
      <x v="28"/>
    </i>
    <i>
      <x v="5"/>
    </i>
    <i r="1">
      <x/>
    </i>
    <i r="1">
      <x v="2"/>
    </i>
    <i r="1">
      <x v="9"/>
    </i>
    <i r="1">
      <x v="14"/>
    </i>
    <i r="1">
      <x v="27"/>
    </i>
    <i>
      <x v="6"/>
    </i>
    <i r="1">
      <x/>
    </i>
    <i r="1">
      <x v="2"/>
    </i>
    <i r="1">
      <x v="9"/>
    </i>
    <i r="1">
      <x v="14"/>
    </i>
    <i r="1">
      <x v="27"/>
    </i>
    <i>
      <x v="7"/>
    </i>
    <i r="1">
      <x/>
    </i>
    <i r="1">
      <x v="2"/>
    </i>
    <i r="1">
      <x v="9"/>
    </i>
    <i r="1">
      <x v="14"/>
    </i>
    <i r="1">
      <x v="27"/>
    </i>
    <i>
      <x v="8"/>
    </i>
    <i r="1">
      <x v="2"/>
    </i>
    <i r="1">
      <x v="14"/>
    </i>
    <i>
      <x v="9"/>
    </i>
    <i r="1">
      <x/>
    </i>
    <i r="1">
      <x v="2"/>
    </i>
    <i r="1">
      <x v="9"/>
    </i>
    <i r="1">
      <x v="14"/>
    </i>
    <i r="1">
      <x v="27"/>
    </i>
    <i>
      <x v="10"/>
    </i>
    <i r="1">
      <x/>
    </i>
    <i r="1">
      <x v="2"/>
    </i>
    <i r="1">
      <x v="9"/>
    </i>
    <i r="1">
      <x v="14"/>
    </i>
    <i r="1">
      <x v="27"/>
    </i>
    <i>
      <x v="11"/>
    </i>
    <i r="1">
      <x/>
    </i>
    <i r="1">
      <x v="2"/>
    </i>
    <i r="1">
      <x v="9"/>
    </i>
    <i r="1">
      <x v="14"/>
    </i>
    <i r="1">
      <x v="27"/>
    </i>
    <i>
      <x v="12"/>
    </i>
    <i r="1">
      <x v="2"/>
    </i>
    <i r="1">
      <x v="14"/>
    </i>
    <i>
      <x v="13"/>
    </i>
    <i r="1">
      <x v="2"/>
    </i>
    <i r="1">
      <x v="9"/>
    </i>
    <i r="1">
      <x v="14"/>
    </i>
    <i t="grand">
      <x/>
    </i>
  </rowItems>
  <colFields count="1">
    <field x="7"/>
  </colFields>
  <colItems count="12">
    <i>
      <x/>
    </i>
    <i>
      <x v="1"/>
    </i>
    <i>
      <x v="3"/>
    </i>
    <i>
      <x v="4"/>
    </i>
    <i>
      <x v="5"/>
    </i>
    <i>
      <x v="6"/>
    </i>
    <i>
      <x v="8"/>
    </i>
    <i>
      <x v="9"/>
    </i>
    <i>
      <x v="10"/>
    </i>
    <i>
      <x v="11"/>
    </i>
    <i>
      <x v="12"/>
    </i>
    <i t="grand">
      <x/>
    </i>
  </colItems>
  <formats count="235">
    <format dxfId="1192">
      <pivotArea type="origin" dataOnly="0" labelOnly="1" outline="0" fieldPosition="0"/>
    </format>
    <format dxfId="1191">
      <pivotArea field="7" type="button" dataOnly="0" labelOnly="1" outline="0" axis="axisCol" fieldPosition="0"/>
    </format>
    <format dxfId="1190">
      <pivotArea type="origin" dataOnly="0" labelOnly="1" outline="0" fieldPosition="0"/>
    </format>
    <format dxfId="1189">
      <pivotArea field="7" type="button" dataOnly="0" labelOnly="1" outline="0" axis="axisCol" fieldPosition="0"/>
    </format>
    <format dxfId="1188">
      <pivotArea field="0" type="button" dataOnly="0" labelOnly="1" outline="0" axis="axisRow" fieldPosition="0"/>
    </format>
    <format dxfId="1187">
      <pivotArea field="0" type="button" dataOnly="0" labelOnly="1" outline="0" axis="axisRow" fieldPosition="0"/>
    </format>
    <format dxfId="1186">
      <pivotArea grandRow="1" outline="0" collapsedLevelsAreSubtotals="1" fieldPosition="0"/>
    </format>
    <format dxfId="1185">
      <pivotArea collapsedLevelsAreSubtotals="1" fieldPosition="0">
        <references count="1">
          <reference field="0" count="0"/>
        </references>
      </pivotArea>
    </format>
    <format dxfId="1184">
      <pivotArea collapsedLevelsAreSubtotals="1" fieldPosition="0">
        <references count="1">
          <reference field="0" count="0"/>
        </references>
      </pivotArea>
    </format>
    <format dxfId="1183">
      <pivotArea collapsedLevelsAreSubtotals="1" fieldPosition="0">
        <references count="1">
          <reference field="0" count="1">
            <x v="0"/>
          </reference>
        </references>
      </pivotArea>
    </format>
    <format dxfId="1182">
      <pivotArea collapsedLevelsAreSubtotals="1" fieldPosition="0">
        <references count="2">
          <reference field="0" count="1" selected="0">
            <x v="0"/>
          </reference>
          <reference field="6" count="4">
            <x v="3"/>
            <x v="4"/>
            <x v="17"/>
            <x v="18"/>
          </reference>
        </references>
      </pivotArea>
    </format>
    <format dxfId="1181">
      <pivotArea collapsedLevelsAreSubtotals="1" fieldPosition="0">
        <references count="1">
          <reference field="0" count="1">
            <x v="1"/>
          </reference>
        </references>
      </pivotArea>
    </format>
    <format dxfId="1180">
      <pivotArea collapsedLevelsAreSubtotals="1" fieldPosition="0">
        <references count="2">
          <reference field="0" count="1" selected="0">
            <x v="1"/>
          </reference>
          <reference field="6" count="3">
            <x v="3"/>
            <x v="9"/>
            <x v="17"/>
          </reference>
        </references>
      </pivotArea>
    </format>
    <format dxfId="1179">
      <pivotArea collapsedLevelsAreSubtotals="1" fieldPosition="0">
        <references count="1">
          <reference field="0" count="1">
            <x v="2"/>
          </reference>
        </references>
      </pivotArea>
    </format>
    <format dxfId="1178">
      <pivotArea collapsedLevelsAreSubtotals="1" fieldPosition="0">
        <references count="2">
          <reference field="0" count="1" selected="0">
            <x v="2"/>
          </reference>
          <reference field="6" count="2">
            <x v="3"/>
            <x v="17"/>
          </reference>
        </references>
      </pivotArea>
    </format>
    <format dxfId="1177">
      <pivotArea collapsedLevelsAreSubtotals="1" fieldPosition="0">
        <references count="1">
          <reference field="0" count="1">
            <x v="3"/>
          </reference>
        </references>
      </pivotArea>
    </format>
    <format dxfId="1176">
      <pivotArea collapsedLevelsAreSubtotals="1" fieldPosition="0">
        <references count="2">
          <reference field="0" count="1" selected="0">
            <x v="3"/>
          </reference>
          <reference field="6" count="7">
            <x v="3"/>
            <x v="4"/>
            <x v="7"/>
            <x v="9"/>
            <x v="17"/>
            <x v="18"/>
            <x v="21"/>
          </reference>
        </references>
      </pivotArea>
    </format>
    <format dxfId="1175">
      <pivotArea collapsedLevelsAreSubtotals="1" fieldPosition="0">
        <references count="1">
          <reference field="0" count="1">
            <x v="4"/>
          </reference>
        </references>
      </pivotArea>
    </format>
    <format dxfId="1174">
      <pivotArea collapsedLevelsAreSubtotals="1" fieldPosition="0">
        <references count="2">
          <reference field="0" count="1" selected="0">
            <x v="4"/>
          </reference>
          <reference field="6" count="4">
            <x v="3"/>
            <x v="4"/>
            <x v="17"/>
            <x v="18"/>
          </reference>
        </references>
      </pivotArea>
    </format>
    <format dxfId="1173">
      <pivotArea collapsedLevelsAreSubtotals="1" fieldPosition="0">
        <references count="1">
          <reference field="0" count="1">
            <x v="5"/>
          </reference>
        </references>
      </pivotArea>
    </format>
    <format dxfId="1172">
      <pivotArea collapsedLevelsAreSubtotals="1" fieldPosition="0">
        <references count="2">
          <reference field="0" count="1" selected="0">
            <x v="5"/>
          </reference>
          <reference field="6" count="5">
            <x v="3"/>
            <x v="4"/>
            <x v="9"/>
            <x v="17"/>
            <x v="18"/>
          </reference>
        </references>
      </pivotArea>
    </format>
    <format dxfId="1171">
      <pivotArea collapsedLevelsAreSubtotals="1" fieldPosition="0">
        <references count="1">
          <reference field="0" count="1">
            <x v="6"/>
          </reference>
        </references>
      </pivotArea>
    </format>
    <format dxfId="1170">
      <pivotArea collapsedLevelsAreSubtotals="1" fieldPosition="0">
        <references count="2">
          <reference field="0" count="1" selected="0">
            <x v="6"/>
          </reference>
          <reference field="6" count="5">
            <x v="3"/>
            <x v="4"/>
            <x v="9"/>
            <x v="17"/>
            <x v="18"/>
          </reference>
        </references>
      </pivotArea>
    </format>
    <format dxfId="1169">
      <pivotArea collapsedLevelsAreSubtotals="1" fieldPosition="0">
        <references count="1">
          <reference field="0" count="1">
            <x v="7"/>
          </reference>
        </references>
      </pivotArea>
    </format>
    <format dxfId="1168">
      <pivotArea collapsedLevelsAreSubtotals="1" fieldPosition="0">
        <references count="2">
          <reference field="0" count="1" selected="0">
            <x v="7"/>
          </reference>
          <reference field="6" count="5">
            <x v="3"/>
            <x v="4"/>
            <x v="9"/>
            <x v="17"/>
            <x v="18"/>
          </reference>
        </references>
      </pivotArea>
    </format>
    <format dxfId="1167">
      <pivotArea collapsedLevelsAreSubtotals="1" fieldPosition="0">
        <references count="1">
          <reference field="0" count="1">
            <x v="8"/>
          </reference>
        </references>
      </pivotArea>
    </format>
    <format dxfId="1166">
      <pivotArea collapsedLevelsAreSubtotals="1" fieldPosition="0">
        <references count="2">
          <reference field="0" count="1" selected="0">
            <x v="8"/>
          </reference>
          <reference field="6" count="3">
            <x v="3"/>
            <x v="4"/>
            <x v="18"/>
          </reference>
        </references>
      </pivotArea>
    </format>
    <format dxfId="1165">
      <pivotArea collapsedLevelsAreSubtotals="1" fieldPosition="0">
        <references count="1">
          <reference field="0" count="1">
            <x v="9"/>
          </reference>
        </references>
      </pivotArea>
    </format>
    <format dxfId="1164">
      <pivotArea collapsedLevelsAreSubtotals="1" fieldPosition="0">
        <references count="2">
          <reference field="0" count="1" selected="0">
            <x v="9"/>
          </reference>
          <reference field="6" count="5">
            <x v="3"/>
            <x v="4"/>
            <x v="9"/>
            <x v="17"/>
            <x v="18"/>
          </reference>
        </references>
      </pivotArea>
    </format>
    <format dxfId="1163">
      <pivotArea collapsedLevelsAreSubtotals="1" fieldPosition="0">
        <references count="1">
          <reference field="0" count="1">
            <x v="10"/>
          </reference>
        </references>
      </pivotArea>
    </format>
    <format dxfId="1162">
      <pivotArea collapsedLevelsAreSubtotals="1" fieldPosition="0">
        <references count="2">
          <reference field="0" count="1" selected="0">
            <x v="10"/>
          </reference>
          <reference field="6" count="6">
            <x v="3"/>
            <x v="4"/>
            <x v="6"/>
            <x v="9"/>
            <x v="17"/>
            <x v="18"/>
          </reference>
        </references>
      </pivotArea>
    </format>
    <format dxfId="1161">
      <pivotArea collapsedLevelsAreSubtotals="1" fieldPosition="0">
        <references count="1">
          <reference field="0" count="1">
            <x v="11"/>
          </reference>
        </references>
      </pivotArea>
    </format>
    <format dxfId="1160">
      <pivotArea collapsedLevelsAreSubtotals="1" fieldPosition="0">
        <references count="2">
          <reference field="0" count="1" selected="0">
            <x v="11"/>
          </reference>
          <reference field="6" count="4">
            <x v="3"/>
            <x v="4"/>
            <x v="9"/>
            <x v="17"/>
          </reference>
        </references>
      </pivotArea>
    </format>
    <format dxfId="1159">
      <pivotArea collapsedLevelsAreSubtotals="1" fieldPosition="0">
        <references count="1">
          <reference field="0" count="1">
            <x v="0"/>
          </reference>
        </references>
      </pivotArea>
    </format>
    <format dxfId="1158">
      <pivotArea collapsedLevelsAreSubtotals="1" fieldPosition="0">
        <references count="2">
          <reference field="0" count="1" selected="0">
            <x v="0"/>
          </reference>
          <reference field="6" count="4">
            <x v="3"/>
            <x v="4"/>
            <x v="17"/>
            <x v="18"/>
          </reference>
        </references>
      </pivotArea>
    </format>
    <format dxfId="1157">
      <pivotArea collapsedLevelsAreSubtotals="1" fieldPosition="0">
        <references count="1">
          <reference field="0" count="1">
            <x v="1"/>
          </reference>
        </references>
      </pivotArea>
    </format>
    <format dxfId="1156">
      <pivotArea collapsedLevelsAreSubtotals="1" fieldPosition="0">
        <references count="2">
          <reference field="0" count="1" selected="0">
            <x v="1"/>
          </reference>
          <reference field="6" count="3">
            <x v="3"/>
            <x v="9"/>
            <x v="17"/>
          </reference>
        </references>
      </pivotArea>
    </format>
    <format dxfId="1155">
      <pivotArea collapsedLevelsAreSubtotals="1" fieldPosition="0">
        <references count="1">
          <reference field="0" count="1">
            <x v="2"/>
          </reference>
        </references>
      </pivotArea>
    </format>
    <format dxfId="1154">
      <pivotArea collapsedLevelsAreSubtotals="1" fieldPosition="0">
        <references count="2">
          <reference field="0" count="1" selected="0">
            <x v="2"/>
          </reference>
          <reference field="6" count="2">
            <x v="3"/>
            <x v="17"/>
          </reference>
        </references>
      </pivotArea>
    </format>
    <format dxfId="1153">
      <pivotArea collapsedLevelsAreSubtotals="1" fieldPosition="0">
        <references count="1">
          <reference field="0" count="1">
            <x v="3"/>
          </reference>
        </references>
      </pivotArea>
    </format>
    <format dxfId="1152">
      <pivotArea collapsedLevelsAreSubtotals="1" fieldPosition="0">
        <references count="2">
          <reference field="0" count="1" selected="0">
            <x v="3"/>
          </reference>
          <reference field="6" count="7">
            <x v="3"/>
            <x v="4"/>
            <x v="7"/>
            <x v="9"/>
            <x v="17"/>
            <x v="18"/>
            <x v="21"/>
          </reference>
        </references>
      </pivotArea>
    </format>
    <format dxfId="1151">
      <pivotArea collapsedLevelsAreSubtotals="1" fieldPosition="0">
        <references count="1">
          <reference field="0" count="1">
            <x v="4"/>
          </reference>
        </references>
      </pivotArea>
    </format>
    <format dxfId="1150">
      <pivotArea collapsedLevelsAreSubtotals="1" fieldPosition="0">
        <references count="2">
          <reference field="0" count="1" selected="0">
            <x v="4"/>
          </reference>
          <reference field="6" count="4">
            <x v="3"/>
            <x v="4"/>
            <x v="17"/>
            <x v="18"/>
          </reference>
        </references>
      </pivotArea>
    </format>
    <format dxfId="1149">
      <pivotArea collapsedLevelsAreSubtotals="1" fieldPosition="0">
        <references count="1">
          <reference field="0" count="1">
            <x v="5"/>
          </reference>
        </references>
      </pivotArea>
    </format>
    <format dxfId="1148">
      <pivotArea collapsedLevelsAreSubtotals="1" fieldPosition="0">
        <references count="2">
          <reference field="0" count="1" selected="0">
            <x v="5"/>
          </reference>
          <reference field="6" count="5">
            <x v="3"/>
            <x v="4"/>
            <x v="9"/>
            <x v="17"/>
            <x v="18"/>
          </reference>
        </references>
      </pivotArea>
    </format>
    <format dxfId="1147">
      <pivotArea collapsedLevelsAreSubtotals="1" fieldPosition="0">
        <references count="1">
          <reference field="0" count="1">
            <x v="6"/>
          </reference>
        </references>
      </pivotArea>
    </format>
    <format dxfId="1146">
      <pivotArea collapsedLevelsAreSubtotals="1" fieldPosition="0">
        <references count="2">
          <reference field="0" count="1" selected="0">
            <x v="6"/>
          </reference>
          <reference field="6" count="5">
            <x v="3"/>
            <x v="4"/>
            <x v="9"/>
            <x v="17"/>
            <x v="18"/>
          </reference>
        </references>
      </pivotArea>
    </format>
    <format dxfId="1145">
      <pivotArea collapsedLevelsAreSubtotals="1" fieldPosition="0">
        <references count="1">
          <reference field="0" count="1">
            <x v="7"/>
          </reference>
        </references>
      </pivotArea>
    </format>
    <format dxfId="1144">
      <pivotArea collapsedLevelsAreSubtotals="1" fieldPosition="0">
        <references count="2">
          <reference field="0" count="1" selected="0">
            <x v="7"/>
          </reference>
          <reference field="6" count="5">
            <x v="3"/>
            <x v="4"/>
            <x v="9"/>
            <x v="17"/>
            <x v="18"/>
          </reference>
        </references>
      </pivotArea>
    </format>
    <format dxfId="1143">
      <pivotArea collapsedLevelsAreSubtotals="1" fieldPosition="0">
        <references count="1">
          <reference field="0" count="1">
            <x v="8"/>
          </reference>
        </references>
      </pivotArea>
    </format>
    <format dxfId="1142">
      <pivotArea collapsedLevelsAreSubtotals="1" fieldPosition="0">
        <references count="2">
          <reference field="0" count="1" selected="0">
            <x v="8"/>
          </reference>
          <reference field="6" count="3">
            <x v="3"/>
            <x v="4"/>
            <x v="18"/>
          </reference>
        </references>
      </pivotArea>
    </format>
    <format dxfId="1141">
      <pivotArea collapsedLevelsAreSubtotals="1" fieldPosition="0">
        <references count="1">
          <reference field="0" count="1">
            <x v="9"/>
          </reference>
        </references>
      </pivotArea>
    </format>
    <format dxfId="1140">
      <pivotArea collapsedLevelsAreSubtotals="1" fieldPosition="0">
        <references count="2">
          <reference field="0" count="1" selected="0">
            <x v="9"/>
          </reference>
          <reference field="6" count="5">
            <x v="3"/>
            <x v="4"/>
            <x v="9"/>
            <x v="17"/>
            <x v="18"/>
          </reference>
        </references>
      </pivotArea>
    </format>
    <format dxfId="1139">
      <pivotArea collapsedLevelsAreSubtotals="1" fieldPosition="0">
        <references count="1">
          <reference field="0" count="1">
            <x v="10"/>
          </reference>
        </references>
      </pivotArea>
    </format>
    <format dxfId="1138">
      <pivotArea collapsedLevelsAreSubtotals="1" fieldPosition="0">
        <references count="2">
          <reference field="0" count="1" selected="0">
            <x v="10"/>
          </reference>
          <reference field="6" count="6">
            <x v="3"/>
            <x v="4"/>
            <x v="6"/>
            <x v="9"/>
            <x v="17"/>
            <x v="18"/>
          </reference>
        </references>
      </pivotArea>
    </format>
    <format dxfId="1137">
      <pivotArea collapsedLevelsAreSubtotals="1" fieldPosition="0">
        <references count="1">
          <reference field="0" count="1">
            <x v="11"/>
          </reference>
        </references>
      </pivotArea>
    </format>
    <format dxfId="1136">
      <pivotArea collapsedLevelsAreSubtotals="1" fieldPosition="0">
        <references count="2">
          <reference field="0" count="1" selected="0">
            <x v="11"/>
          </reference>
          <reference field="6" count="4">
            <x v="3"/>
            <x v="4"/>
            <x v="9"/>
            <x v="17"/>
          </reference>
        </references>
      </pivotArea>
    </format>
    <format dxfId="1135">
      <pivotArea collapsedLevelsAreSubtotals="1" fieldPosition="0">
        <references count="1">
          <reference field="0" count="1">
            <x v="0"/>
          </reference>
        </references>
      </pivotArea>
    </format>
    <format dxfId="1134">
      <pivotArea collapsedLevelsAreSubtotals="1" fieldPosition="0">
        <references count="2">
          <reference field="0" count="1" selected="0">
            <x v="0"/>
          </reference>
          <reference field="6" count="4">
            <x v="3"/>
            <x v="4"/>
            <x v="17"/>
            <x v="18"/>
          </reference>
        </references>
      </pivotArea>
    </format>
    <format dxfId="1133">
      <pivotArea collapsedLevelsAreSubtotals="1" fieldPosition="0">
        <references count="1">
          <reference field="0" count="1">
            <x v="1"/>
          </reference>
        </references>
      </pivotArea>
    </format>
    <format dxfId="1132">
      <pivotArea collapsedLevelsAreSubtotals="1" fieldPosition="0">
        <references count="2">
          <reference field="0" count="1" selected="0">
            <x v="1"/>
          </reference>
          <reference field="6" count="3">
            <x v="3"/>
            <x v="9"/>
            <x v="17"/>
          </reference>
        </references>
      </pivotArea>
    </format>
    <format dxfId="1131">
      <pivotArea collapsedLevelsAreSubtotals="1" fieldPosition="0">
        <references count="1">
          <reference field="0" count="1">
            <x v="2"/>
          </reference>
        </references>
      </pivotArea>
    </format>
    <format dxfId="1130">
      <pivotArea collapsedLevelsAreSubtotals="1" fieldPosition="0">
        <references count="2">
          <reference field="0" count="1" selected="0">
            <x v="2"/>
          </reference>
          <reference field="6" count="2">
            <x v="3"/>
            <x v="17"/>
          </reference>
        </references>
      </pivotArea>
    </format>
    <format dxfId="1129">
      <pivotArea collapsedLevelsAreSubtotals="1" fieldPosition="0">
        <references count="1">
          <reference field="0" count="1">
            <x v="3"/>
          </reference>
        </references>
      </pivotArea>
    </format>
    <format dxfId="1128">
      <pivotArea collapsedLevelsAreSubtotals="1" fieldPosition="0">
        <references count="2">
          <reference field="0" count="1" selected="0">
            <x v="3"/>
          </reference>
          <reference field="6" count="7">
            <x v="3"/>
            <x v="4"/>
            <x v="7"/>
            <x v="9"/>
            <x v="17"/>
            <x v="18"/>
            <x v="21"/>
          </reference>
        </references>
      </pivotArea>
    </format>
    <format dxfId="1127">
      <pivotArea collapsedLevelsAreSubtotals="1" fieldPosition="0">
        <references count="1">
          <reference field="0" count="1">
            <x v="4"/>
          </reference>
        </references>
      </pivotArea>
    </format>
    <format dxfId="1126">
      <pivotArea collapsedLevelsAreSubtotals="1" fieldPosition="0">
        <references count="2">
          <reference field="0" count="1" selected="0">
            <x v="4"/>
          </reference>
          <reference field="6" count="4">
            <x v="3"/>
            <x v="4"/>
            <x v="17"/>
            <x v="18"/>
          </reference>
        </references>
      </pivotArea>
    </format>
    <format dxfId="1125">
      <pivotArea collapsedLevelsAreSubtotals="1" fieldPosition="0">
        <references count="1">
          <reference field="0" count="1">
            <x v="5"/>
          </reference>
        </references>
      </pivotArea>
    </format>
    <format dxfId="1124">
      <pivotArea collapsedLevelsAreSubtotals="1" fieldPosition="0">
        <references count="2">
          <reference field="0" count="1" selected="0">
            <x v="5"/>
          </reference>
          <reference field="6" count="5">
            <x v="3"/>
            <x v="4"/>
            <x v="9"/>
            <x v="17"/>
            <x v="18"/>
          </reference>
        </references>
      </pivotArea>
    </format>
    <format dxfId="1123">
      <pivotArea collapsedLevelsAreSubtotals="1" fieldPosition="0">
        <references count="1">
          <reference field="0" count="1">
            <x v="6"/>
          </reference>
        </references>
      </pivotArea>
    </format>
    <format dxfId="1122">
      <pivotArea collapsedLevelsAreSubtotals="1" fieldPosition="0">
        <references count="2">
          <reference field="0" count="1" selected="0">
            <x v="6"/>
          </reference>
          <reference field="6" count="5">
            <x v="3"/>
            <x v="4"/>
            <x v="9"/>
            <x v="17"/>
            <x v="18"/>
          </reference>
        </references>
      </pivotArea>
    </format>
    <format dxfId="1121">
      <pivotArea collapsedLevelsAreSubtotals="1" fieldPosition="0">
        <references count="1">
          <reference field="0" count="1">
            <x v="7"/>
          </reference>
        </references>
      </pivotArea>
    </format>
    <format dxfId="1120">
      <pivotArea collapsedLevelsAreSubtotals="1" fieldPosition="0">
        <references count="2">
          <reference field="0" count="1" selected="0">
            <x v="7"/>
          </reference>
          <reference field="6" count="5">
            <x v="3"/>
            <x v="4"/>
            <x v="9"/>
            <x v="17"/>
            <x v="18"/>
          </reference>
        </references>
      </pivotArea>
    </format>
    <format dxfId="1119">
      <pivotArea collapsedLevelsAreSubtotals="1" fieldPosition="0">
        <references count="1">
          <reference field="0" count="1">
            <x v="8"/>
          </reference>
        </references>
      </pivotArea>
    </format>
    <format dxfId="1118">
      <pivotArea collapsedLevelsAreSubtotals="1" fieldPosition="0">
        <references count="2">
          <reference field="0" count="1" selected="0">
            <x v="8"/>
          </reference>
          <reference field="6" count="3">
            <x v="3"/>
            <x v="4"/>
            <x v="18"/>
          </reference>
        </references>
      </pivotArea>
    </format>
    <format dxfId="1117">
      <pivotArea collapsedLevelsAreSubtotals="1" fieldPosition="0">
        <references count="1">
          <reference field="0" count="1">
            <x v="9"/>
          </reference>
        </references>
      </pivotArea>
    </format>
    <format dxfId="1116">
      <pivotArea collapsedLevelsAreSubtotals="1" fieldPosition="0">
        <references count="2">
          <reference field="0" count="1" selected="0">
            <x v="9"/>
          </reference>
          <reference field="6" count="5">
            <x v="3"/>
            <x v="4"/>
            <x v="9"/>
            <x v="17"/>
            <x v="18"/>
          </reference>
        </references>
      </pivotArea>
    </format>
    <format dxfId="1115">
      <pivotArea collapsedLevelsAreSubtotals="1" fieldPosition="0">
        <references count="1">
          <reference field="0" count="1">
            <x v="10"/>
          </reference>
        </references>
      </pivotArea>
    </format>
    <format dxfId="1114">
      <pivotArea collapsedLevelsAreSubtotals="1" fieldPosition="0">
        <references count="2">
          <reference field="0" count="1" selected="0">
            <x v="10"/>
          </reference>
          <reference field="6" count="6">
            <x v="3"/>
            <x v="4"/>
            <x v="6"/>
            <x v="9"/>
            <x v="17"/>
            <x v="18"/>
          </reference>
        </references>
      </pivotArea>
    </format>
    <format dxfId="1113">
      <pivotArea collapsedLevelsAreSubtotals="1" fieldPosition="0">
        <references count="1">
          <reference field="0" count="1">
            <x v="11"/>
          </reference>
        </references>
      </pivotArea>
    </format>
    <format dxfId="1112">
      <pivotArea collapsedLevelsAreSubtotals="1" fieldPosition="0">
        <references count="2">
          <reference field="0" count="1" selected="0">
            <x v="11"/>
          </reference>
          <reference field="6" count="4">
            <x v="3"/>
            <x v="4"/>
            <x v="9"/>
            <x v="17"/>
          </reference>
        </references>
      </pivotArea>
    </format>
    <format dxfId="1111">
      <pivotArea collapsedLevelsAreSubtotals="1" fieldPosition="0">
        <references count="1">
          <reference field="0" count="1">
            <x v="0"/>
          </reference>
        </references>
      </pivotArea>
    </format>
    <format dxfId="1110">
      <pivotArea collapsedLevelsAreSubtotals="1" fieldPosition="0">
        <references count="2">
          <reference field="0" count="1" selected="0">
            <x v="0"/>
          </reference>
          <reference field="6" count="4">
            <x v="3"/>
            <x v="4"/>
            <x v="17"/>
            <x v="18"/>
          </reference>
        </references>
      </pivotArea>
    </format>
    <format dxfId="1109">
      <pivotArea collapsedLevelsAreSubtotals="1" fieldPosition="0">
        <references count="1">
          <reference field="0" count="1">
            <x v="1"/>
          </reference>
        </references>
      </pivotArea>
    </format>
    <format dxfId="1108">
      <pivotArea collapsedLevelsAreSubtotals="1" fieldPosition="0">
        <references count="2">
          <reference field="0" count="1" selected="0">
            <x v="1"/>
          </reference>
          <reference field="6" count="3">
            <x v="3"/>
            <x v="9"/>
            <x v="17"/>
          </reference>
        </references>
      </pivotArea>
    </format>
    <format dxfId="1107">
      <pivotArea collapsedLevelsAreSubtotals="1" fieldPosition="0">
        <references count="1">
          <reference field="0" count="1">
            <x v="2"/>
          </reference>
        </references>
      </pivotArea>
    </format>
    <format dxfId="1106">
      <pivotArea collapsedLevelsAreSubtotals="1" fieldPosition="0">
        <references count="2">
          <reference field="0" count="1" selected="0">
            <x v="2"/>
          </reference>
          <reference field="6" count="2">
            <x v="3"/>
            <x v="17"/>
          </reference>
        </references>
      </pivotArea>
    </format>
    <format dxfId="1105">
      <pivotArea collapsedLevelsAreSubtotals="1" fieldPosition="0">
        <references count="1">
          <reference field="0" count="1">
            <x v="3"/>
          </reference>
        </references>
      </pivotArea>
    </format>
    <format dxfId="1104">
      <pivotArea collapsedLevelsAreSubtotals="1" fieldPosition="0">
        <references count="2">
          <reference field="0" count="1" selected="0">
            <x v="3"/>
          </reference>
          <reference field="6" count="7">
            <x v="3"/>
            <x v="4"/>
            <x v="7"/>
            <x v="9"/>
            <x v="17"/>
            <x v="18"/>
            <x v="21"/>
          </reference>
        </references>
      </pivotArea>
    </format>
    <format dxfId="1103">
      <pivotArea collapsedLevelsAreSubtotals="1" fieldPosition="0">
        <references count="1">
          <reference field="0" count="1">
            <x v="4"/>
          </reference>
        </references>
      </pivotArea>
    </format>
    <format dxfId="1102">
      <pivotArea collapsedLevelsAreSubtotals="1" fieldPosition="0">
        <references count="2">
          <reference field="0" count="1" selected="0">
            <x v="4"/>
          </reference>
          <reference field="6" count="4">
            <x v="3"/>
            <x v="4"/>
            <x v="17"/>
            <x v="18"/>
          </reference>
        </references>
      </pivotArea>
    </format>
    <format dxfId="1101">
      <pivotArea collapsedLevelsAreSubtotals="1" fieldPosition="0">
        <references count="1">
          <reference field="0" count="1">
            <x v="5"/>
          </reference>
        </references>
      </pivotArea>
    </format>
    <format dxfId="1100">
      <pivotArea collapsedLevelsAreSubtotals="1" fieldPosition="0">
        <references count="2">
          <reference field="0" count="1" selected="0">
            <x v="5"/>
          </reference>
          <reference field="6" count="5">
            <x v="3"/>
            <x v="4"/>
            <x v="9"/>
            <x v="17"/>
            <x v="18"/>
          </reference>
        </references>
      </pivotArea>
    </format>
    <format dxfId="1099">
      <pivotArea collapsedLevelsAreSubtotals="1" fieldPosition="0">
        <references count="1">
          <reference field="0" count="1">
            <x v="6"/>
          </reference>
        </references>
      </pivotArea>
    </format>
    <format dxfId="1098">
      <pivotArea collapsedLevelsAreSubtotals="1" fieldPosition="0">
        <references count="2">
          <reference field="0" count="1" selected="0">
            <x v="6"/>
          </reference>
          <reference field="6" count="5">
            <x v="3"/>
            <x v="4"/>
            <x v="9"/>
            <x v="17"/>
            <x v="18"/>
          </reference>
        </references>
      </pivotArea>
    </format>
    <format dxfId="1097">
      <pivotArea collapsedLevelsAreSubtotals="1" fieldPosition="0">
        <references count="1">
          <reference field="0" count="1">
            <x v="7"/>
          </reference>
        </references>
      </pivotArea>
    </format>
    <format dxfId="1096">
      <pivotArea collapsedLevelsAreSubtotals="1" fieldPosition="0">
        <references count="2">
          <reference field="0" count="1" selected="0">
            <x v="7"/>
          </reference>
          <reference field="6" count="5">
            <x v="3"/>
            <x v="4"/>
            <x v="9"/>
            <x v="17"/>
            <x v="18"/>
          </reference>
        </references>
      </pivotArea>
    </format>
    <format dxfId="1095">
      <pivotArea collapsedLevelsAreSubtotals="1" fieldPosition="0">
        <references count="1">
          <reference field="0" count="1">
            <x v="8"/>
          </reference>
        </references>
      </pivotArea>
    </format>
    <format dxfId="1094">
      <pivotArea collapsedLevelsAreSubtotals="1" fieldPosition="0">
        <references count="2">
          <reference field="0" count="1" selected="0">
            <x v="8"/>
          </reference>
          <reference field="6" count="3">
            <x v="3"/>
            <x v="4"/>
            <x v="18"/>
          </reference>
        </references>
      </pivotArea>
    </format>
    <format dxfId="1093">
      <pivotArea collapsedLevelsAreSubtotals="1" fieldPosition="0">
        <references count="1">
          <reference field="0" count="1">
            <x v="9"/>
          </reference>
        </references>
      </pivotArea>
    </format>
    <format dxfId="1092">
      <pivotArea collapsedLevelsAreSubtotals="1" fieldPosition="0">
        <references count="2">
          <reference field="0" count="1" selected="0">
            <x v="9"/>
          </reference>
          <reference field="6" count="5">
            <x v="3"/>
            <x v="4"/>
            <x v="9"/>
            <x v="17"/>
            <x v="18"/>
          </reference>
        </references>
      </pivotArea>
    </format>
    <format dxfId="1091">
      <pivotArea collapsedLevelsAreSubtotals="1" fieldPosition="0">
        <references count="1">
          <reference field="0" count="1">
            <x v="10"/>
          </reference>
        </references>
      </pivotArea>
    </format>
    <format dxfId="1090">
      <pivotArea collapsedLevelsAreSubtotals="1" fieldPosition="0">
        <references count="2">
          <reference field="0" count="1" selected="0">
            <x v="10"/>
          </reference>
          <reference field="6" count="6">
            <x v="3"/>
            <x v="4"/>
            <x v="6"/>
            <x v="9"/>
            <x v="17"/>
            <x v="18"/>
          </reference>
        </references>
      </pivotArea>
    </format>
    <format dxfId="1089">
      <pivotArea collapsedLevelsAreSubtotals="1" fieldPosition="0">
        <references count="1">
          <reference field="0" count="1">
            <x v="11"/>
          </reference>
        </references>
      </pivotArea>
    </format>
    <format dxfId="1088">
      <pivotArea collapsedLevelsAreSubtotals="1" fieldPosition="0">
        <references count="2">
          <reference field="0" count="1" selected="0">
            <x v="11"/>
          </reference>
          <reference field="6" count="4">
            <x v="3"/>
            <x v="4"/>
            <x v="9"/>
            <x v="17"/>
          </reference>
        </references>
      </pivotArea>
    </format>
    <format dxfId="1087">
      <pivotArea dataOnly="0" labelOnly="1" fieldPosition="0">
        <references count="1">
          <reference field="0" count="0"/>
        </references>
      </pivotArea>
    </format>
    <format dxfId="1086">
      <pivotArea dataOnly="0" labelOnly="1" fieldPosition="0">
        <references count="2">
          <reference field="0" count="1" selected="0">
            <x v="0"/>
          </reference>
          <reference field="6" count="4">
            <x v="3"/>
            <x v="4"/>
            <x v="17"/>
            <x v="18"/>
          </reference>
        </references>
      </pivotArea>
    </format>
    <format dxfId="1085">
      <pivotArea dataOnly="0" labelOnly="1" fieldPosition="0">
        <references count="2">
          <reference field="0" count="1" selected="0">
            <x v="1"/>
          </reference>
          <reference field="6" count="3">
            <x v="3"/>
            <x v="9"/>
            <x v="17"/>
          </reference>
        </references>
      </pivotArea>
    </format>
    <format dxfId="1084">
      <pivotArea dataOnly="0" labelOnly="1" fieldPosition="0">
        <references count="2">
          <reference field="0" count="1" selected="0">
            <x v="2"/>
          </reference>
          <reference field="6" count="2">
            <x v="3"/>
            <x v="17"/>
          </reference>
        </references>
      </pivotArea>
    </format>
    <format dxfId="1083">
      <pivotArea dataOnly="0" labelOnly="1" fieldPosition="0">
        <references count="2">
          <reference field="0" count="1" selected="0">
            <x v="3"/>
          </reference>
          <reference field="6" count="7">
            <x v="3"/>
            <x v="4"/>
            <x v="7"/>
            <x v="9"/>
            <x v="17"/>
            <x v="18"/>
            <x v="21"/>
          </reference>
        </references>
      </pivotArea>
    </format>
    <format dxfId="1082">
      <pivotArea dataOnly="0" labelOnly="1" fieldPosition="0">
        <references count="2">
          <reference field="0" count="1" selected="0">
            <x v="4"/>
          </reference>
          <reference field="6" count="4">
            <x v="3"/>
            <x v="4"/>
            <x v="17"/>
            <x v="18"/>
          </reference>
        </references>
      </pivotArea>
    </format>
    <format dxfId="1081">
      <pivotArea dataOnly="0" labelOnly="1" fieldPosition="0">
        <references count="2">
          <reference field="0" count="1" selected="0">
            <x v="5"/>
          </reference>
          <reference field="6" count="5">
            <x v="3"/>
            <x v="4"/>
            <x v="9"/>
            <x v="17"/>
            <x v="18"/>
          </reference>
        </references>
      </pivotArea>
    </format>
    <format dxfId="1080">
      <pivotArea dataOnly="0" labelOnly="1" fieldPosition="0">
        <references count="2">
          <reference field="0" count="1" selected="0">
            <x v="6"/>
          </reference>
          <reference field="6" count="5">
            <x v="3"/>
            <x v="4"/>
            <x v="9"/>
            <x v="17"/>
            <x v="18"/>
          </reference>
        </references>
      </pivotArea>
    </format>
    <format dxfId="1079">
      <pivotArea dataOnly="0" labelOnly="1" fieldPosition="0">
        <references count="2">
          <reference field="0" count="1" selected="0">
            <x v="7"/>
          </reference>
          <reference field="6" count="5">
            <x v="3"/>
            <x v="4"/>
            <x v="9"/>
            <x v="17"/>
            <x v="18"/>
          </reference>
        </references>
      </pivotArea>
    </format>
    <format dxfId="1078">
      <pivotArea dataOnly="0" labelOnly="1" fieldPosition="0">
        <references count="2">
          <reference field="0" count="1" selected="0">
            <x v="8"/>
          </reference>
          <reference field="6" count="3">
            <x v="3"/>
            <x v="4"/>
            <x v="18"/>
          </reference>
        </references>
      </pivotArea>
    </format>
    <format dxfId="1077">
      <pivotArea dataOnly="0" labelOnly="1" fieldPosition="0">
        <references count="2">
          <reference field="0" count="1" selected="0">
            <x v="9"/>
          </reference>
          <reference field="6" count="5">
            <x v="3"/>
            <x v="4"/>
            <x v="9"/>
            <x v="17"/>
            <x v="18"/>
          </reference>
        </references>
      </pivotArea>
    </format>
    <format dxfId="1076">
      <pivotArea dataOnly="0" labelOnly="1" fieldPosition="0">
        <references count="2">
          <reference field="0" count="1" selected="0">
            <x v="10"/>
          </reference>
          <reference field="6" count="6">
            <x v="3"/>
            <x v="4"/>
            <x v="6"/>
            <x v="9"/>
            <x v="17"/>
            <x v="18"/>
          </reference>
        </references>
      </pivotArea>
    </format>
    <format dxfId="1075">
      <pivotArea dataOnly="0" labelOnly="1" fieldPosition="0">
        <references count="2">
          <reference field="0" count="1" selected="0">
            <x v="11"/>
          </reference>
          <reference field="6" count="4">
            <x v="3"/>
            <x v="4"/>
            <x v="9"/>
            <x v="17"/>
          </reference>
        </references>
      </pivotArea>
    </format>
    <format dxfId="1074">
      <pivotArea collapsedLevelsAreSubtotals="1" fieldPosition="0">
        <references count="1">
          <reference field="0" count="1">
            <x v="0"/>
          </reference>
        </references>
      </pivotArea>
    </format>
    <format dxfId="1073">
      <pivotArea collapsedLevelsAreSubtotals="1" fieldPosition="0">
        <references count="2">
          <reference field="0" count="1" selected="0">
            <x v="0"/>
          </reference>
          <reference field="6" count="4">
            <x v="3"/>
            <x v="4"/>
            <x v="17"/>
            <x v="18"/>
          </reference>
        </references>
      </pivotArea>
    </format>
    <format dxfId="1072">
      <pivotArea collapsedLevelsAreSubtotals="1" fieldPosition="0">
        <references count="1">
          <reference field="0" count="1">
            <x v="1"/>
          </reference>
        </references>
      </pivotArea>
    </format>
    <format dxfId="1071">
      <pivotArea collapsedLevelsAreSubtotals="1" fieldPosition="0">
        <references count="2">
          <reference field="0" count="1" selected="0">
            <x v="1"/>
          </reference>
          <reference field="6" count="3">
            <x v="3"/>
            <x v="9"/>
            <x v="17"/>
          </reference>
        </references>
      </pivotArea>
    </format>
    <format dxfId="1070">
      <pivotArea collapsedLevelsAreSubtotals="1" fieldPosition="0">
        <references count="1">
          <reference field="0" count="1">
            <x v="2"/>
          </reference>
        </references>
      </pivotArea>
    </format>
    <format dxfId="1069">
      <pivotArea collapsedLevelsAreSubtotals="1" fieldPosition="0">
        <references count="2">
          <reference field="0" count="1" selected="0">
            <x v="2"/>
          </reference>
          <reference field="6" count="2">
            <x v="3"/>
            <x v="17"/>
          </reference>
        </references>
      </pivotArea>
    </format>
    <format dxfId="1068">
      <pivotArea collapsedLevelsAreSubtotals="1" fieldPosition="0">
        <references count="1">
          <reference field="0" count="1">
            <x v="3"/>
          </reference>
        </references>
      </pivotArea>
    </format>
    <format dxfId="1067">
      <pivotArea collapsedLevelsAreSubtotals="1" fieldPosition="0">
        <references count="2">
          <reference field="0" count="1" selected="0">
            <x v="3"/>
          </reference>
          <reference field="6" count="7">
            <x v="3"/>
            <x v="4"/>
            <x v="7"/>
            <x v="9"/>
            <x v="17"/>
            <x v="18"/>
            <x v="21"/>
          </reference>
        </references>
      </pivotArea>
    </format>
    <format dxfId="1066">
      <pivotArea collapsedLevelsAreSubtotals="1" fieldPosition="0">
        <references count="1">
          <reference field="0" count="1">
            <x v="4"/>
          </reference>
        </references>
      </pivotArea>
    </format>
    <format dxfId="1065">
      <pivotArea collapsedLevelsAreSubtotals="1" fieldPosition="0">
        <references count="2">
          <reference field="0" count="1" selected="0">
            <x v="4"/>
          </reference>
          <reference field="6" count="4">
            <x v="3"/>
            <x v="4"/>
            <x v="17"/>
            <x v="18"/>
          </reference>
        </references>
      </pivotArea>
    </format>
    <format dxfId="1064">
      <pivotArea collapsedLevelsAreSubtotals="1" fieldPosition="0">
        <references count="1">
          <reference field="0" count="1">
            <x v="5"/>
          </reference>
        </references>
      </pivotArea>
    </format>
    <format dxfId="1063">
      <pivotArea collapsedLevelsAreSubtotals="1" fieldPosition="0">
        <references count="2">
          <reference field="0" count="1" selected="0">
            <x v="5"/>
          </reference>
          <reference field="6" count="5">
            <x v="3"/>
            <x v="4"/>
            <x v="9"/>
            <x v="17"/>
            <x v="18"/>
          </reference>
        </references>
      </pivotArea>
    </format>
    <format dxfId="1062">
      <pivotArea collapsedLevelsAreSubtotals="1" fieldPosition="0">
        <references count="1">
          <reference field="0" count="1">
            <x v="6"/>
          </reference>
        </references>
      </pivotArea>
    </format>
    <format dxfId="1061">
      <pivotArea collapsedLevelsAreSubtotals="1" fieldPosition="0">
        <references count="2">
          <reference field="0" count="1" selected="0">
            <x v="6"/>
          </reference>
          <reference field="6" count="5">
            <x v="3"/>
            <x v="4"/>
            <x v="9"/>
            <x v="17"/>
            <x v="18"/>
          </reference>
        </references>
      </pivotArea>
    </format>
    <format dxfId="1060">
      <pivotArea collapsedLevelsAreSubtotals="1" fieldPosition="0">
        <references count="1">
          <reference field="0" count="1">
            <x v="7"/>
          </reference>
        </references>
      </pivotArea>
    </format>
    <format dxfId="1059">
      <pivotArea collapsedLevelsAreSubtotals="1" fieldPosition="0">
        <references count="2">
          <reference field="0" count="1" selected="0">
            <x v="7"/>
          </reference>
          <reference field="6" count="5">
            <x v="3"/>
            <x v="4"/>
            <x v="9"/>
            <x v="17"/>
            <x v="18"/>
          </reference>
        </references>
      </pivotArea>
    </format>
    <format dxfId="1058">
      <pivotArea collapsedLevelsAreSubtotals="1" fieldPosition="0">
        <references count="1">
          <reference field="0" count="1">
            <x v="8"/>
          </reference>
        </references>
      </pivotArea>
    </format>
    <format dxfId="1057">
      <pivotArea collapsedLevelsAreSubtotals="1" fieldPosition="0">
        <references count="2">
          <reference field="0" count="1" selected="0">
            <x v="8"/>
          </reference>
          <reference field="6" count="3">
            <x v="3"/>
            <x v="4"/>
            <x v="18"/>
          </reference>
        </references>
      </pivotArea>
    </format>
    <format dxfId="1056">
      <pivotArea collapsedLevelsAreSubtotals="1" fieldPosition="0">
        <references count="1">
          <reference field="0" count="1">
            <x v="9"/>
          </reference>
        </references>
      </pivotArea>
    </format>
    <format dxfId="1055">
      <pivotArea collapsedLevelsAreSubtotals="1" fieldPosition="0">
        <references count="2">
          <reference field="0" count="1" selected="0">
            <x v="9"/>
          </reference>
          <reference field="6" count="5">
            <x v="3"/>
            <x v="4"/>
            <x v="9"/>
            <x v="17"/>
            <x v="18"/>
          </reference>
        </references>
      </pivotArea>
    </format>
    <format dxfId="1054">
      <pivotArea collapsedLevelsAreSubtotals="1" fieldPosition="0">
        <references count="1">
          <reference field="0" count="1">
            <x v="10"/>
          </reference>
        </references>
      </pivotArea>
    </format>
    <format dxfId="1053">
      <pivotArea collapsedLevelsAreSubtotals="1" fieldPosition="0">
        <references count="2">
          <reference field="0" count="1" selected="0">
            <x v="10"/>
          </reference>
          <reference field="6" count="6">
            <x v="3"/>
            <x v="4"/>
            <x v="6"/>
            <x v="9"/>
            <x v="17"/>
            <x v="18"/>
          </reference>
        </references>
      </pivotArea>
    </format>
    <format dxfId="1052">
      <pivotArea collapsedLevelsAreSubtotals="1" fieldPosition="0">
        <references count="1">
          <reference field="0" count="1">
            <x v="11"/>
          </reference>
        </references>
      </pivotArea>
    </format>
    <format dxfId="1051">
      <pivotArea collapsedLevelsAreSubtotals="1" fieldPosition="0">
        <references count="2">
          <reference field="0" count="1" selected="0">
            <x v="11"/>
          </reference>
          <reference field="6" count="4">
            <x v="3"/>
            <x v="4"/>
            <x v="9"/>
            <x v="17"/>
          </reference>
        </references>
      </pivotArea>
    </format>
    <format dxfId="1050">
      <pivotArea dataOnly="0" labelOnly="1" fieldPosition="0">
        <references count="1">
          <reference field="0" count="0"/>
        </references>
      </pivotArea>
    </format>
    <format dxfId="1049">
      <pivotArea dataOnly="0" labelOnly="1" fieldPosition="0">
        <references count="2">
          <reference field="0" count="1" selected="0">
            <x v="0"/>
          </reference>
          <reference field="6" count="4">
            <x v="3"/>
            <x v="4"/>
            <x v="17"/>
            <x v="18"/>
          </reference>
        </references>
      </pivotArea>
    </format>
    <format dxfId="1048">
      <pivotArea dataOnly="0" labelOnly="1" fieldPosition="0">
        <references count="2">
          <reference field="0" count="1" selected="0">
            <x v="1"/>
          </reference>
          <reference field="6" count="3">
            <x v="3"/>
            <x v="9"/>
            <x v="17"/>
          </reference>
        </references>
      </pivotArea>
    </format>
    <format dxfId="1047">
      <pivotArea dataOnly="0" labelOnly="1" fieldPosition="0">
        <references count="2">
          <reference field="0" count="1" selected="0">
            <x v="2"/>
          </reference>
          <reference field="6" count="2">
            <x v="3"/>
            <x v="17"/>
          </reference>
        </references>
      </pivotArea>
    </format>
    <format dxfId="1046">
      <pivotArea dataOnly="0" labelOnly="1" fieldPosition="0">
        <references count="2">
          <reference field="0" count="1" selected="0">
            <x v="3"/>
          </reference>
          <reference field="6" count="7">
            <x v="3"/>
            <x v="4"/>
            <x v="7"/>
            <x v="9"/>
            <x v="17"/>
            <x v="18"/>
            <x v="21"/>
          </reference>
        </references>
      </pivotArea>
    </format>
    <format dxfId="1045">
      <pivotArea dataOnly="0" labelOnly="1" fieldPosition="0">
        <references count="2">
          <reference field="0" count="1" selected="0">
            <x v="4"/>
          </reference>
          <reference field="6" count="4">
            <x v="3"/>
            <x v="4"/>
            <x v="17"/>
            <x v="18"/>
          </reference>
        </references>
      </pivotArea>
    </format>
    <format dxfId="1044">
      <pivotArea dataOnly="0" labelOnly="1" fieldPosition="0">
        <references count="2">
          <reference field="0" count="1" selected="0">
            <x v="5"/>
          </reference>
          <reference field="6" count="5">
            <x v="3"/>
            <x v="4"/>
            <x v="9"/>
            <x v="17"/>
            <x v="18"/>
          </reference>
        </references>
      </pivotArea>
    </format>
    <format dxfId="1043">
      <pivotArea dataOnly="0" labelOnly="1" fieldPosition="0">
        <references count="2">
          <reference field="0" count="1" selected="0">
            <x v="6"/>
          </reference>
          <reference field="6" count="5">
            <x v="3"/>
            <x v="4"/>
            <x v="9"/>
            <x v="17"/>
            <x v="18"/>
          </reference>
        </references>
      </pivotArea>
    </format>
    <format dxfId="1042">
      <pivotArea dataOnly="0" labelOnly="1" fieldPosition="0">
        <references count="2">
          <reference field="0" count="1" selected="0">
            <x v="7"/>
          </reference>
          <reference field="6" count="5">
            <x v="3"/>
            <x v="4"/>
            <x v="9"/>
            <x v="17"/>
            <x v="18"/>
          </reference>
        </references>
      </pivotArea>
    </format>
    <format dxfId="1041">
      <pivotArea dataOnly="0" labelOnly="1" fieldPosition="0">
        <references count="2">
          <reference field="0" count="1" selected="0">
            <x v="8"/>
          </reference>
          <reference field="6" count="3">
            <x v="3"/>
            <x v="4"/>
            <x v="18"/>
          </reference>
        </references>
      </pivotArea>
    </format>
    <format dxfId="1040">
      <pivotArea dataOnly="0" labelOnly="1" fieldPosition="0">
        <references count="2">
          <reference field="0" count="1" selected="0">
            <x v="9"/>
          </reference>
          <reference field="6" count="5">
            <x v="3"/>
            <x v="4"/>
            <x v="9"/>
            <x v="17"/>
            <x v="18"/>
          </reference>
        </references>
      </pivotArea>
    </format>
    <format dxfId="1039">
      <pivotArea dataOnly="0" labelOnly="1" fieldPosition="0">
        <references count="2">
          <reference field="0" count="1" selected="0">
            <x v="10"/>
          </reference>
          <reference field="6" count="6">
            <x v="3"/>
            <x v="4"/>
            <x v="6"/>
            <x v="9"/>
            <x v="17"/>
            <x v="18"/>
          </reference>
        </references>
      </pivotArea>
    </format>
    <format dxfId="1038">
      <pivotArea dataOnly="0" labelOnly="1" fieldPosition="0">
        <references count="2">
          <reference field="0" count="1" selected="0">
            <x v="11"/>
          </reference>
          <reference field="6" count="4">
            <x v="3"/>
            <x v="4"/>
            <x v="9"/>
            <x v="17"/>
          </reference>
        </references>
      </pivotArea>
    </format>
    <format dxfId="1037">
      <pivotArea field="0" grandCol="1" collapsedLevelsAreSubtotals="1" axis="axisRow" fieldPosition="0">
        <references count="1">
          <reference field="0" count="1">
            <x v="0"/>
          </reference>
        </references>
      </pivotArea>
    </format>
    <format dxfId="1036">
      <pivotArea field="0" grandCol="1" collapsedLevelsAreSubtotals="1" axis="axisRow" fieldPosition="0">
        <references count="1">
          <reference field="0" count="1">
            <x v="1"/>
          </reference>
        </references>
      </pivotArea>
    </format>
    <format dxfId="1035">
      <pivotArea collapsedLevelsAreSubtotals="1" fieldPosition="0">
        <references count="1">
          <reference field="0" count="1">
            <x v="0"/>
          </reference>
        </references>
      </pivotArea>
    </format>
    <format dxfId="1034">
      <pivotArea dataOnly="0" labelOnly="1" fieldPosition="0">
        <references count="1">
          <reference field="0" count="1">
            <x v="0"/>
          </reference>
        </references>
      </pivotArea>
    </format>
    <format dxfId="1033">
      <pivotArea collapsedLevelsAreSubtotals="1" fieldPosition="0">
        <references count="1">
          <reference field="0" count="1">
            <x v="1"/>
          </reference>
        </references>
      </pivotArea>
    </format>
    <format dxfId="1032">
      <pivotArea dataOnly="0" labelOnly="1" fieldPosition="0">
        <references count="1">
          <reference field="0" count="1">
            <x v="1"/>
          </reference>
        </references>
      </pivotArea>
    </format>
    <format dxfId="1031">
      <pivotArea collapsedLevelsAreSubtotals="1" fieldPosition="0">
        <references count="1">
          <reference field="0" count="1">
            <x v="2"/>
          </reference>
        </references>
      </pivotArea>
    </format>
    <format dxfId="1030">
      <pivotArea dataOnly="0" labelOnly="1" fieldPosition="0">
        <references count="1">
          <reference field="0" count="1">
            <x v="2"/>
          </reference>
        </references>
      </pivotArea>
    </format>
    <format dxfId="1029">
      <pivotArea collapsedLevelsAreSubtotals="1" fieldPosition="0">
        <references count="1">
          <reference field="0" count="1">
            <x v="3"/>
          </reference>
        </references>
      </pivotArea>
    </format>
    <format dxfId="1028">
      <pivotArea dataOnly="0" labelOnly="1" fieldPosition="0">
        <references count="1">
          <reference field="0" count="1">
            <x v="3"/>
          </reference>
        </references>
      </pivotArea>
    </format>
    <format dxfId="1027">
      <pivotArea collapsedLevelsAreSubtotals="1" fieldPosition="0">
        <references count="1">
          <reference field="0" count="1">
            <x v="4"/>
          </reference>
        </references>
      </pivotArea>
    </format>
    <format dxfId="1026">
      <pivotArea dataOnly="0" labelOnly="1" fieldPosition="0">
        <references count="1">
          <reference field="0" count="1">
            <x v="4"/>
          </reference>
        </references>
      </pivotArea>
    </format>
    <format dxfId="1025">
      <pivotArea collapsedLevelsAreSubtotals="1" fieldPosition="0">
        <references count="1">
          <reference field="0" count="1">
            <x v="5"/>
          </reference>
        </references>
      </pivotArea>
    </format>
    <format dxfId="1024">
      <pivotArea dataOnly="0" labelOnly="1" fieldPosition="0">
        <references count="1">
          <reference field="0" count="1">
            <x v="5"/>
          </reference>
        </references>
      </pivotArea>
    </format>
    <format dxfId="1023">
      <pivotArea collapsedLevelsAreSubtotals="1" fieldPosition="0">
        <references count="1">
          <reference field="0" count="1">
            <x v="6"/>
          </reference>
        </references>
      </pivotArea>
    </format>
    <format dxfId="1022">
      <pivotArea dataOnly="0" labelOnly="1" fieldPosition="0">
        <references count="1">
          <reference field="0" count="1">
            <x v="6"/>
          </reference>
        </references>
      </pivotArea>
    </format>
    <format dxfId="1021">
      <pivotArea collapsedLevelsAreSubtotals="1" fieldPosition="0">
        <references count="1">
          <reference field="0" count="1">
            <x v="7"/>
          </reference>
        </references>
      </pivotArea>
    </format>
    <format dxfId="1020">
      <pivotArea dataOnly="0" labelOnly="1" fieldPosition="0">
        <references count="1">
          <reference field="0" count="1">
            <x v="7"/>
          </reference>
        </references>
      </pivotArea>
    </format>
    <format dxfId="1019">
      <pivotArea collapsedLevelsAreSubtotals="1" fieldPosition="0">
        <references count="1">
          <reference field="0" count="1">
            <x v="8"/>
          </reference>
        </references>
      </pivotArea>
    </format>
    <format dxfId="1018">
      <pivotArea dataOnly="0" labelOnly="1" fieldPosition="0">
        <references count="1">
          <reference field="0" count="1">
            <x v="8"/>
          </reference>
        </references>
      </pivotArea>
    </format>
    <format dxfId="1017">
      <pivotArea collapsedLevelsAreSubtotals="1" fieldPosition="0">
        <references count="1">
          <reference field="0" count="1">
            <x v="9"/>
          </reference>
        </references>
      </pivotArea>
    </format>
    <format dxfId="1016">
      <pivotArea dataOnly="0" labelOnly="1" fieldPosition="0">
        <references count="1">
          <reference field="0" count="1">
            <x v="9"/>
          </reference>
        </references>
      </pivotArea>
    </format>
    <format dxfId="1015">
      <pivotArea collapsedLevelsAreSubtotals="1" fieldPosition="0">
        <references count="1">
          <reference field="0" count="1">
            <x v="10"/>
          </reference>
        </references>
      </pivotArea>
    </format>
    <format dxfId="1014">
      <pivotArea dataOnly="0" labelOnly="1" fieldPosition="0">
        <references count="1">
          <reference field="0" count="1">
            <x v="10"/>
          </reference>
        </references>
      </pivotArea>
    </format>
    <format dxfId="1013">
      <pivotArea collapsedLevelsAreSubtotals="1" fieldPosition="0">
        <references count="1">
          <reference field="0" count="1">
            <x v="11"/>
          </reference>
        </references>
      </pivotArea>
    </format>
    <format dxfId="1012">
      <pivotArea dataOnly="0" labelOnly="1" fieldPosition="0">
        <references count="1">
          <reference field="0" count="1">
            <x v="11"/>
          </reference>
        </references>
      </pivotArea>
    </format>
    <format dxfId="1011">
      <pivotArea collapsedLevelsAreSubtotals="1" fieldPosition="0">
        <references count="2">
          <reference field="0" count="1" selected="0">
            <x v="4"/>
          </reference>
          <reference field="6" count="1">
            <x v="9"/>
          </reference>
        </references>
      </pivotArea>
    </format>
    <format dxfId="1010">
      <pivotArea dataOnly="0" labelOnly="1" fieldPosition="0">
        <references count="2">
          <reference field="0" count="1" selected="0">
            <x v="4"/>
          </reference>
          <reference field="6" count="1">
            <x v="9"/>
          </reference>
        </references>
      </pivotArea>
    </format>
    <format dxfId="1009">
      <pivotArea collapsedLevelsAreSubtotals="1" fieldPosition="0">
        <references count="2">
          <reference field="0" count="1" selected="0">
            <x v="4"/>
          </reference>
          <reference field="6" count="1">
            <x v="9"/>
          </reference>
        </references>
      </pivotArea>
    </format>
    <format dxfId="1008">
      <pivotArea dataOnly="0" labelOnly="1" fieldPosition="0">
        <references count="2">
          <reference field="0" count="1" selected="0">
            <x v="4"/>
          </reference>
          <reference field="6" count="1">
            <x v="9"/>
          </reference>
        </references>
      </pivotArea>
    </format>
    <format dxfId="1007">
      <pivotArea collapsedLevelsAreSubtotals="1" fieldPosition="0">
        <references count="2">
          <reference field="0" count="1" selected="0">
            <x v="4"/>
          </reference>
          <reference field="6" count="1">
            <x v="9"/>
          </reference>
        </references>
      </pivotArea>
    </format>
    <format dxfId="1006">
      <pivotArea dataOnly="0" labelOnly="1" fieldPosition="0">
        <references count="2">
          <reference field="0" count="1" selected="0">
            <x v="4"/>
          </reference>
          <reference field="6" count="1">
            <x v="9"/>
          </reference>
        </references>
      </pivotArea>
    </format>
    <format dxfId="1005">
      <pivotArea collapsedLevelsAreSubtotals="1" fieldPosition="0">
        <references count="2">
          <reference field="0" count="1" selected="0">
            <x v="4"/>
          </reference>
          <reference field="6" count="1">
            <x v="9"/>
          </reference>
        </references>
      </pivotArea>
    </format>
    <format dxfId="1004">
      <pivotArea dataOnly="0" labelOnly="1" fieldPosition="0">
        <references count="2">
          <reference field="0" count="1" selected="0">
            <x v="4"/>
          </reference>
          <reference field="6" count="1">
            <x v="9"/>
          </reference>
        </references>
      </pivotArea>
    </format>
    <format dxfId="1003">
      <pivotArea collapsedLevelsAreSubtotals="1" fieldPosition="0">
        <references count="3">
          <reference field="0" count="1" selected="0">
            <x v="4"/>
          </reference>
          <reference field="6" count="1">
            <x v="9"/>
          </reference>
          <reference field="7" count="1" selected="0">
            <x v="5"/>
          </reference>
        </references>
      </pivotArea>
    </format>
    <format dxfId="1002">
      <pivotArea field="6" grandCol="1" collapsedLevelsAreSubtotals="1" axis="axisRow" fieldPosition="1">
        <references count="2">
          <reference field="0" count="1" selected="0">
            <x v="4"/>
          </reference>
          <reference field="6" count="1">
            <x v="9"/>
          </reference>
        </references>
      </pivotArea>
    </format>
    <format dxfId="1001">
      <pivotArea collapsedLevelsAreSubtotals="1" fieldPosition="0">
        <references count="1">
          <reference field="0" count="1">
            <x v="0"/>
          </reference>
        </references>
      </pivotArea>
    </format>
    <format dxfId="1000">
      <pivotArea collapsedLevelsAreSubtotals="1" fieldPosition="0">
        <references count="1">
          <reference field="0" count="1">
            <x v="0"/>
          </reference>
        </references>
      </pivotArea>
    </format>
    <format dxfId="999">
      <pivotArea collapsedLevelsAreSubtotals="1" fieldPosition="0">
        <references count="1">
          <reference field="0" count="1">
            <x v="1"/>
          </reference>
        </references>
      </pivotArea>
    </format>
    <format dxfId="998">
      <pivotArea collapsedLevelsAreSubtotals="1" fieldPosition="0">
        <references count="1">
          <reference field="0" count="1">
            <x v="2"/>
          </reference>
        </references>
      </pivotArea>
    </format>
    <format dxfId="997">
      <pivotArea collapsedLevelsAreSubtotals="1" fieldPosition="0">
        <references count="1">
          <reference field="0" count="1">
            <x v="3"/>
          </reference>
        </references>
      </pivotArea>
    </format>
    <format dxfId="996">
      <pivotArea collapsedLevelsAreSubtotals="1" fieldPosition="0">
        <references count="1">
          <reference field="0" count="1">
            <x v="4"/>
          </reference>
        </references>
      </pivotArea>
    </format>
    <format dxfId="995">
      <pivotArea collapsedLevelsAreSubtotals="1" fieldPosition="0">
        <references count="1">
          <reference field="0" count="1">
            <x v="5"/>
          </reference>
        </references>
      </pivotArea>
    </format>
    <format dxfId="994">
      <pivotArea collapsedLevelsAreSubtotals="1" fieldPosition="0">
        <references count="1">
          <reference field="0" count="1">
            <x v="6"/>
          </reference>
        </references>
      </pivotArea>
    </format>
    <format dxfId="993">
      <pivotArea collapsedLevelsAreSubtotals="1" fieldPosition="0">
        <references count="1">
          <reference field="0" count="1">
            <x v="7"/>
          </reference>
        </references>
      </pivotArea>
    </format>
    <format dxfId="992">
      <pivotArea collapsedLevelsAreSubtotals="1" fieldPosition="0">
        <references count="1">
          <reference field="0" count="1">
            <x v="8"/>
          </reference>
        </references>
      </pivotArea>
    </format>
    <format dxfId="991">
      <pivotArea collapsedLevelsAreSubtotals="1" fieldPosition="0">
        <references count="1">
          <reference field="0" count="1">
            <x v="9"/>
          </reference>
        </references>
      </pivotArea>
    </format>
    <format dxfId="990">
      <pivotArea collapsedLevelsAreSubtotals="1" fieldPosition="0">
        <references count="1">
          <reference field="0" count="1">
            <x v="10"/>
          </reference>
        </references>
      </pivotArea>
    </format>
    <format dxfId="989">
      <pivotArea collapsedLevelsAreSubtotals="1" fieldPosition="0">
        <references count="1">
          <reference field="0" count="1">
            <x v="11"/>
          </reference>
        </references>
      </pivotArea>
    </format>
    <format dxfId="988">
      <pivotArea collapsedLevelsAreSubtotals="1" fieldPosition="0">
        <references count="2">
          <reference field="0" count="1" selected="0">
            <x v="11"/>
          </reference>
          <reference field="6" count="1">
            <x v="18"/>
          </reference>
        </references>
      </pivotArea>
    </format>
    <format dxfId="987">
      <pivotArea collapsedLevelsAreSubtotals="1" fieldPosition="0">
        <references count="1">
          <reference field="0" count="1">
            <x v="12"/>
          </reference>
        </references>
      </pivotArea>
    </format>
    <format dxfId="986">
      <pivotArea collapsedLevelsAreSubtotals="1" fieldPosition="0">
        <references count="2">
          <reference field="0" count="1" selected="0">
            <x v="12"/>
          </reference>
          <reference field="6" count="2">
            <x v="3"/>
            <x v="17"/>
          </reference>
        </references>
      </pivotArea>
    </format>
    <format dxfId="985">
      <pivotArea collapsedLevelsAreSubtotals="1" fieldPosition="0">
        <references count="1">
          <reference field="0" count="1">
            <x v="13"/>
          </reference>
        </references>
      </pivotArea>
    </format>
    <format dxfId="984">
      <pivotArea collapsedLevelsAreSubtotals="1" fieldPosition="0">
        <references count="2">
          <reference field="0" count="1" selected="0">
            <x v="13"/>
          </reference>
          <reference field="6" count="3">
            <x v="3"/>
            <x v="9"/>
            <x v="17"/>
          </reference>
        </references>
      </pivotArea>
    </format>
    <format dxfId="983">
      <pivotArea dataOnly="0" labelOnly="1" fieldPosition="0">
        <references count="1">
          <reference field="0" count="2">
            <x v="12"/>
            <x v="13"/>
          </reference>
        </references>
      </pivotArea>
    </format>
    <format dxfId="982">
      <pivotArea dataOnly="0" labelOnly="1" fieldPosition="0">
        <references count="2">
          <reference field="0" count="1" selected="0">
            <x v="11"/>
          </reference>
          <reference field="6" count="1">
            <x v="18"/>
          </reference>
        </references>
      </pivotArea>
    </format>
    <format dxfId="981">
      <pivotArea dataOnly="0" labelOnly="1" fieldPosition="0">
        <references count="2">
          <reference field="0" count="1" selected="0">
            <x v="12"/>
          </reference>
          <reference field="6" count="2">
            <x v="3"/>
            <x v="17"/>
          </reference>
        </references>
      </pivotArea>
    </format>
    <format dxfId="980">
      <pivotArea dataOnly="0" labelOnly="1" fieldPosition="0">
        <references count="2">
          <reference field="0" count="1" selected="0">
            <x v="13"/>
          </reference>
          <reference field="6" count="3">
            <x v="3"/>
            <x v="9"/>
            <x v="17"/>
          </reference>
        </references>
      </pivotArea>
    </format>
    <format dxfId="979">
      <pivotArea dataOnly="0" fieldPosition="0">
        <references count="1">
          <reference field="0" count="1">
            <x v="12"/>
          </reference>
        </references>
      </pivotArea>
    </format>
    <format dxfId="978">
      <pivotArea dataOnly="0" fieldPosition="0">
        <references count="1">
          <reference field="0" count="1">
            <x v="12"/>
          </reference>
        </references>
      </pivotArea>
    </format>
    <format dxfId="977">
      <pivotArea collapsedLevelsAreSubtotals="1" fieldPosition="0">
        <references count="1">
          <reference field="0" count="1">
            <x v="13"/>
          </reference>
        </references>
      </pivotArea>
    </format>
    <format dxfId="976">
      <pivotArea dataOnly="0" labelOnly="1" fieldPosition="0">
        <references count="1">
          <reference field="0" count="1">
            <x v="13"/>
          </reference>
        </references>
      </pivotArea>
    </format>
    <format dxfId="975">
      <pivotArea collapsedLevelsAreSubtotals="1" fieldPosition="0">
        <references count="1">
          <reference field="0" count="1">
            <x v="13"/>
          </reference>
        </references>
      </pivotArea>
    </format>
    <format dxfId="974">
      <pivotArea dataOnly="0" labelOnly="1" fieldPosition="0">
        <references count="1">
          <reference field="0" count="1">
            <x v="13"/>
          </reference>
        </references>
      </pivotArea>
    </format>
    <format dxfId="973">
      <pivotArea collapsedLevelsAreSubtotals="1" fieldPosition="0">
        <references count="3">
          <reference field="0" count="1" selected="0">
            <x v="11"/>
          </reference>
          <reference field="6" count="1">
            <x v="18"/>
          </reference>
          <reference field="7" count="1" selected="0">
            <x v="6"/>
          </reference>
        </references>
      </pivotArea>
    </format>
    <format dxfId="972">
      <pivotArea field="6" grandCol="1" collapsedLevelsAreSubtotals="1" axis="axisRow" fieldPosition="1">
        <references count="2">
          <reference field="0" count="1" selected="0">
            <x v="11"/>
          </reference>
          <reference field="6" count="1">
            <x v="18"/>
          </reference>
        </references>
      </pivotArea>
    </format>
    <format dxfId="971">
      <pivotArea collapsedLevelsAreSubtotals="1" fieldPosition="0">
        <references count="2">
          <reference field="0" count="1">
            <x v="12"/>
          </reference>
          <reference field="7" count="1" selected="0">
            <x v="6"/>
          </reference>
        </references>
      </pivotArea>
    </format>
    <format dxfId="970">
      <pivotArea field="0" grandCol="1" collapsedLevelsAreSubtotals="1" axis="axisRow" fieldPosition="0">
        <references count="1">
          <reference field="0" count="1">
            <x v="12"/>
          </reference>
        </references>
      </pivotArea>
    </format>
    <format dxfId="969">
      <pivotArea collapsedLevelsAreSubtotals="1" fieldPosition="0">
        <references count="3">
          <reference field="0" count="1" selected="0">
            <x v="12"/>
          </reference>
          <reference field="6" count="2">
            <x v="3"/>
            <x v="17"/>
          </reference>
          <reference field="7" count="1" selected="0">
            <x v="6"/>
          </reference>
        </references>
      </pivotArea>
    </format>
    <format dxfId="968">
      <pivotArea field="6" grandCol="1" collapsedLevelsAreSubtotals="1" axis="axisRow" fieldPosition="1">
        <references count="2">
          <reference field="0" count="1" selected="0">
            <x v="12"/>
          </reference>
          <reference field="6" count="2">
            <x v="3"/>
            <x v="17"/>
          </reference>
        </references>
      </pivotArea>
    </format>
    <format dxfId="967">
      <pivotArea collapsedLevelsAreSubtotals="1" fieldPosition="0">
        <references count="2">
          <reference field="0" count="1">
            <x v="13"/>
          </reference>
          <reference field="7" count="1" selected="0">
            <x v="6"/>
          </reference>
        </references>
      </pivotArea>
    </format>
    <format dxfId="966">
      <pivotArea field="0" grandCol="1" collapsedLevelsAreSubtotals="1" axis="axisRow" fieldPosition="0">
        <references count="1">
          <reference field="0" count="1">
            <x v="13"/>
          </reference>
        </references>
      </pivotArea>
    </format>
    <format dxfId="965">
      <pivotArea collapsedLevelsAreSubtotals="1" fieldPosition="0">
        <references count="3">
          <reference field="0" count="1" selected="0">
            <x v="13"/>
          </reference>
          <reference field="6" count="3">
            <x v="3"/>
            <x v="9"/>
            <x v="17"/>
          </reference>
          <reference field="7" count="1" selected="0">
            <x v="6"/>
          </reference>
        </references>
      </pivotArea>
    </format>
    <format dxfId="964">
      <pivotArea field="6" grandCol="1" collapsedLevelsAreSubtotals="1" axis="axisRow" fieldPosition="1">
        <references count="2">
          <reference field="0" count="1" selected="0">
            <x v="13"/>
          </reference>
          <reference field="6" count="3">
            <x v="3"/>
            <x v="9"/>
            <x v="17"/>
          </reference>
        </references>
      </pivotArea>
    </format>
    <format dxfId="963">
      <pivotArea collapsedLevelsAreSubtotals="1" fieldPosition="0">
        <references count="2">
          <reference field="0" count="1" selected="0">
            <x v="4"/>
          </reference>
          <reference field="6" count="1">
            <x v="21"/>
          </reference>
        </references>
      </pivotArea>
    </format>
    <format dxfId="962">
      <pivotArea dataOnly="0" labelOnly="1" fieldPosition="0">
        <references count="2">
          <reference field="0" count="1" selected="0">
            <x v="4"/>
          </reference>
          <reference field="6" count="1">
            <x v="21"/>
          </reference>
        </references>
      </pivotArea>
    </format>
    <format dxfId="961">
      <pivotArea collapsedLevelsAreSubtotals="1" fieldPosition="0">
        <references count="2">
          <reference field="0" count="1" selected="0">
            <x v="4"/>
          </reference>
          <reference field="6" count="1">
            <x v="21"/>
          </reference>
        </references>
      </pivotArea>
    </format>
    <format dxfId="960">
      <pivotArea dataOnly="0" labelOnly="1" fieldPosition="0">
        <references count="2">
          <reference field="0" count="1" selected="0">
            <x v="4"/>
          </reference>
          <reference field="6" count="1">
            <x v="21"/>
          </reference>
        </references>
      </pivotArea>
    </format>
    <format dxfId="959">
      <pivotArea dataOnly="0" labelOnly="1" fieldPosition="0">
        <references count="2">
          <reference field="0" count="1" selected="0">
            <x v="4"/>
          </reference>
          <reference field="6" count="1">
            <x v="21"/>
          </reference>
        </references>
      </pivotArea>
    </format>
    <format dxfId="958">
      <pivotArea collapsedLevelsAreSubtotals="1" fieldPosition="0">
        <references count="3">
          <reference field="0" count="1" selected="0">
            <x v="11"/>
          </reference>
          <reference field="6" count="1">
            <x v="18"/>
          </reference>
          <reference field="7" count="1" selected="0">
            <x v="0"/>
          </reference>
        </references>
      </pivotArea>
    </format>
  </formats>
  <chartFormats count="682">
    <chartFormat chart="3" format="1332" series="1">
      <pivotArea type="data" outline="0" fieldPosition="0">
        <references count="1">
          <reference field="7" count="1" selected="0">
            <x v="8"/>
          </reference>
        </references>
      </pivotArea>
    </chartFormat>
    <chartFormat chart="3" format="1333" series="1">
      <pivotArea type="data" outline="0" fieldPosition="0">
        <references count="1">
          <reference field="7" count="1" selected="0">
            <x v="9"/>
          </reference>
        </references>
      </pivotArea>
    </chartFormat>
    <chartFormat chart="3" format="1334" series="1">
      <pivotArea type="data" outline="0" fieldPosition="0">
        <references count="1">
          <reference field="7" count="1" selected="0">
            <x v="10"/>
          </reference>
        </references>
      </pivotArea>
    </chartFormat>
    <chartFormat chart="3" format="1335" series="1">
      <pivotArea type="data" outline="0" fieldPosition="0">
        <references count="1">
          <reference field="7" count="1" selected="0">
            <x v="11"/>
          </reference>
        </references>
      </pivotArea>
    </chartFormat>
    <chartFormat chart="3" format="1336" series="1">
      <pivotArea type="data" outline="0" fieldPosition="0">
        <references count="1">
          <reference field="7" count="1" selected="0">
            <x v="12"/>
          </reference>
        </references>
      </pivotArea>
    </chartFormat>
    <chartFormat chart="3" format="1337" series="1">
      <pivotArea type="data" outline="0" fieldPosition="0">
        <references count="1">
          <reference field="7" count="1" selected="0">
            <x v="0"/>
          </reference>
        </references>
      </pivotArea>
    </chartFormat>
    <chartFormat chart="3" format="1338" series="1">
      <pivotArea type="data" outline="0" fieldPosition="0">
        <references count="1">
          <reference field="7" count="1" selected="0">
            <x v="1"/>
          </reference>
        </references>
      </pivotArea>
    </chartFormat>
    <chartFormat chart="3" format="1339" series="1">
      <pivotArea type="data" outline="0" fieldPosition="0">
        <references count="1">
          <reference field="7" count="1" selected="0">
            <x v="3"/>
          </reference>
        </references>
      </pivotArea>
    </chartFormat>
    <chartFormat chart="3" format="1340" series="1">
      <pivotArea type="data" outline="0" fieldPosition="0">
        <references count="1">
          <reference field="7" count="1" selected="0">
            <x v="4"/>
          </reference>
        </references>
      </pivotArea>
    </chartFormat>
    <chartFormat chart="3" format="1341" series="1">
      <pivotArea type="data" outline="0" fieldPosition="0">
        <references count="1">
          <reference field="7" count="1" selected="0">
            <x v="5"/>
          </reference>
        </references>
      </pivotArea>
    </chartFormat>
    <chartFormat chart="3" format="1342" series="1">
      <pivotArea type="data" outline="0" fieldPosition="0">
        <references count="1">
          <reference field="7" count="1" selected="0">
            <x v="6"/>
          </reference>
        </references>
      </pivotArea>
    </chartFormat>
    <chartFormat chart="3" format="1343">
      <pivotArea type="data" outline="0" fieldPosition="0">
        <references count="3">
          <reference field="0" count="1" selected="0">
            <x v="0"/>
          </reference>
          <reference field="6" count="1" selected="0">
            <x v="0"/>
          </reference>
          <reference field="7" count="1" selected="0">
            <x v="0"/>
          </reference>
        </references>
      </pivotArea>
    </chartFormat>
    <chartFormat chart="3" format="1344">
      <pivotArea type="data" outline="0" fieldPosition="0">
        <references count="3">
          <reference field="0" count="1" selected="0">
            <x v="0"/>
          </reference>
          <reference field="6" count="1" selected="0">
            <x v="2"/>
          </reference>
          <reference field="7" count="1" selected="0">
            <x v="0"/>
          </reference>
        </references>
      </pivotArea>
    </chartFormat>
    <chartFormat chart="3" format="1345">
      <pivotArea type="data" outline="0" fieldPosition="0">
        <references count="3">
          <reference field="0" count="1" selected="0">
            <x v="0"/>
          </reference>
          <reference field="6" count="1" selected="0">
            <x v="9"/>
          </reference>
          <reference field="7" count="1" selected="0">
            <x v="0"/>
          </reference>
        </references>
      </pivotArea>
    </chartFormat>
    <chartFormat chart="3" format="1346">
      <pivotArea type="data" outline="0" fieldPosition="0">
        <references count="3">
          <reference field="0" count="1" selected="0">
            <x v="0"/>
          </reference>
          <reference field="6" count="1" selected="0">
            <x v="14"/>
          </reference>
          <reference field="7" count="1" selected="0">
            <x v="0"/>
          </reference>
        </references>
      </pivotArea>
    </chartFormat>
    <chartFormat chart="3" format="1347">
      <pivotArea type="data" outline="0" fieldPosition="0">
        <references count="3">
          <reference field="0" count="1" selected="0">
            <x v="0"/>
          </reference>
          <reference field="6" count="1" selected="0">
            <x v="27"/>
          </reference>
          <reference field="7" count="1" selected="0">
            <x v="0"/>
          </reference>
        </references>
      </pivotArea>
    </chartFormat>
    <chartFormat chart="3" format="1348">
      <pivotArea type="data" outline="0" fieldPosition="0">
        <references count="3">
          <reference field="0" count="1" selected="0">
            <x v="1"/>
          </reference>
          <reference field="6" count="1" selected="0">
            <x v="2"/>
          </reference>
          <reference field="7" count="1" selected="0">
            <x v="0"/>
          </reference>
        </references>
      </pivotArea>
    </chartFormat>
    <chartFormat chart="3" format="1349">
      <pivotArea type="data" outline="0" fieldPosition="0">
        <references count="3">
          <reference field="0" count="1" selected="0">
            <x v="1"/>
          </reference>
          <reference field="6" count="1" selected="0">
            <x v="9"/>
          </reference>
          <reference field="7" count="1" selected="0">
            <x v="0"/>
          </reference>
        </references>
      </pivotArea>
    </chartFormat>
    <chartFormat chart="3" format="1350">
      <pivotArea type="data" outline="0" fieldPosition="0">
        <references count="3">
          <reference field="0" count="1" selected="0">
            <x v="1"/>
          </reference>
          <reference field="6" count="1" selected="0">
            <x v="14"/>
          </reference>
          <reference field="7" count="1" selected="0">
            <x v="0"/>
          </reference>
        </references>
      </pivotArea>
    </chartFormat>
    <chartFormat chart="3" format="1351">
      <pivotArea type="data" outline="0" fieldPosition="0">
        <references count="3">
          <reference field="0" count="1" selected="0">
            <x v="2"/>
          </reference>
          <reference field="6" count="1" selected="0">
            <x v="0"/>
          </reference>
          <reference field="7" count="1" selected="0">
            <x v="0"/>
          </reference>
        </references>
      </pivotArea>
    </chartFormat>
    <chartFormat chart="3" format="1352">
      <pivotArea type="data" outline="0" fieldPosition="0">
        <references count="3">
          <reference field="0" count="1" selected="0">
            <x v="2"/>
          </reference>
          <reference field="6" count="1" selected="0">
            <x v="2"/>
          </reference>
          <reference field="7" count="1" selected="0">
            <x v="0"/>
          </reference>
        </references>
      </pivotArea>
    </chartFormat>
    <chartFormat chart="3" format="1353">
      <pivotArea type="data" outline="0" fieldPosition="0">
        <references count="3">
          <reference field="0" count="1" selected="0">
            <x v="2"/>
          </reference>
          <reference field="6" count="1" selected="0">
            <x v="9"/>
          </reference>
          <reference field="7" count="1" selected="0">
            <x v="0"/>
          </reference>
        </references>
      </pivotArea>
    </chartFormat>
    <chartFormat chart="3" format="1354">
      <pivotArea type="data" outline="0" fieldPosition="0">
        <references count="3">
          <reference field="0" count="1" selected="0">
            <x v="2"/>
          </reference>
          <reference field="6" count="1" selected="0">
            <x v="14"/>
          </reference>
          <reference field="7" count="1" selected="0">
            <x v="0"/>
          </reference>
        </references>
      </pivotArea>
    </chartFormat>
    <chartFormat chart="3" format="1355">
      <pivotArea type="data" outline="0" fieldPosition="0">
        <references count="3">
          <reference field="0" count="1" selected="0">
            <x v="2"/>
          </reference>
          <reference field="6" count="1" selected="0">
            <x v="27"/>
          </reference>
          <reference field="7" count="1" selected="0">
            <x v="0"/>
          </reference>
        </references>
      </pivotArea>
    </chartFormat>
    <chartFormat chart="3" format="1356">
      <pivotArea type="data" outline="0" fieldPosition="0">
        <references count="3">
          <reference field="0" count="1" selected="0">
            <x v="3"/>
          </reference>
          <reference field="6" count="1" selected="0">
            <x v="0"/>
          </reference>
          <reference field="7" count="1" selected="0">
            <x v="0"/>
          </reference>
        </references>
      </pivotArea>
    </chartFormat>
    <chartFormat chart="3" format="1357">
      <pivotArea type="data" outline="0" fieldPosition="0">
        <references count="3">
          <reference field="0" count="1" selected="0">
            <x v="3"/>
          </reference>
          <reference field="6" count="1" selected="0">
            <x v="2"/>
          </reference>
          <reference field="7" count="1" selected="0">
            <x v="0"/>
          </reference>
        </references>
      </pivotArea>
    </chartFormat>
    <chartFormat chart="3" format="1358">
      <pivotArea type="data" outline="0" fieldPosition="0">
        <references count="3">
          <reference field="0" count="1" selected="0">
            <x v="3"/>
          </reference>
          <reference field="6" count="1" selected="0">
            <x v="9"/>
          </reference>
          <reference field="7" count="1" selected="0">
            <x v="0"/>
          </reference>
        </references>
      </pivotArea>
    </chartFormat>
    <chartFormat chart="3" format="1359">
      <pivotArea type="data" outline="0" fieldPosition="0">
        <references count="3">
          <reference field="0" count="1" selected="0">
            <x v="3"/>
          </reference>
          <reference field="6" count="1" selected="0">
            <x v="14"/>
          </reference>
          <reference field="7" count="1" selected="0">
            <x v="0"/>
          </reference>
        </references>
      </pivotArea>
    </chartFormat>
    <chartFormat chart="3" format="1360">
      <pivotArea type="data" outline="0" fieldPosition="0">
        <references count="3">
          <reference field="0" count="1" selected="0">
            <x v="3"/>
          </reference>
          <reference field="6" count="1" selected="0">
            <x v="27"/>
          </reference>
          <reference field="7" count="1" selected="0">
            <x v="0"/>
          </reference>
        </references>
      </pivotArea>
    </chartFormat>
    <chartFormat chart="3" format="1361">
      <pivotArea type="data" outline="0" fieldPosition="0">
        <references count="3">
          <reference field="0" count="1" selected="0">
            <x v="4"/>
          </reference>
          <reference field="6" count="1" selected="0">
            <x v="0"/>
          </reference>
          <reference field="7" count="1" selected="0">
            <x v="0"/>
          </reference>
        </references>
      </pivotArea>
    </chartFormat>
    <chartFormat chart="3" format="1362">
      <pivotArea type="data" outline="0" fieldPosition="0">
        <references count="3">
          <reference field="0" count="1" selected="0">
            <x v="4"/>
          </reference>
          <reference field="6" count="1" selected="0">
            <x v="2"/>
          </reference>
          <reference field="7" count="1" selected="0">
            <x v="0"/>
          </reference>
        </references>
      </pivotArea>
    </chartFormat>
    <chartFormat chart="3" format="1363">
      <pivotArea type="data" outline="0" fieldPosition="0">
        <references count="3">
          <reference field="0" count="1" selected="0">
            <x v="4"/>
          </reference>
          <reference field="6" count="1" selected="0">
            <x v="9"/>
          </reference>
          <reference field="7" count="1" selected="0">
            <x v="0"/>
          </reference>
        </references>
      </pivotArea>
    </chartFormat>
    <chartFormat chart="3" format="1364">
      <pivotArea type="data" outline="0" fieldPosition="0">
        <references count="3">
          <reference field="0" count="1" selected="0">
            <x v="4"/>
          </reference>
          <reference field="6" count="1" selected="0">
            <x v="14"/>
          </reference>
          <reference field="7" count="1" selected="0">
            <x v="0"/>
          </reference>
        </references>
      </pivotArea>
    </chartFormat>
    <chartFormat chart="3" format="1365">
      <pivotArea type="data" outline="0" fieldPosition="0">
        <references count="3">
          <reference field="0" count="1" selected="0">
            <x v="4"/>
          </reference>
          <reference field="6" count="1" selected="0">
            <x v="27"/>
          </reference>
          <reference field="7" count="1" selected="0">
            <x v="0"/>
          </reference>
        </references>
      </pivotArea>
    </chartFormat>
    <chartFormat chart="3" format="1366">
      <pivotArea type="data" outline="0" fieldPosition="0">
        <references count="3">
          <reference field="0" count="1" selected="0">
            <x v="4"/>
          </reference>
          <reference field="6" count="1" selected="0">
            <x v="28"/>
          </reference>
          <reference field="7" count="1" selected="0">
            <x v="0"/>
          </reference>
        </references>
      </pivotArea>
    </chartFormat>
    <chartFormat chart="3" format="1367">
      <pivotArea type="data" outline="0" fieldPosition="0">
        <references count="3">
          <reference field="0" count="1" selected="0">
            <x v="5"/>
          </reference>
          <reference field="6" count="1" selected="0">
            <x v="0"/>
          </reference>
          <reference field="7" count="1" selected="0">
            <x v="0"/>
          </reference>
        </references>
      </pivotArea>
    </chartFormat>
    <chartFormat chart="3" format="1368">
      <pivotArea type="data" outline="0" fieldPosition="0">
        <references count="3">
          <reference field="0" count="1" selected="0">
            <x v="5"/>
          </reference>
          <reference field="6" count="1" selected="0">
            <x v="2"/>
          </reference>
          <reference field="7" count="1" selected="0">
            <x v="0"/>
          </reference>
        </references>
      </pivotArea>
    </chartFormat>
    <chartFormat chart="3" format="1369">
      <pivotArea type="data" outline="0" fieldPosition="0">
        <references count="3">
          <reference field="0" count="1" selected="0">
            <x v="5"/>
          </reference>
          <reference field="6" count="1" selected="0">
            <x v="9"/>
          </reference>
          <reference field="7" count="1" selected="0">
            <x v="0"/>
          </reference>
        </references>
      </pivotArea>
    </chartFormat>
    <chartFormat chart="3" format="1370">
      <pivotArea type="data" outline="0" fieldPosition="0">
        <references count="3">
          <reference field="0" count="1" selected="0">
            <x v="5"/>
          </reference>
          <reference field="6" count="1" selected="0">
            <x v="14"/>
          </reference>
          <reference field="7" count="1" selected="0">
            <x v="0"/>
          </reference>
        </references>
      </pivotArea>
    </chartFormat>
    <chartFormat chart="3" format="1371">
      <pivotArea type="data" outline="0" fieldPosition="0">
        <references count="3">
          <reference field="0" count="1" selected="0">
            <x v="5"/>
          </reference>
          <reference field="6" count="1" selected="0">
            <x v="27"/>
          </reference>
          <reference field="7" count="1" selected="0">
            <x v="0"/>
          </reference>
        </references>
      </pivotArea>
    </chartFormat>
    <chartFormat chart="3" format="1372">
      <pivotArea type="data" outline="0" fieldPosition="0">
        <references count="3">
          <reference field="0" count="1" selected="0">
            <x v="6"/>
          </reference>
          <reference field="6" count="1" selected="0">
            <x v="0"/>
          </reference>
          <reference field="7" count="1" selected="0">
            <x v="0"/>
          </reference>
        </references>
      </pivotArea>
    </chartFormat>
    <chartFormat chart="3" format="1373">
      <pivotArea type="data" outline="0" fieldPosition="0">
        <references count="3">
          <reference field="0" count="1" selected="0">
            <x v="6"/>
          </reference>
          <reference field="6" count="1" selected="0">
            <x v="2"/>
          </reference>
          <reference field="7" count="1" selected="0">
            <x v="0"/>
          </reference>
        </references>
      </pivotArea>
    </chartFormat>
    <chartFormat chart="3" format="1374">
      <pivotArea type="data" outline="0" fieldPosition="0">
        <references count="3">
          <reference field="0" count="1" selected="0">
            <x v="6"/>
          </reference>
          <reference field="6" count="1" selected="0">
            <x v="9"/>
          </reference>
          <reference field="7" count="1" selected="0">
            <x v="0"/>
          </reference>
        </references>
      </pivotArea>
    </chartFormat>
    <chartFormat chart="3" format="1375">
      <pivotArea type="data" outline="0" fieldPosition="0">
        <references count="3">
          <reference field="0" count="1" selected="0">
            <x v="6"/>
          </reference>
          <reference field="6" count="1" selected="0">
            <x v="14"/>
          </reference>
          <reference field="7" count="1" selected="0">
            <x v="0"/>
          </reference>
        </references>
      </pivotArea>
    </chartFormat>
    <chartFormat chart="3" format="1376">
      <pivotArea type="data" outline="0" fieldPosition="0">
        <references count="3">
          <reference field="0" count="1" selected="0">
            <x v="6"/>
          </reference>
          <reference field="6" count="1" selected="0">
            <x v="27"/>
          </reference>
          <reference field="7" count="1" selected="0">
            <x v="0"/>
          </reference>
        </references>
      </pivotArea>
    </chartFormat>
    <chartFormat chart="3" format="1377">
      <pivotArea type="data" outline="0" fieldPosition="0">
        <references count="3">
          <reference field="0" count="1" selected="0">
            <x v="7"/>
          </reference>
          <reference field="6" count="1" selected="0">
            <x v="0"/>
          </reference>
          <reference field="7" count="1" selected="0">
            <x v="0"/>
          </reference>
        </references>
      </pivotArea>
    </chartFormat>
    <chartFormat chart="3" format="1378">
      <pivotArea type="data" outline="0" fieldPosition="0">
        <references count="3">
          <reference field="0" count="1" selected="0">
            <x v="7"/>
          </reference>
          <reference field="6" count="1" selected="0">
            <x v="2"/>
          </reference>
          <reference field="7" count="1" selected="0">
            <x v="0"/>
          </reference>
        </references>
      </pivotArea>
    </chartFormat>
    <chartFormat chart="3" format="1379">
      <pivotArea type="data" outline="0" fieldPosition="0">
        <references count="3">
          <reference field="0" count="1" selected="0">
            <x v="7"/>
          </reference>
          <reference field="6" count="1" selected="0">
            <x v="9"/>
          </reference>
          <reference field="7" count="1" selected="0">
            <x v="0"/>
          </reference>
        </references>
      </pivotArea>
    </chartFormat>
    <chartFormat chart="3" format="1380">
      <pivotArea type="data" outline="0" fieldPosition="0">
        <references count="3">
          <reference field="0" count="1" selected="0">
            <x v="7"/>
          </reference>
          <reference field="6" count="1" selected="0">
            <x v="14"/>
          </reference>
          <reference field="7" count="1" selected="0">
            <x v="0"/>
          </reference>
        </references>
      </pivotArea>
    </chartFormat>
    <chartFormat chart="3" format="1381">
      <pivotArea type="data" outline="0" fieldPosition="0">
        <references count="3">
          <reference field="0" count="1" selected="0">
            <x v="7"/>
          </reference>
          <reference field="6" count="1" selected="0">
            <x v="27"/>
          </reference>
          <reference field="7" count="1" selected="0">
            <x v="0"/>
          </reference>
        </references>
      </pivotArea>
    </chartFormat>
    <chartFormat chart="3" format="1382">
      <pivotArea type="data" outline="0" fieldPosition="0">
        <references count="3">
          <reference field="0" count="1" selected="0">
            <x v="8"/>
          </reference>
          <reference field="6" count="1" selected="0">
            <x v="2"/>
          </reference>
          <reference field="7" count="1" selected="0">
            <x v="0"/>
          </reference>
        </references>
      </pivotArea>
    </chartFormat>
    <chartFormat chart="3" format="1383">
      <pivotArea type="data" outline="0" fieldPosition="0">
        <references count="3">
          <reference field="0" count="1" selected="0">
            <x v="8"/>
          </reference>
          <reference field="6" count="1" selected="0">
            <x v="14"/>
          </reference>
          <reference field="7" count="1" selected="0">
            <x v="0"/>
          </reference>
        </references>
      </pivotArea>
    </chartFormat>
    <chartFormat chart="3" format="1384">
      <pivotArea type="data" outline="0" fieldPosition="0">
        <references count="3">
          <reference field="0" count="1" selected="0">
            <x v="9"/>
          </reference>
          <reference field="6" count="1" selected="0">
            <x v="0"/>
          </reference>
          <reference field="7" count="1" selected="0">
            <x v="0"/>
          </reference>
        </references>
      </pivotArea>
    </chartFormat>
    <chartFormat chart="3" format="1385">
      <pivotArea type="data" outline="0" fieldPosition="0">
        <references count="3">
          <reference field="0" count="1" selected="0">
            <x v="9"/>
          </reference>
          <reference field="6" count="1" selected="0">
            <x v="2"/>
          </reference>
          <reference field="7" count="1" selected="0">
            <x v="0"/>
          </reference>
        </references>
      </pivotArea>
    </chartFormat>
    <chartFormat chart="3" format="1386">
      <pivotArea type="data" outline="0" fieldPosition="0">
        <references count="3">
          <reference field="0" count="1" selected="0">
            <x v="9"/>
          </reference>
          <reference field="6" count="1" selected="0">
            <x v="9"/>
          </reference>
          <reference field="7" count="1" selected="0">
            <x v="0"/>
          </reference>
        </references>
      </pivotArea>
    </chartFormat>
    <chartFormat chart="3" format="1387">
      <pivotArea type="data" outline="0" fieldPosition="0">
        <references count="3">
          <reference field="0" count="1" selected="0">
            <x v="9"/>
          </reference>
          <reference field="6" count="1" selected="0">
            <x v="14"/>
          </reference>
          <reference field="7" count="1" selected="0">
            <x v="0"/>
          </reference>
        </references>
      </pivotArea>
    </chartFormat>
    <chartFormat chart="3" format="1388">
      <pivotArea type="data" outline="0" fieldPosition="0">
        <references count="3">
          <reference field="0" count="1" selected="0">
            <x v="9"/>
          </reference>
          <reference field="6" count="1" selected="0">
            <x v="27"/>
          </reference>
          <reference field="7" count="1" selected="0">
            <x v="0"/>
          </reference>
        </references>
      </pivotArea>
    </chartFormat>
    <chartFormat chart="3" format="1389">
      <pivotArea type="data" outline="0" fieldPosition="0">
        <references count="3">
          <reference field="0" count="1" selected="0">
            <x v="10"/>
          </reference>
          <reference field="6" count="1" selected="0">
            <x v="0"/>
          </reference>
          <reference field="7" count="1" selected="0">
            <x v="0"/>
          </reference>
        </references>
      </pivotArea>
    </chartFormat>
    <chartFormat chart="3" format="1390">
      <pivotArea type="data" outline="0" fieldPosition="0">
        <references count="3">
          <reference field="0" count="1" selected="0">
            <x v="10"/>
          </reference>
          <reference field="6" count="1" selected="0">
            <x v="2"/>
          </reference>
          <reference field="7" count="1" selected="0">
            <x v="0"/>
          </reference>
        </references>
      </pivotArea>
    </chartFormat>
    <chartFormat chart="3" format="1391">
      <pivotArea type="data" outline="0" fieldPosition="0">
        <references count="3">
          <reference field="0" count="1" selected="0">
            <x v="10"/>
          </reference>
          <reference field="6" count="1" selected="0">
            <x v="9"/>
          </reference>
          <reference field="7" count="1" selected="0">
            <x v="0"/>
          </reference>
        </references>
      </pivotArea>
    </chartFormat>
    <chartFormat chart="3" format="1392">
      <pivotArea type="data" outline="0" fieldPosition="0">
        <references count="3">
          <reference field="0" count="1" selected="0">
            <x v="10"/>
          </reference>
          <reference field="6" count="1" selected="0">
            <x v="14"/>
          </reference>
          <reference field="7" count="1" selected="0">
            <x v="0"/>
          </reference>
        </references>
      </pivotArea>
    </chartFormat>
    <chartFormat chart="3" format="1393">
      <pivotArea type="data" outline="0" fieldPosition="0">
        <references count="3">
          <reference field="0" count="1" selected="0">
            <x v="10"/>
          </reference>
          <reference field="6" count="1" selected="0">
            <x v="27"/>
          </reference>
          <reference field="7" count="1" selected="0">
            <x v="0"/>
          </reference>
        </references>
      </pivotArea>
    </chartFormat>
    <chartFormat chart="3" format="1394">
      <pivotArea type="data" outline="0" fieldPosition="0">
        <references count="3">
          <reference field="0" count="1" selected="0">
            <x v="11"/>
          </reference>
          <reference field="6" count="1" selected="0">
            <x v="0"/>
          </reference>
          <reference field="7" count="1" selected="0">
            <x v="0"/>
          </reference>
        </references>
      </pivotArea>
    </chartFormat>
    <chartFormat chart="3" format="1395">
      <pivotArea type="data" outline="0" fieldPosition="0">
        <references count="3">
          <reference field="0" count="1" selected="0">
            <x v="11"/>
          </reference>
          <reference field="6" count="1" selected="0">
            <x v="2"/>
          </reference>
          <reference field="7" count="1" selected="0">
            <x v="0"/>
          </reference>
        </references>
      </pivotArea>
    </chartFormat>
    <chartFormat chart="3" format="1396">
      <pivotArea type="data" outline="0" fieldPosition="0">
        <references count="3">
          <reference field="0" count="1" selected="0">
            <x v="11"/>
          </reference>
          <reference field="6" count="1" selected="0">
            <x v="9"/>
          </reference>
          <reference field="7" count="1" selected="0">
            <x v="0"/>
          </reference>
        </references>
      </pivotArea>
    </chartFormat>
    <chartFormat chart="3" format="1397">
      <pivotArea type="data" outline="0" fieldPosition="0">
        <references count="3">
          <reference field="0" count="1" selected="0">
            <x v="11"/>
          </reference>
          <reference field="6" count="1" selected="0">
            <x v="14"/>
          </reference>
          <reference field="7" count="1" selected="0">
            <x v="0"/>
          </reference>
        </references>
      </pivotArea>
    </chartFormat>
    <chartFormat chart="3" format="1398">
      <pivotArea type="data" outline="0" fieldPosition="0">
        <references count="3">
          <reference field="0" count="1" selected="0">
            <x v="11"/>
          </reference>
          <reference field="6" count="1" selected="0">
            <x v="27"/>
          </reference>
          <reference field="7" count="1" selected="0">
            <x v="0"/>
          </reference>
        </references>
      </pivotArea>
    </chartFormat>
    <chartFormat chart="3" format="1399">
      <pivotArea type="data" outline="0" fieldPosition="0">
        <references count="3">
          <reference field="0" count="1" selected="0">
            <x v="12"/>
          </reference>
          <reference field="6" count="1" selected="0">
            <x v="2"/>
          </reference>
          <reference field="7" count="1" selected="0">
            <x v="0"/>
          </reference>
        </references>
      </pivotArea>
    </chartFormat>
    <chartFormat chart="3" format="1400">
      <pivotArea type="data" outline="0" fieldPosition="0">
        <references count="3">
          <reference field="0" count="1" selected="0">
            <x v="12"/>
          </reference>
          <reference field="6" count="1" selected="0">
            <x v="14"/>
          </reference>
          <reference field="7" count="1" selected="0">
            <x v="0"/>
          </reference>
        </references>
      </pivotArea>
    </chartFormat>
    <chartFormat chart="3" format="1401">
      <pivotArea type="data" outline="0" fieldPosition="0">
        <references count="3">
          <reference field="0" count="1" selected="0">
            <x v="13"/>
          </reference>
          <reference field="6" count="1" selected="0">
            <x v="2"/>
          </reference>
          <reference field="7" count="1" selected="0">
            <x v="0"/>
          </reference>
        </references>
      </pivotArea>
    </chartFormat>
    <chartFormat chart="3" format="1402">
      <pivotArea type="data" outline="0" fieldPosition="0">
        <references count="3">
          <reference field="0" count="1" selected="0">
            <x v="13"/>
          </reference>
          <reference field="6" count="1" selected="0">
            <x v="9"/>
          </reference>
          <reference field="7" count="1" selected="0">
            <x v="0"/>
          </reference>
        </references>
      </pivotArea>
    </chartFormat>
    <chartFormat chart="3" format="1403">
      <pivotArea type="data" outline="0" fieldPosition="0">
        <references count="3">
          <reference field="0" count="1" selected="0">
            <x v="13"/>
          </reference>
          <reference field="6" count="1" selected="0">
            <x v="14"/>
          </reference>
          <reference field="7" count="1" selected="0">
            <x v="0"/>
          </reference>
        </references>
      </pivotArea>
    </chartFormat>
    <chartFormat chart="3" format="1404">
      <pivotArea type="data" outline="0" fieldPosition="0">
        <references count="3">
          <reference field="0" count="1" selected="0">
            <x v="0"/>
          </reference>
          <reference field="6" count="1" selected="0">
            <x v="0"/>
          </reference>
          <reference field="7" count="1" selected="0">
            <x v="1"/>
          </reference>
        </references>
      </pivotArea>
    </chartFormat>
    <chartFormat chart="3" format="1405">
      <pivotArea type="data" outline="0" fieldPosition="0">
        <references count="3">
          <reference field="0" count="1" selected="0">
            <x v="0"/>
          </reference>
          <reference field="6" count="1" selected="0">
            <x v="2"/>
          </reference>
          <reference field="7" count="1" selected="0">
            <x v="1"/>
          </reference>
        </references>
      </pivotArea>
    </chartFormat>
    <chartFormat chart="3" format="1406">
      <pivotArea type="data" outline="0" fieldPosition="0">
        <references count="3">
          <reference field="0" count="1" selected="0">
            <x v="0"/>
          </reference>
          <reference field="6" count="1" selected="0">
            <x v="9"/>
          </reference>
          <reference field="7" count="1" selected="0">
            <x v="1"/>
          </reference>
        </references>
      </pivotArea>
    </chartFormat>
    <chartFormat chart="3" format="1407">
      <pivotArea type="data" outline="0" fieldPosition="0">
        <references count="3">
          <reference field="0" count="1" selected="0">
            <x v="0"/>
          </reference>
          <reference field="6" count="1" selected="0">
            <x v="14"/>
          </reference>
          <reference field="7" count="1" selected="0">
            <x v="1"/>
          </reference>
        </references>
      </pivotArea>
    </chartFormat>
    <chartFormat chart="3" format="1408">
      <pivotArea type="data" outline="0" fieldPosition="0">
        <references count="3">
          <reference field="0" count="1" selected="0">
            <x v="0"/>
          </reference>
          <reference field="6" count="1" selected="0">
            <x v="27"/>
          </reference>
          <reference field="7" count="1" selected="0">
            <x v="1"/>
          </reference>
        </references>
      </pivotArea>
    </chartFormat>
    <chartFormat chart="3" format="1409">
      <pivotArea type="data" outline="0" fieldPosition="0">
        <references count="3">
          <reference field="0" count="1" selected="0">
            <x v="1"/>
          </reference>
          <reference field="6" count="1" selected="0">
            <x v="2"/>
          </reference>
          <reference field="7" count="1" selected="0">
            <x v="1"/>
          </reference>
        </references>
      </pivotArea>
    </chartFormat>
    <chartFormat chart="3" format="1410">
      <pivotArea type="data" outline="0" fieldPosition="0">
        <references count="3">
          <reference field="0" count="1" selected="0">
            <x v="1"/>
          </reference>
          <reference field="6" count="1" selected="0">
            <x v="9"/>
          </reference>
          <reference field="7" count="1" selected="0">
            <x v="1"/>
          </reference>
        </references>
      </pivotArea>
    </chartFormat>
    <chartFormat chart="3" format="1411">
      <pivotArea type="data" outline="0" fieldPosition="0">
        <references count="3">
          <reference field="0" count="1" selected="0">
            <x v="1"/>
          </reference>
          <reference field="6" count="1" selected="0">
            <x v="14"/>
          </reference>
          <reference field="7" count="1" selected="0">
            <x v="1"/>
          </reference>
        </references>
      </pivotArea>
    </chartFormat>
    <chartFormat chart="3" format="1412">
      <pivotArea type="data" outline="0" fieldPosition="0">
        <references count="3">
          <reference field="0" count="1" selected="0">
            <x v="2"/>
          </reference>
          <reference field="6" count="1" selected="0">
            <x v="0"/>
          </reference>
          <reference field="7" count="1" selected="0">
            <x v="1"/>
          </reference>
        </references>
      </pivotArea>
    </chartFormat>
    <chartFormat chart="3" format="1413">
      <pivotArea type="data" outline="0" fieldPosition="0">
        <references count="3">
          <reference field="0" count="1" selected="0">
            <x v="2"/>
          </reference>
          <reference field="6" count="1" selected="0">
            <x v="2"/>
          </reference>
          <reference field="7" count="1" selected="0">
            <x v="1"/>
          </reference>
        </references>
      </pivotArea>
    </chartFormat>
    <chartFormat chart="3" format="1414">
      <pivotArea type="data" outline="0" fieldPosition="0">
        <references count="3">
          <reference field="0" count="1" selected="0">
            <x v="2"/>
          </reference>
          <reference field="6" count="1" selected="0">
            <x v="9"/>
          </reference>
          <reference field="7" count="1" selected="0">
            <x v="1"/>
          </reference>
        </references>
      </pivotArea>
    </chartFormat>
    <chartFormat chart="3" format="1415">
      <pivotArea type="data" outline="0" fieldPosition="0">
        <references count="3">
          <reference field="0" count="1" selected="0">
            <x v="2"/>
          </reference>
          <reference field="6" count="1" selected="0">
            <x v="14"/>
          </reference>
          <reference field="7" count="1" selected="0">
            <x v="1"/>
          </reference>
        </references>
      </pivotArea>
    </chartFormat>
    <chartFormat chart="3" format="1416">
      <pivotArea type="data" outline="0" fieldPosition="0">
        <references count="3">
          <reference field="0" count="1" selected="0">
            <x v="2"/>
          </reference>
          <reference field="6" count="1" selected="0">
            <x v="27"/>
          </reference>
          <reference field="7" count="1" selected="0">
            <x v="1"/>
          </reference>
        </references>
      </pivotArea>
    </chartFormat>
    <chartFormat chart="3" format="1417">
      <pivotArea type="data" outline="0" fieldPosition="0">
        <references count="3">
          <reference field="0" count="1" selected="0">
            <x v="3"/>
          </reference>
          <reference field="6" count="1" selected="0">
            <x v="0"/>
          </reference>
          <reference field="7" count="1" selected="0">
            <x v="1"/>
          </reference>
        </references>
      </pivotArea>
    </chartFormat>
    <chartFormat chart="3" format="1418">
      <pivotArea type="data" outline="0" fieldPosition="0">
        <references count="3">
          <reference field="0" count="1" selected="0">
            <x v="3"/>
          </reference>
          <reference field="6" count="1" selected="0">
            <x v="2"/>
          </reference>
          <reference field="7" count="1" selected="0">
            <x v="1"/>
          </reference>
        </references>
      </pivotArea>
    </chartFormat>
    <chartFormat chart="3" format="1419">
      <pivotArea type="data" outline="0" fieldPosition="0">
        <references count="3">
          <reference field="0" count="1" selected="0">
            <x v="3"/>
          </reference>
          <reference field="6" count="1" selected="0">
            <x v="9"/>
          </reference>
          <reference field="7" count="1" selected="0">
            <x v="1"/>
          </reference>
        </references>
      </pivotArea>
    </chartFormat>
    <chartFormat chart="3" format="1420">
      <pivotArea type="data" outline="0" fieldPosition="0">
        <references count="3">
          <reference field="0" count="1" selected="0">
            <x v="3"/>
          </reference>
          <reference field="6" count="1" selected="0">
            <x v="14"/>
          </reference>
          <reference field="7" count="1" selected="0">
            <x v="1"/>
          </reference>
        </references>
      </pivotArea>
    </chartFormat>
    <chartFormat chart="3" format="1421">
      <pivotArea type="data" outline="0" fieldPosition="0">
        <references count="3">
          <reference field="0" count="1" selected="0">
            <x v="3"/>
          </reference>
          <reference field="6" count="1" selected="0">
            <x v="27"/>
          </reference>
          <reference field="7" count="1" selected="0">
            <x v="1"/>
          </reference>
        </references>
      </pivotArea>
    </chartFormat>
    <chartFormat chart="3" format="1422">
      <pivotArea type="data" outline="0" fieldPosition="0">
        <references count="3">
          <reference field="0" count="1" selected="0">
            <x v="4"/>
          </reference>
          <reference field="6" count="1" selected="0">
            <x v="0"/>
          </reference>
          <reference field="7" count="1" selected="0">
            <x v="1"/>
          </reference>
        </references>
      </pivotArea>
    </chartFormat>
    <chartFormat chart="3" format="1423">
      <pivotArea type="data" outline="0" fieldPosition="0">
        <references count="3">
          <reference field="0" count="1" selected="0">
            <x v="4"/>
          </reference>
          <reference field="6" count="1" selected="0">
            <x v="2"/>
          </reference>
          <reference field="7" count="1" selected="0">
            <x v="1"/>
          </reference>
        </references>
      </pivotArea>
    </chartFormat>
    <chartFormat chart="3" format="1424">
      <pivotArea type="data" outline="0" fieldPosition="0">
        <references count="3">
          <reference field="0" count="1" selected="0">
            <x v="4"/>
          </reference>
          <reference field="6" count="1" selected="0">
            <x v="9"/>
          </reference>
          <reference field="7" count="1" selected="0">
            <x v="1"/>
          </reference>
        </references>
      </pivotArea>
    </chartFormat>
    <chartFormat chart="3" format="1425">
      <pivotArea type="data" outline="0" fieldPosition="0">
        <references count="3">
          <reference field="0" count="1" selected="0">
            <x v="4"/>
          </reference>
          <reference field="6" count="1" selected="0">
            <x v="14"/>
          </reference>
          <reference field="7" count="1" selected="0">
            <x v="1"/>
          </reference>
        </references>
      </pivotArea>
    </chartFormat>
    <chartFormat chart="3" format="1426">
      <pivotArea type="data" outline="0" fieldPosition="0">
        <references count="3">
          <reference field="0" count="1" selected="0">
            <x v="4"/>
          </reference>
          <reference field="6" count="1" selected="0">
            <x v="27"/>
          </reference>
          <reference field="7" count="1" selected="0">
            <x v="1"/>
          </reference>
        </references>
      </pivotArea>
    </chartFormat>
    <chartFormat chart="3" format="1427">
      <pivotArea type="data" outline="0" fieldPosition="0">
        <references count="3">
          <reference field="0" count="1" selected="0">
            <x v="4"/>
          </reference>
          <reference field="6" count="1" selected="0">
            <x v="28"/>
          </reference>
          <reference field="7" count="1" selected="0">
            <x v="1"/>
          </reference>
        </references>
      </pivotArea>
    </chartFormat>
    <chartFormat chart="3" format="1428">
      <pivotArea type="data" outline="0" fieldPosition="0">
        <references count="3">
          <reference field="0" count="1" selected="0">
            <x v="5"/>
          </reference>
          <reference field="6" count="1" selected="0">
            <x v="0"/>
          </reference>
          <reference field="7" count="1" selected="0">
            <x v="1"/>
          </reference>
        </references>
      </pivotArea>
    </chartFormat>
    <chartFormat chart="3" format="1429">
      <pivotArea type="data" outline="0" fieldPosition="0">
        <references count="3">
          <reference field="0" count="1" selected="0">
            <x v="5"/>
          </reference>
          <reference field="6" count="1" selected="0">
            <x v="2"/>
          </reference>
          <reference field="7" count="1" selected="0">
            <x v="1"/>
          </reference>
        </references>
      </pivotArea>
    </chartFormat>
    <chartFormat chart="3" format="1430">
      <pivotArea type="data" outline="0" fieldPosition="0">
        <references count="3">
          <reference field="0" count="1" selected="0">
            <x v="5"/>
          </reference>
          <reference field="6" count="1" selected="0">
            <x v="9"/>
          </reference>
          <reference field="7" count="1" selected="0">
            <x v="1"/>
          </reference>
        </references>
      </pivotArea>
    </chartFormat>
    <chartFormat chart="3" format="1431">
      <pivotArea type="data" outline="0" fieldPosition="0">
        <references count="3">
          <reference field="0" count="1" selected="0">
            <x v="5"/>
          </reference>
          <reference field="6" count="1" selected="0">
            <x v="14"/>
          </reference>
          <reference field="7" count="1" selected="0">
            <x v="1"/>
          </reference>
        </references>
      </pivotArea>
    </chartFormat>
    <chartFormat chart="3" format="1432">
      <pivotArea type="data" outline="0" fieldPosition="0">
        <references count="3">
          <reference field="0" count="1" selected="0">
            <x v="5"/>
          </reference>
          <reference field="6" count="1" selected="0">
            <x v="27"/>
          </reference>
          <reference field="7" count="1" selected="0">
            <x v="1"/>
          </reference>
        </references>
      </pivotArea>
    </chartFormat>
    <chartFormat chart="3" format="1433">
      <pivotArea type="data" outline="0" fieldPosition="0">
        <references count="3">
          <reference field="0" count="1" selected="0">
            <x v="6"/>
          </reference>
          <reference field="6" count="1" selected="0">
            <x v="0"/>
          </reference>
          <reference field="7" count="1" selected="0">
            <x v="1"/>
          </reference>
        </references>
      </pivotArea>
    </chartFormat>
    <chartFormat chart="3" format="1434">
      <pivotArea type="data" outline="0" fieldPosition="0">
        <references count="3">
          <reference field="0" count="1" selected="0">
            <x v="6"/>
          </reference>
          <reference field="6" count="1" selected="0">
            <x v="2"/>
          </reference>
          <reference field="7" count="1" selected="0">
            <x v="1"/>
          </reference>
        </references>
      </pivotArea>
    </chartFormat>
    <chartFormat chart="3" format="1435">
      <pivotArea type="data" outline="0" fieldPosition="0">
        <references count="3">
          <reference field="0" count="1" selected="0">
            <x v="6"/>
          </reference>
          <reference field="6" count="1" selected="0">
            <x v="9"/>
          </reference>
          <reference field="7" count="1" selected="0">
            <x v="1"/>
          </reference>
        </references>
      </pivotArea>
    </chartFormat>
    <chartFormat chart="3" format="1436">
      <pivotArea type="data" outline="0" fieldPosition="0">
        <references count="3">
          <reference field="0" count="1" selected="0">
            <x v="6"/>
          </reference>
          <reference field="6" count="1" selected="0">
            <x v="14"/>
          </reference>
          <reference field="7" count="1" selected="0">
            <x v="1"/>
          </reference>
        </references>
      </pivotArea>
    </chartFormat>
    <chartFormat chart="3" format="1437">
      <pivotArea type="data" outline="0" fieldPosition="0">
        <references count="3">
          <reference field="0" count="1" selected="0">
            <x v="6"/>
          </reference>
          <reference field="6" count="1" selected="0">
            <x v="27"/>
          </reference>
          <reference field="7" count="1" selected="0">
            <x v="1"/>
          </reference>
        </references>
      </pivotArea>
    </chartFormat>
    <chartFormat chart="3" format="1438">
      <pivotArea type="data" outline="0" fieldPosition="0">
        <references count="3">
          <reference field="0" count="1" selected="0">
            <x v="7"/>
          </reference>
          <reference field="6" count="1" selected="0">
            <x v="0"/>
          </reference>
          <reference field="7" count="1" selected="0">
            <x v="1"/>
          </reference>
        </references>
      </pivotArea>
    </chartFormat>
    <chartFormat chart="3" format="1439">
      <pivotArea type="data" outline="0" fieldPosition="0">
        <references count="3">
          <reference field="0" count="1" selected="0">
            <x v="7"/>
          </reference>
          <reference field="6" count="1" selected="0">
            <x v="2"/>
          </reference>
          <reference field="7" count="1" selected="0">
            <x v="1"/>
          </reference>
        </references>
      </pivotArea>
    </chartFormat>
    <chartFormat chart="3" format="1440">
      <pivotArea type="data" outline="0" fieldPosition="0">
        <references count="3">
          <reference field="0" count="1" selected="0">
            <x v="7"/>
          </reference>
          <reference field="6" count="1" selected="0">
            <x v="9"/>
          </reference>
          <reference field="7" count="1" selected="0">
            <x v="1"/>
          </reference>
        </references>
      </pivotArea>
    </chartFormat>
    <chartFormat chart="3" format="1441">
      <pivotArea type="data" outline="0" fieldPosition="0">
        <references count="3">
          <reference field="0" count="1" selected="0">
            <x v="7"/>
          </reference>
          <reference field="6" count="1" selected="0">
            <x v="14"/>
          </reference>
          <reference field="7" count="1" selected="0">
            <x v="1"/>
          </reference>
        </references>
      </pivotArea>
    </chartFormat>
    <chartFormat chart="3" format="1442">
      <pivotArea type="data" outline="0" fieldPosition="0">
        <references count="3">
          <reference field="0" count="1" selected="0">
            <x v="7"/>
          </reference>
          <reference field="6" count="1" selected="0">
            <x v="27"/>
          </reference>
          <reference field="7" count="1" selected="0">
            <x v="1"/>
          </reference>
        </references>
      </pivotArea>
    </chartFormat>
    <chartFormat chart="3" format="1443">
      <pivotArea type="data" outline="0" fieldPosition="0">
        <references count="3">
          <reference field="0" count="1" selected="0">
            <x v="8"/>
          </reference>
          <reference field="6" count="1" selected="0">
            <x v="2"/>
          </reference>
          <reference field="7" count="1" selected="0">
            <x v="1"/>
          </reference>
        </references>
      </pivotArea>
    </chartFormat>
    <chartFormat chart="3" format="1444">
      <pivotArea type="data" outline="0" fieldPosition="0">
        <references count="3">
          <reference field="0" count="1" selected="0">
            <x v="8"/>
          </reference>
          <reference field="6" count="1" selected="0">
            <x v="14"/>
          </reference>
          <reference field="7" count="1" selected="0">
            <x v="1"/>
          </reference>
        </references>
      </pivotArea>
    </chartFormat>
    <chartFormat chart="3" format="1445">
      <pivotArea type="data" outline="0" fieldPosition="0">
        <references count="3">
          <reference field="0" count="1" selected="0">
            <x v="9"/>
          </reference>
          <reference field="6" count="1" selected="0">
            <x v="0"/>
          </reference>
          <reference field="7" count="1" selected="0">
            <x v="1"/>
          </reference>
        </references>
      </pivotArea>
    </chartFormat>
    <chartFormat chart="3" format="1446">
      <pivotArea type="data" outline="0" fieldPosition="0">
        <references count="3">
          <reference field="0" count="1" selected="0">
            <x v="9"/>
          </reference>
          <reference field="6" count="1" selected="0">
            <x v="2"/>
          </reference>
          <reference field="7" count="1" selected="0">
            <x v="1"/>
          </reference>
        </references>
      </pivotArea>
    </chartFormat>
    <chartFormat chart="3" format="1447">
      <pivotArea type="data" outline="0" fieldPosition="0">
        <references count="3">
          <reference field="0" count="1" selected="0">
            <x v="9"/>
          </reference>
          <reference field="6" count="1" selected="0">
            <x v="9"/>
          </reference>
          <reference field="7" count="1" selected="0">
            <x v="1"/>
          </reference>
        </references>
      </pivotArea>
    </chartFormat>
    <chartFormat chart="3" format="1448">
      <pivotArea type="data" outline="0" fieldPosition="0">
        <references count="3">
          <reference field="0" count="1" selected="0">
            <x v="9"/>
          </reference>
          <reference field="6" count="1" selected="0">
            <x v="14"/>
          </reference>
          <reference field="7" count="1" selected="0">
            <x v="1"/>
          </reference>
        </references>
      </pivotArea>
    </chartFormat>
    <chartFormat chart="3" format="1449">
      <pivotArea type="data" outline="0" fieldPosition="0">
        <references count="3">
          <reference field="0" count="1" selected="0">
            <x v="9"/>
          </reference>
          <reference field="6" count="1" selected="0">
            <x v="27"/>
          </reference>
          <reference field="7" count="1" selected="0">
            <x v="1"/>
          </reference>
        </references>
      </pivotArea>
    </chartFormat>
    <chartFormat chart="3" format="1450">
      <pivotArea type="data" outline="0" fieldPosition="0">
        <references count="3">
          <reference field="0" count="1" selected="0">
            <x v="10"/>
          </reference>
          <reference field="6" count="1" selected="0">
            <x v="0"/>
          </reference>
          <reference field="7" count="1" selected="0">
            <x v="1"/>
          </reference>
        </references>
      </pivotArea>
    </chartFormat>
    <chartFormat chart="3" format="1451">
      <pivotArea type="data" outline="0" fieldPosition="0">
        <references count="3">
          <reference field="0" count="1" selected="0">
            <x v="10"/>
          </reference>
          <reference field="6" count="1" selected="0">
            <x v="2"/>
          </reference>
          <reference field="7" count="1" selected="0">
            <x v="1"/>
          </reference>
        </references>
      </pivotArea>
    </chartFormat>
    <chartFormat chart="3" format="1452">
      <pivotArea type="data" outline="0" fieldPosition="0">
        <references count="3">
          <reference field="0" count="1" selected="0">
            <x v="10"/>
          </reference>
          <reference field="6" count="1" selected="0">
            <x v="9"/>
          </reference>
          <reference field="7" count="1" selected="0">
            <x v="1"/>
          </reference>
        </references>
      </pivotArea>
    </chartFormat>
    <chartFormat chart="3" format="1453">
      <pivotArea type="data" outline="0" fieldPosition="0">
        <references count="3">
          <reference field="0" count="1" selected="0">
            <x v="10"/>
          </reference>
          <reference field="6" count="1" selected="0">
            <x v="14"/>
          </reference>
          <reference field="7" count="1" selected="0">
            <x v="1"/>
          </reference>
        </references>
      </pivotArea>
    </chartFormat>
    <chartFormat chart="3" format="1454">
      <pivotArea type="data" outline="0" fieldPosition="0">
        <references count="3">
          <reference field="0" count="1" selected="0">
            <x v="10"/>
          </reference>
          <reference field="6" count="1" selected="0">
            <x v="27"/>
          </reference>
          <reference field="7" count="1" selected="0">
            <x v="1"/>
          </reference>
        </references>
      </pivotArea>
    </chartFormat>
    <chartFormat chart="3" format="1455">
      <pivotArea type="data" outline="0" fieldPosition="0">
        <references count="3">
          <reference field="0" count="1" selected="0">
            <x v="11"/>
          </reference>
          <reference field="6" count="1" selected="0">
            <x v="0"/>
          </reference>
          <reference field="7" count="1" selected="0">
            <x v="1"/>
          </reference>
        </references>
      </pivotArea>
    </chartFormat>
    <chartFormat chart="3" format="1456">
      <pivotArea type="data" outline="0" fieldPosition="0">
        <references count="3">
          <reference field="0" count="1" selected="0">
            <x v="11"/>
          </reference>
          <reference field="6" count="1" selected="0">
            <x v="2"/>
          </reference>
          <reference field="7" count="1" selected="0">
            <x v="1"/>
          </reference>
        </references>
      </pivotArea>
    </chartFormat>
    <chartFormat chart="3" format="1457">
      <pivotArea type="data" outline="0" fieldPosition="0">
        <references count="3">
          <reference field="0" count="1" selected="0">
            <x v="11"/>
          </reference>
          <reference field="6" count="1" selected="0">
            <x v="9"/>
          </reference>
          <reference field="7" count="1" selected="0">
            <x v="1"/>
          </reference>
        </references>
      </pivotArea>
    </chartFormat>
    <chartFormat chart="3" format="1458">
      <pivotArea type="data" outline="0" fieldPosition="0">
        <references count="3">
          <reference field="0" count="1" selected="0">
            <x v="11"/>
          </reference>
          <reference field="6" count="1" selected="0">
            <x v="14"/>
          </reference>
          <reference field="7" count="1" selected="0">
            <x v="1"/>
          </reference>
        </references>
      </pivotArea>
    </chartFormat>
    <chartFormat chart="3" format="1459">
      <pivotArea type="data" outline="0" fieldPosition="0">
        <references count="3">
          <reference field="0" count="1" selected="0">
            <x v="11"/>
          </reference>
          <reference field="6" count="1" selected="0">
            <x v="27"/>
          </reference>
          <reference field="7" count="1" selected="0">
            <x v="1"/>
          </reference>
        </references>
      </pivotArea>
    </chartFormat>
    <chartFormat chart="3" format="1460">
      <pivotArea type="data" outline="0" fieldPosition="0">
        <references count="3">
          <reference field="0" count="1" selected="0">
            <x v="12"/>
          </reference>
          <reference field="6" count="1" selected="0">
            <x v="2"/>
          </reference>
          <reference field="7" count="1" selected="0">
            <x v="1"/>
          </reference>
        </references>
      </pivotArea>
    </chartFormat>
    <chartFormat chart="3" format="1461">
      <pivotArea type="data" outline="0" fieldPosition="0">
        <references count="3">
          <reference field="0" count="1" selected="0">
            <x v="12"/>
          </reference>
          <reference field="6" count="1" selected="0">
            <x v="14"/>
          </reference>
          <reference field="7" count="1" selected="0">
            <x v="1"/>
          </reference>
        </references>
      </pivotArea>
    </chartFormat>
    <chartFormat chart="3" format="1462">
      <pivotArea type="data" outline="0" fieldPosition="0">
        <references count="3">
          <reference field="0" count="1" selected="0">
            <x v="13"/>
          </reference>
          <reference field="6" count="1" selected="0">
            <x v="2"/>
          </reference>
          <reference field="7" count="1" selected="0">
            <x v="1"/>
          </reference>
        </references>
      </pivotArea>
    </chartFormat>
    <chartFormat chart="3" format="1463">
      <pivotArea type="data" outline="0" fieldPosition="0">
        <references count="3">
          <reference field="0" count="1" selected="0">
            <x v="13"/>
          </reference>
          <reference field="6" count="1" selected="0">
            <x v="9"/>
          </reference>
          <reference field="7" count="1" selected="0">
            <x v="1"/>
          </reference>
        </references>
      </pivotArea>
    </chartFormat>
    <chartFormat chart="3" format="1464">
      <pivotArea type="data" outline="0" fieldPosition="0">
        <references count="3">
          <reference field="0" count="1" selected="0">
            <x v="13"/>
          </reference>
          <reference field="6" count="1" selected="0">
            <x v="14"/>
          </reference>
          <reference field="7" count="1" selected="0">
            <x v="1"/>
          </reference>
        </references>
      </pivotArea>
    </chartFormat>
    <chartFormat chart="3" format="1465">
      <pivotArea type="data" outline="0" fieldPosition="0">
        <references count="3">
          <reference field="0" count="1" selected="0">
            <x v="0"/>
          </reference>
          <reference field="6" count="1" selected="0">
            <x v="0"/>
          </reference>
          <reference field="7" count="1" selected="0">
            <x v="3"/>
          </reference>
        </references>
      </pivotArea>
    </chartFormat>
    <chartFormat chart="3" format="1466">
      <pivotArea type="data" outline="0" fieldPosition="0">
        <references count="3">
          <reference field="0" count="1" selected="0">
            <x v="0"/>
          </reference>
          <reference field="6" count="1" selected="0">
            <x v="2"/>
          </reference>
          <reference field="7" count="1" selected="0">
            <x v="3"/>
          </reference>
        </references>
      </pivotArea>
    </chartFormat>
    <chartFormat chart="3" format="1467">
      <pivotArea type="data" outline="0" fieldPosition="0">
        <references count="3">
          <reference field="0" count="1" selected="0">
            <x v="0"/>
          </reference>
          <reference field="6" count="1" selected="0">
            <x v="9"/>
          </reference>
          <reference field="7" count="1" selected="0">
            <x v="3"/>
          </reference>
        </references>
      </pivotArea>
    </chartFormat>
    <chartFormat chart="3" format="1468">
      <pivotArea type="data" outline="0" fieldPosition="0">
        <references count="3">
          <reference field="0" count="1" selected="0">
            <x v="0"/>
          </reference>
          <reference field="6" count="1" selected="0">
            <x v="14"/>
          </reference>
          <reference field="7" count="1" selected="0">
            <x v="3"/>
          </reference>
        </references>
      </pivotArea>
    </chartFormat>
    <chartFormat chart="3" format="1469">
      <pivotArea type="data" outline="0" fieldPosition="0">
        <references count="3">
          <reference field="0" count="1" selected="0">
            <x v="0"/>
          </reference>
          <reference field="6" count="1" selected="0">
            <x v="27"/>
          </reference>
          <reference field="7" count="1" selected="0">
            <x v="3"/>
          </reference>
        </references>
      </pivotArea>
    </chartFormat>
    <chartFormat chart="3" format="1470">
      <pivotArea type="data" outline="0" fieldPosition="0">
        <references count="3">
          <reference field="0" count="1" selected="0">
            <x v="1"/>
          </reference>
          <reference field="6" count="1" selected="0">
            <x v="2"/>
          </reference>
          <reference field="7" count="1" selected="0">
            <x v="3"/>
          </reference>
        </references>
      </pivotArea>
    </chartFormat>
    <chartFormat chart="3" format="1471">
      <pivotArea type="data" outline="0" fieldPosition="0">
        <references count="3">
          <reference field="0" count="1" selected="0">
            <x v="1"/>
          </reference>
          <reference field="6" count="1" selected="0">
            <x v="9"/>
          </reference>
          <reference field="7" count="1" selected="0">
            <x v="3"/>
          </reference>
        </references>
      </pivotArea>
    </chartFormat>
    <chartFormat chart="3" format="1472">
      <pivotArea type="data" outline="0" fieldPosition="0">
        <references count="3">
          <reference field="0" count="1" selected="0">
            <x v="1"/>
          </reference>
          <reference field="6" count="1" selected="0">
            <x v="14"/>
          </reference>
          <reference field="7" count="1" selected="0">
            <x v="3"/>
          </reference>
        </references>
      </pivotArea>
    </chartFormat>
    <chartFormat chart="3" format="1473">
      <pivotArea type="data" outline="0" fieldPosition="0">
        <references count="3">
          <reference field="0" count="1" selected="0">
            <x v="2"/>
          </reference>
          <reference field="6" count="1" selected="0">
            <x v="0"/>
          </reference>
          <reference field="7" count="1" selected="0">
            <x v="3"/>
          </reference>
        </references>
      </pivotArea>
    </chartFormat>
    <chartFormat chart="3" format="1474">
      <pivotArea type="data" outline="0" fieldPosition="0">
        <references count="3">
          <reference field="0" count="1" selected="0">
            <x v="2"/>
          </reference>
          <reference field="6" count="1" selected="0">
            <x v="2"/>
          </reference>
          <reference field="7" count="1" selected="0">
            <x v="3"/>
          </reference>
        </references>
      </pivotArea>
    </chartFormat>
    <chartFormat chart="3" format="1475">
      <pivotArea type="data" outline="0" fieldPosition="0">
        <references count="3">
          <reference field="0" count="1" selected="0">
            <x v="2"/>
          </reference>
          <reference field="6" count="1" selected="0">
            <x v="9"/>
          </reference>
          <reference field="7" count="1" selected="0">
            <x v="3"/>
          </reference>
        </references>
      </pivotArea>
    </chartFormat>
    <chartFormat chart="3" format="1476">
      <pivotArea type="data" outline="0" fieldPosition="0">
        <references count="3">
          <reference field="0" count="1" selected="0">
            <x v="2"/>
          </reference>
          <reference field="6" count="1" selected="0">
            <x v="14"/>
          </reference>
          <reference field="7" count="1" selected="0">
            <x v="3"/>
          </reference>
        </references>
      </pivotArea>
    </chartFormat>
    <chartFormat chart="3" format="1477">
      <pivotArea type="data" outline="0" fieldPosition="0">
        <references count="3">
          <reference field="0" count="1" selected="0">
            <x v="2"/>
          </reference>
          <reference field="6" count="1" selected="0">
            <x v="27"/>
          </reference>
          <reference field="7" count="1" selected="0">
            <x v="3"/>
          </reference>
        </references>
      </pivotArea>
    </chartFormat>
    <chartFormat chart="3" format="1478">
      <pivotArea type="data" outline="0" fieldPosition="0">
        <references count="3">
          <reference field="0" count="1" selected="0">
            <x v="3"/>
          </reference>
          <reference field="6" count="1" selected="0">
            <x v="0"/>
          </reference>
          <reference field="7" count="1" selected="0">
            <x v="3"/>
          </reference>
        </references>
      </pivotArea>
    </chartFormat>
    <chartFormat chart="3" format="1479">
      <pivotArea type="data" outline="0" fieldPosition="0">
        <references count="3">
          <reference field="0" count="1" selected="0">
            <x v="3"/>
          </reference>
          <reference field="6" count="1" selected="0">
            <x v="2"/>
          </reference>
          <reference field="7" count="1" selected="0">
            <x v="3"/>
          </reference>
        </references>
      </pivotArea>
    </chartFormat>
    <chartFormat chart="3" format="1480">
      <pivotArea type="data" outline="0" fieldPosition="0">
        <references count="3">
          <reference field="0" count="1" selected="0">
            <x v="3"/>
          </reference>
          <reference field="6" count="1" selected="0">
            <x v="9"/>
          </reference>
          <reference field="7" count="1" selected="0">
            <x v="3"/>
          </reference>
        </references>
      </pivotArea>
    </chartFormat>
    <chartFormat chart="3" format="1481">
      <pivotArea type="data" outline="0" fieldPosition="0">
        <references count="3">
          <reference field="0" count="1" selected="0">
            <x v="3"/>
          </reference>
          <reference field="6" count="1" selected="0">
            <x v="14"/>
          </reference>
          <reference field="7" count="1" selected="0">
            <x v="3"/>
          </reference>
        </references>
      </pivotArea>
    </chartFormat>
    <chartFormat chart="3" format="1482">
      <pivotArea type="data" outline="0" fieldPosition="0">
        <references count="3">
          <reference field="0" count="1" selected="0">
            <x v="3"/>
          </reference>
          <reference field="6" count="1" selected="0">
            <x v="27"/>
          </reference>
          <reference field="7" count="1" selected="0">
            <x v="3"/>
          </reference>
        </references>
      </pivotArea>
    </chartFormat>
    <chartFormat chart="3" format="1483">
      <pivotArea type="data" outline="0" fieldPosition="0">
        <references count="3">
          <reference field="0" count="1" selected="0">
            <x v="4"/>
          </reference>
          <reference field="6" count="1" selected="0">
            <x v="0"/>
          </reference>
          <reference field="7" count="1" selected="0">
            <x v="3"/>
          </reference>
        </references>
      </pivotArea>
    </chartFormat>
    <chartFormat chart="3" format="1484">
      <pivotArea type="data" outline="0" fieldPosition="0">
        <references count="3">
          <reference field="0" count="1" selected="0">
            <x v="4"/>
          </reference>
          <reference field="6" count="1" selected="0">
            <x v="2"/>
          </reference>
          <reference field="7" count="1" selected="0">
            <x v="3"/>
          </reference>
        </references>
      </pivotArea>
    </chartFormat>
    <chartFormat chart="3" format="1485">
      <pivotArea type="data" outline="0" fieldPosition="0">
        <references count="3">
          <reference field="0" count="1" selected="0">
            <x v="4"/>
          </reference>
          <reference field="6" count="1" selected="0">
            <x v="9"/>
          </reference>
          <reference field="7" count="1" selected="0">
            <x v="3"/>
          </reference>
        </references>
      </pivotArea>
    </chartFormat>
    <chartFormat chart="3" format="1486">
      <pivotArea type="data" outline="0" fieldPosition="0">
        <references count="3">
          <reference field="0" count="1" selected="0">
            <x v="4"/>
          </reference>
          <reference field="6" count="1" selected="0">
            <x v="14"/>
          </reference>
          <reference field="7" count="1" selected="0">
            <x v="3"/>
          </reference>
        </references>
      </pivotArea>
    </chartFormat>
    <chartFormat chart="3" format="1487">
      <pivotArea type="data" outline="0" fieldPosition="0">
        <references count="3">
          <reference field="0" count="1" selected="0">
            <x v="4"/>
          </reference>
          <reference field="6" count="1" selected="0">
            <x v="27"/>
          </reference>
          <reference field="7" count="1" selected="0">
            <x v="3"/>
          </reference>
        </references>
      </pivotArea>
    </chartFormat>
    <chartFormat chart="3" format="1488">
      <pivotArea type="data" outline="0" fieldPosition="0">
        <references count="3">
          <reference field="0" count="1" selected="0">
            <x v="4"/>
          </reference>
          <reference field="6" count="1" selected="0">
            <x v="28"/>
          </reference>
          <reference field="7" count="1" selected="0">
            <x v="3"/>
          </reference>
        </references>
      </pivotArea>
    </chartFormat>
    <chartFormat chart="3" format="1489">
      <pivotArea type="data" outline="0" fieldPosition="0">
        <references count="3">
          <reference field="0" count="1" selected="0">
            <x v="5"/>
          </reference>
          <reference field="6" count="1" selected="0">
            <x v="0"/>
          </reference>
          <reference field="7" count="1" selected="0">
            <x v="3"/>
          </reference>
        </references>
      </pivotArea>
    </chartFormat>
    <chartFormat chart="3" format="1490">
      <pivotArea type="data" outline="0" fieldPosition="0">
        <references count="3">
          <reference field="0" count="1" selected="0">
            <x v="5"/>
          </reference>
          <reference field="6" count="1" selected="0">
            <x v="2"/>
          </reference>
          <reference field="7" count="1" selected="0">
            <x v="3"/>
          </reference>
        </references>
      </pivotArea>
    </chartFormat>
    <chartFormat chart="3" format="1491">
      <pivotArea type="data" outline="0" fieldPosition="0">
        <references count="3">
          <reference field="0" count="1" selected="0">
            <x v="5"/>
          </reference>
          <reference field="6" count="1" selected="0">
            <x v="9"/>
          </reference>
          <reference field="7" count="1" selected="0">
            <x v="3"/>
          </reference>
        </references>
      </pivotArea>
    </chartFormat>
    <chartFormat chart="3" format="1492">
      <pivotArea type="data" outline="0" fieldPosition="0">
        <references count="3">
          <reference field="0" count="1" selected="0">
            <x v="5"/>
          </reference>
          <reference field="6" count="1" selected="0">
            <x v="14"/>
          </reference>
          <reference field="7" count="1" selected="0">
            <x v="3"/>
          </reference>
        </references>
      </pivotArea>
    </chartFormat>
    <chartFormat chart="3" format="1493">
      <pivotArea type="data" outline="0" fieldPosition="0">
        <references count="3">
          <reference field="0" count="1" selected="0">
            <x v="5"/>
          </reference>
          <reference field="6" count="1" selected="0">
            <x v="27"/>
          </reference>
          <reference field="7" count="1" selected="0">
            <x v="3"/>
          </reference>
        </references>
      </pivotArea>
    </chartFormat>
    <chartFormat chart="3" format="1494">
      <pivotArea type="data" outline="0" fieldPosition="0">
        <references count="3">
          <reference field="0" count="1" selected="0">
            <x v="6"/>
          </reference>
          <reference field="6" count="1" selected="0">
            <x v="0"/>
          </reference>
          <reference field="7" count="1" selected="0">
            <x v="3"/>
          </reference>
        </references>
      </pivotArea>
    </chartFormat>
    <chartFormat chart="3" format="1495">
      <pivotArea type="data" outline="0" fieldPosition="0">
        <references count="3">
          <reference field="0" count="1" selected="0">
            <x v="6"/>
          </reference>
          <reference field="6" count="1" selected="0">
            <x v="2"/>
          </reference>
          <reference field="7" count="1" selected="0">
            <x v="3"/>
          </reference>
        </references>
      </pivotArea>
    </chartFormat>
    <chartFormat chart="3" format="1496">
      <pivotArea type="data" outline="0" fieldPosition="0">
        <references count="3">
          <reference field="0" count="1" selected="0">
            <x v="6"/>
          </reference>
          <reference field="6" count="1" selected="0">
            <x v="9"/>
          </reference>
          <reference field="7" count="1" selected="0">
            <x v="3"/>
          </reference>
        </references>
      </pivotArea>
    </chartFormat>
    <chartFormat chart="3" format="1497">
      <pivotArea type="data" outline="0" fieldPosition="0">
        <references count="3">
          <reference field="0" count="1" selected="0">
            <x v="6"/>
          </reference>
          <reference field="6" count="1" selected="0">
            <x v="14"/>
          </reference>
          <reference field="7" count="1" selected="0">
            <x v="3"/>
          </reference>
        </references>
      </pivotArea>
    </chartFormat>
    <chartFormat chart="3" format="1498">
      <pivotArea type="data" outline="0" fieldPosition="0">
        <references count="3">
          <reference field="0" count="1" selected="0">
            <x v="6"/>
          </reference>
          <reference field="6" count="1" selected="0">
            <x v="27"/>
          </reference>
          <reference field="7" count="1" selected="0">
            <x v="3"/>
          </reference>
        </references>
      </pivotArea>
    </chartFormat>
    <chartFormat chart="3" format="1499">
      <pivotArea type="data" outline="0" fieldPosition="0">
        <references count="3">
          <reference field="0" count="1" selected="0">
            <x v="7"/>
          </reference>
          <reference field="6" count="1" selected="0">
            <x v="0"/>
          </reference>
          <reference field="7" count="1" selected="0">
            <x v="3"/>
          </reference>
        </references>
      </pivotArea>
    </chartFormat>
    <chartFormat chart="3" format="1500">
      <pivotArea type="data" outline="0" fieldPosition="0">
        <references count="3">
          <reference field="0" count="1" selected="0">
            <x v="7"/>
          </reference>
          <reference field="6" count="1" selected="0">
            <x v="2"/>
          </reference>
          <reference field="7" count="1" selected="0">
            <x v="3"/>
          </reference>
        </references>
      </pivotArea>
    </chartFormat>
    <chartFormat chart="3" format="1501">
      <pivotArea type="data" outline="0" fieldPosition="0">
        <references count="3">
          <reference field="0" count="1" selected="0">
            <x v="7"/>
          </reference>
          <reference field="6" count="1" selected="0">
            <x v="9"/>
          </reference>
          <reference field="7" count="1" selected="0">
            <x v="3"/>
          </reference>
        </references>
      </pivotArea>
    </chartFormat>
    <chartFormat chart="3" format="1502">
      <pivotArea type="data" outline="0" fieldPosition="0">
        <references count="3">
          <reference field="0" count="1" selected="0">
            <x v="7"/>
          </reference>
          <reference field="6" count="1" selected="0">
            <x v="14"/>
          </reference>
          <reference field="7" count="1" selected="0">
            <x v="3"/>
          </reference>
        </references>
      </pivotArea>
    </chartFormat>
    <chartFormat chart="3" format="1503">
      <pivotArea type="data" outline="0" fieldPosition="0">
        <references count="3">
          <reference field="0" count="1" selected="0">
            <x v="7"/>
          </reference>
          <reference field="6" count="1" selected="0">
            <x v="27"/>
          </reference>
          <reference field="7" count="1" selected="0">
            <x v="3"/>
          </reference>
        </references>
      </pivotArea>
    </chartFormat>
    <chartFormat chart="3" format="1504">
      <pivotArea type="data" outline="0" fieldPosition="0">
        <references count="3">
          <reference field="0" count="1" selected="0">
            <x v="8"/>
          </reference>
          <reference field="6" count="1" selected="0">
            <x v="2"/>
          </reference>
          <reference field="7" count="1" selected="0">
            <x v="3"/>
          </reference>
        </references>
      </pivotArea>
    </chartFormat>
    <chartFormat chart="3" format="1505">
      <pivotArea type="data" outline="0" fieldPosition="0">
        <references count="3">
          <reference field="0" count="1" selected="0">
            <x v="8"/>
          </reference>
          <reference field="6" count="1" selected="0">
            <x v="14"/>
          </reference>
          <reference field="7" count="1" selected="0">
            <x v="3"/>
          </reference>
        </references>
      </pivotArea>
    </chartFormat>
    <chartFormat chart="3" format="1506">
      <pivotArea type="data" outline="0" fieldPosition="0">
        <references count="3">
          <reference field="0" count="1" selected="0">
            <x v="9"/>
          </reference>
          <reference field="6" count="1" selected="0">
            <x v="0"/>
          </reference>
          <reference field="7" count="1" selected="0">
            <x v="3"/>
          </reference>
        </references>
      </pivotArea>
    </chartFormat>
    <chartFormat chart="3" format="1507">
      <pivotArea type="data" outline="0" fieldPosition="0">
        <references count="3">
          <reference field="0" count="1" selected="0">
            <x v="9"/>
          </reference>
          <reference field="6" count="1" selected="0">
            <x v="2"/>
          </reference>
          <reference field="7" count="1" selected="0">
            <x v="3"/>
          </reference>
        </references>
      </pivotArea>
    </chartFormat>
    <chartFormat chart="3" format="1508">
      <pivotArea type="data" outline="0" fieldPosition="0">
        <references count="3">
          <reference field="0" count="1" selected="0">
            <x v="9"/>
          </reference>
          <reference field="6" count="1" selected="0">
            <x v="9"/>
          </reference>
          <reference field="7" count="1" selected="0">
            <x v="3"/>
          </reference>
        </references>
      </pivotArea>
    </chartFormat>
    <chartFormat chart="3" format="1509">
      <pivotArea type="data" outline="0" fieldPosition="0">
        <references count="3">
          <reference field="0" count="1" selected="0">
            <x v="9"/>
          </reference>
          <reference field="6" count="1" selected="0">
            <x v="14"/>
          </reference>
          <reference field="7" count="1" selected="0">
            <x v="3"/>
          </reference>
        </references>
      </pivotArea>
    </chartFormat>
    <chartFormat chart="3" format="1510">
      <pivotArea type="data" outline="0" fieldPosition="0">
        <references count="3">
          <reference field="0" count="1" selected="0">
            <x v="9"/>
          </reference>
          <reference field="6" count="1" selected="0">
            <x v="27"/>
          </reference>
          <reference field="7" count="1" selected="0">
            <x v="3"/>
          </reference>
        </references>
      </pivotArea>
    </chartFormat>
    <chartFormat chart="3" format="1511">
      <pivotArea type="data" outline="0" fieldPosition="0">
        <references count="3">
          <reference field="0" count="1" selected="0">
            <x v="10"/>
          </reference>
          <reference field="6" count="1" selected="0">
            <x v="0"/>
          </reference>
          <reference field="7" count="1" selected="0">
            <x v="3"/>
          </reference>
        </references>
      </pivotArea>
    </chartFormat>
    <chartFormat chart="3" format="1512">
      <pivotArea type="data" outline="0" fieldPosition="0">
        <references count="3">
          <reference field="0" count="1" selected="0">
            <x v="10"/>
          </reference>
          <reference field="6" count="1" selected="0">
            <x v="2"/>
          </reference>
          <reference field="7" count="1" selected="0">
            <x v="3"/>
          </reference>
        </references>
      </pivotArea>
    </chartFormat>
    <chartFormat chart="3" format="1513">
      <pivotArea type="data" outline="0" fieldPosition="0">
        <references count="3">
          <reference field="0" count="1" selected="0">
            <x v="10"/>
          </reference>
          <reference field="6" count="1" selected="0">
            <x v="9"/>
          </reference>
          <reference field="7" count="1" selected="0">
            <x v="3"/>
          </reference>
        </references>
      </pivotArea>
    </chartFormat>
    <chartFormat chart="3" format="1514">
      <pivotArea type="data" outline="0" fieldPosition="0">
        <references count="3">
          <reference field="0" count="1" selected="0">
            <x v="10"/>
          </reference>
          <reference field="6" count="1" selected="0">
            <x v="14"/>
          </reference>
          <reference field="7" count="1" selected="0">
            <x v="3"/>
          </reference>
        </references>
      </pivotArea>
    </chartFormat>
    <chartFormat chart="3" format="1515">
      <pivotArea type="data" outline="0" fieldPosition="0">
        <references count="3">
          <reference field="0" count="1" selected="0">
            <x v="10"/>
          </reference>
          <reference field="6" count="1" selected="0">
            <x v="27"/>
          </reference>
          <reference field="7" count="1" selected="0">
            <x v="3"/>
          </reference>
        </references>
      </pivotArea>
    </chartFormat>
    <chartFormat chart="3" format="1516">
      <pivotArea type="data" outline="0" fieldPosition="0">
        <references count="3">
          <reference field="0" count="1" selected="0">
            <x v="11"/>
          </reference>
          <reference field="6" count="1" selected="0">
            <x v="0"/>
          </reference>
          <reference field="7" count="1" selected="0">
            <x v="3"/>
          </reference>
        </references>
      </pivotArea>
    </chartFormat>
    <chartFormat chart="3" format="1517">
      <pivotArea type="data" outline="0" fieldPosition="0">
        <references count="3">
          <reference field="0" count="1" selected="0">
            <x v="11"/>
          </reference>
          <reference field="6" count="1" selected="0">
            <x v="2"/>
          </reference>
          <reference field="7" count="1" selected="0">
            <x v="3"/>
          </reference>
        </references>
      </pivotArea>
    </chartFormat>
    <chartFormat chart="3" format="1518">
      <pivotArea type="data" outline="0" fieldPosition="0">
        <references count="3">
          <reference field="0" count="1" selected="0">
            <x v="11"/>
          </reference>
          <reference field="6" count="1" selected="0">
            <x v="9"/>
          </reference>
          <reference field="7" count="1" selected="0">
            <x v="3"/>
          </reference>
        </references>
      </pivotArea>
    </chartFormat>
    <chartFormat chart="3" format="1519">
      <pivotArea type="data" outline="0" fieldPosition="0">
        <references count="3">
          <reference field="0" count="1" selected="0">
            <x v="11"/>
          </reference>
          <reference field="6" count="1" selected="0">
            <x v="14"/>
          </reference>
          <reference field="7" count="1" selected="0">
            <x v="3"/>
          </reference>
        </references>
      </pivotArea>
    </chartFormat>
    <chartFormat chart="3" format="1520">
      <pivotArea type="data" outline="0" fieldPosition="0">
        <references count="3">
          <reference field="0" count="1" selected="0">
            <x v="11"/>
          </reference>
          <reference field="6" count="1" selected="0">
            <x v="27"/>
          </reference>
          <reference field="7" count="1" selected="0">
            <x v="3"/>
          </reference>
        </references>
      </pivotArea>
    </chartFormat>
    <chartFormat chart="3" format="1521">
      <pivotArea type="data" outline="0" fieldPosition="0">
        <references count="3">
          <reference field="0" count="1" selected="0">
            <x v="12"/>
          </reference>
          <reference field="6" count="1" selected="0">
            <x v="2"/>
          </reference>
          <reference field="7" count="1" selected="0">
            <x v="3"/>
          </reference>
        </references>
      </pivotArea>
    </chartFormat>
    <chartFormat chart="3" format="1522">
      <pivotArea type="data" outline="0" fieldPosition="0">
        <references count="3">
          <reference field="0" count="1" selected="0">
            <x v="12"/>
          </reference>
          <reference field="6" count="1" selected="0">
            <x v="14"/>
          </reference>
          <reference field="7" count="1" selected="0">
            <x v="3"/>
          </reference>
        </references>
      </pivotArea>
    </chartFormat>
    <chartFormat chart="3" format="1523">
      <pivotArea type="data" outline="0" fieldPosition="0">
        <references count="3">
          <reference field="0" count="1" selected="0">
            <x v="13"/>
          </reference>
          <reference field="6" count="1" selected="0">
            <x v="2"/>
          </reference>
          <reference field="7" count="1" selected="0">
            <x v="3"/>
          </reference>
        </references>
      </pivotArea>
    </chartFormat>
    <chartFormat chart="3" format="1524">
      <pivotArea type="data" outline="0" fieldPosition="0">
        <references count="3">
          <reference field="0" count="1" selected="0">
            <x v="13"/>
          </reference>
          <reference field="6" count="1" selected="0">
            <x v="9"/>
          </reference>
          <reference field="7" count="1" selected="0">
            <x v="3"/>
          </reference>
        </references>
      </pivotArea>
    </chartFormat>
    <chartFormat chart="3" format="1525">
      <pivotArea type="data" outline="0" fieldPosition="0">
        <references count="3">
          <reference field="0" count="1" selected="0">
            <x v="13"/>
          </reference>
          <reference field="6" count="1" selected="0">
            <x v="14"/>
          </reference>
          <reference field="7" count="1" selected="0">
            <x v="3"/>
          </reference>
        </references>
      </pivotArea>
    </chartFormat>
    <chartFormat chart="3" format="1526">
      <pivotArea type="data" outline="0" fieldPosition="0">
        <references count="3">
          <reference field="0" count="1" selected="0">
            <x v="0"/>
          </reference>
          <reference field="6" count="1" selected="0">
            <x v="0"/>
          </reference>
          <reference field="7" count="1" selected="0">
            <x v="4"/>
          </reference>
        </references>
      </pivotArea>
    </chartFormat>
    <chartFormat chart="3" format="1527">
      <pivotArea type="data" outline="0" fieldPosition="0">
        <references count="3">
          <reference field="0" count="1" selected="0">
            <x v="0"/>
          </reference>
          <reference field="6" count="1" selected="0">
            <x v="2"/>
          </reference>
          <reference field="7" count="1" selected="0">
            <x v="4"/>
          </reference>
        </references>
      </pivotArea>
    </chartFormat>
    <chartFormat chart="3" format="1528">
      <pivotArea type="data" outline="0" fieldPosition="0">
        <references count="3">
          <reference field="0" count="1" selected="0">
            <x v="0"/>
          </reference>
          <reference field="6" count="1" selected="0">
            <x v="9"/>
          </reference>
          <reference field="7" count="1" selected="0">
            <x v="4"/>
          </reference>
        </references>
      </pivotArea>
    </chartFormat>
    <chartFormat chart="3" format="1529">
      <pivotArea type="data" outline="0" fieldPosition="0">
        <references count="3">
          <reference field="0" count="1" selected="0">
            <x v="0"/>
          </reference>
          <reference field="6" count="1" selected="0">
            <x v="14"/>
          </reference>
          <reference field="7" count="1" selected="0">
            <x v="4"/>
          </reference>
        </references>
      </pivotArea>
    </chartFormat>
    <chartFormat chart="3" format="1530">
      <pivotArea type="data" outline="0" fieldPosition="0">
        <references count="3">
          <reference field="0" count="1" selected="0">
            <x v="0"/>
          </reference>
          <reference field="6" count="1" selected="0">
            <x v="27"/>
          </reference>
          <reference field="7" count="1" selected="0">
            <x v="4"/>
          </reference>
        </references>
      </pivotArea>
    </chartFormat>
    <chartFormat chart="3" format="1531">
      <pivotArea type="data" outline="0" fieldPosition="0">
        <references count="3">
          <reference field="0" count="1" selected="0">
            <x v="1"/>
          </reference>
          <reference field="6" count="1" selected="0">
            <x v="2"/>
          </reference>
          <reference field="7" count="1" selected="0">
            <x v="4"/>
          </reference>
        </references>
      </pivotArea>
    </chartFormat>
    <chartFormat chart="3" format="1532">
      <pivotArea type="data" outline="0" fieldPosition="0">
        <references count="3">
          <reference field="0" count="1" selected="0">
            <x v="1"/>
          </reference>
          <reference field="6" count="1" selected="0">
            <x v="9"/>
          </reference>
          <reference field="7" count="1" selected="0">
            <x v="4"/>
          </reference>
        </references>
      </pivotArea>
    </chartFormat>
    <chartFormat chart="3" format="1533">
      <pivotArea type="data" outline="0" fieldPosition="0">
        <references count="3">
          <reference field="0" count="1" selected="0">
            <x v="1"/>
          </reference>
          <reference field="6" count="1" selected="0">
            <x v="14"/>
          </reference>
          <reference field="7" count="1" selected="0">
            <x v="4"/>
          </reference>
        </references>
      </pivotArea>
    </chartFormat>
    <chartFormat chart="3" format="1534">
      <pivotArea type="data" outline="0" fieldPosition="0">
        <references count="3">
          <reference field="0" count="1" selected="0">
            <x v="2"/>
          </reference>
          <reference field="6" count="1" selected="0">
            <x v="0"/>
          </reference>
          <reference field="7" count="1" selected="0">
            <x v="4"/>
          </reference>
        </references>
      </pivotArea>
    </chartFormat>
    <chartFormat chart="3" format="1535">
      <pivotArea type="data" outline="0" fieldPosition="0">
        <references count="3">
          <reference field="0" count="1" selected="0">
            <x v="2"/>
          </reference>
          <reference field="6" count="1" selected="0">
            <x v="2"/>
          </reference>
          <reference field="7" count="1" selected="0">
            <x v="4"/>
          </reference>
        </references>
      </pivotArea>
    </chartFormat>
    <chartFormat chart="3" format="1536">
      <pivotArea type="data" outline="0" fieldPosition="0">
        <references count="3">
          <reference field="0" count="1" selected="0">
            <x v="2"/>
          </reference>
          <reference field="6" count="1" selected="0">
            <x v="9"/>
          </reference>
          <reference field="7" count="1" selected="0">
            <x v="4"/>
          </reference>
        </references>
      </pivotArea>
    </chartFormat>
    <chartFormat chart="3" format="1537">
      <pivotArea type="data" outline="0" fieldPosition="0">
        <references count="3">
          <reference field="0" count="1" selected="0">
            <x v="2"/>
          </reference>
          <reference field="6" count="1" selected="0">
            <x v="14"/>
          </reference>
          <reference field="7" count="1" selected="0">
            <x v="4"/>
          </reference>
        </references>
      </pivotArea>
    </chartFormat>
    <chartFormat chart="3" format="1538">
      <pivotArea type="data" outline="0" fieldPosition="0">
        <references count="3">
          <reference field="0" count="1" selected="0">
            <x v="2"/>
          </reference>
          <reference field="6" count="1" selected="0">
            <x v="27"/>
          </reference>
          <reference field="7" count="1" selected="0">
            <x v="4"/>
          </reference>
        </references>
      </pivotArea>
    </chartFormat>
    <chartFormat chart="3" format="1539">
      <pivotArea type="data" outline="0" fieldPosition="0">
        <references count="3">
          <reference field="0" count="1" selected="0">
            <x v="3"/>
          </reference>
          <reference field="6" count="1" selected="0">
            <x v="0"/>
          </reference>
          <reference field="7" count="1" selected="0">
            <x v="4"/>
          </reference>
        </references>
      </pivotArea>
    </chartFormat>
    <chartFormat chart="3" format="1540">
      <pivotArea type="data" outline="0" fieldPosition="0">
        <references count="3">
          <reference field="0" count="1" selected="0">
            <x v="3"/>
          </reference>
          <reference field="6" count="1" selected="0">
            <x v="2"/>
          </reference>
          <reference field="7" count="1" selected="0">
            <x v="4"/>
          </reference>
        </references>
      </pivotArea>
    </chartFormat>
    <chartFormat chart="3" format="1541">
      <pivotArea type="data" outline="0" fieldPosition="0">
        <references count="3">
          <reference field="0" count="1" selected="0">
            <x v="3"/>
          </reference>
          <reference field="6" count="1" selected="0">
            <x v="9"/>
          </reference>
          <reference field="7" count="1" selected="0">
            <x v="4"/>
          </reference>
        </references>
      </pivotArea>
    </chartFormat>
    <chartFormat chart="3" format="1542">
      <pivotArea type="data" outline="0" fieldPosition="0">
        <references count="3">
          <reference field="0" count="1" selected="0">
            <x v="3"/>
          </reference>
          <reference field="6" count="1" selected="0">
            <x v="14"/>
          </reference>
          <reference field="7" count="1" selected="0">
            <x v="4"/>
          </reference>
        </references>
      </pivotArea>
    </chartFormat>
    <chartFormat chart="3" format="1543">
      <pivotArea type="data" outline="0" fieldPosition="0">
        <references count="3">
          <reference field="0" count="1" selected="0">
            <x v="3"/>
          </reference>
          <reference field="6" count="1" selected="0">
            <x v="27"/>
          </reference>
          <reference field="7" count="1" selected="0">
            <x v="4"/>
          </reference>
        </references>
      </pivotArea>
    </chartFormat>
    <chartFormat chart="3" format="1544">
      <pivotArea type="data" outline="0" fieldPosition="0">
        <references count="3">
          <reference field="0" count="1" selected="0">
            <x v="4"/>
          </reference>
          <reference field="6" count="1" selected="0">
            <x v="0"/>
          </reference>
          <reference field="7" count="1" selected="0">
            <x v="4"/>
          </reference>
        </references>
      </pivotArea>
    </chartFormat>
    <chartFormat chart="3" format="1545">
      <pivotArea type="data" outline="0" fieldPosition="0">
        <references count="3">
          <reference field="0" count="1" selected="0">
            <x v="4"/>
          </reference>
          <reference field="6" count="1" selected="0">
            <x v="2"/>
          </reference>
          <reference field="7" count="1" selected="0">
            <x v="4"/>
          </reference>
        </references>
      </pivotArea>
    </chartFormat>
    <chartFormat chart="3" format="1546">
      <pivotArea type="data" outline="0" fieldPosition="0">
        <references count="3">
          <reference field="0" count="1" selected="0">
            <x v="4"/>
          </reference>
          <reference field="6" count="1" selected="0">
            <x v="9"/>
          </reference>
          <reference field="7" count="1" selected="0">
            <x v="4"/>
          </reference>
        </references>
      </pivotArea>
    </chartFormat>
    <chartFormat chart="3" format="1547">
      <pivotArea type="data" outline="0" fieldPosition="0">
        <references count="3">
          <reference field="0" count="1" selected="0">
            <x v="4"/>
          </reference>
          <reference field="6" count="1" selected="0">
            <x v="14"/>
          </reference>
          <reference field="7" count="1" selected="0">
            <x v="4"/>
          </reference>
        </references>
      </pivotArea>
    </chartFormat>
    <chartFormat chart="3" format="1548">
      <pivotArea type="data" outline="0" fieldPosition="0">
        <references count="3">
          <reference field="0" count="1" selected="0">
            <x v="4"/>
          </reference>
          <reference field="6" count="1" selected="0">
            <x v="27"/>
          </reference>
          <reference field="7" count="1" selected="0">
            <x v="4"/>
          </reference>
        </references>
      </pivotArea>
    </chartFormat>
    <chartFormat chart="3" format="1549">
      <pivotArea type="data" outline="0" fieldPosition="0">
        <references count="3">
          <reference field="0" count="1" selected="0">
            <x v="4"/>
          </reference>
          <reference field="6" count="1" selected="0">
            <x v="28"/>
          </reference>
          <reference field="7" count="1" selected="0">
            <x v="4"/>
          </reference>
        </references>
      </pivotArea>
    </chartFormat>
    <chartFormat chart="3" format="1550">
      <pivotArea type="data" outline="0" fieldPosition="0">
        <references count="3">
          <reference field="0" count="1" selected="0">
            <x v="5"/>
          </reference>
          <reference field="6" count="1" selected="0">
            <x v="0"/>
          </reference>
          <reference field="7" count="1" selected="0">
            <x v="4"/>
          </reference>
        </references>
      </pivotArea>
    </chartFormat>
    <chartFormat chart="3" format="1551">
      <pivotArea type="data" outline="0" fieldPosition="0">
        <references count="3">
          <reference field="0" count="1" selected="0">
            <x v="5"/>
          </reference>
          <reference field="6" count="1" selected="0">
            <x v="2"/>
          </reference>
          <reference field="7" count="1" selected="0">
            <x v="4"/>
          </reference>
        </references>
      </pivotArea>
    </chartFormat>
    <chartFormat chart="3" format="1552">
      <pivotArea type="data" outline="0" fieldPosition="0">
        <references count="3">
          <reference field="0" count="1" selected="0">
            <x v="5"/>
          </reference>
          <reference field="6" count="1" selected="0">
            <x v="9"/>
          </reference>
          <reference field="7" count="1" selected="0">
            <x v="4"/>
          </reference>
        </references>
      </pivotArea>
    </chartFormat>
    <chartFormat chart="3" format="1553">
      <pivotArea type="data" outline="0" fieldPosition="0">
        <references count="3">
          <reference field="0" count="1" selected="0">
            <x v="5"/>
          </reference>
          <reference field="6" count="1" selected="0">
            <x v="14"/>
          </reference>
          <reference field="7" count="1" selected="0">
            <x v="4"/>
          </reference>
        </references>
      </pivotArea>
    </chartFormat>
    <chartFormat chart="3" format="1554">
      <pivotArea type="data" outline="0" fieldPosition="0">
        <references count="3">
          <reference field="0" count="1" selected="0">
            <x v="5"/>
          </reference>
          <reference field="6" count="1" selected="0">
            <x v="27"/>
          </reference>
          <reference field="7" count="1" selected="0">
            <x v="4"/>
          </reference>
        </references>
      </pivotArea>
    </chartFormat>
    <chartFormat chart="3" format="1555">
      <pivotArea type="data" outline="0" fieldPosition="0">
        <references count="3">
          <reference field="0" count="1" selected="0">
            <x v="6"/>
          </reference>
          <reference field="6" count="1" selected="0">
            <x v="0"/>
          </reference>
          <reference field="7" count="1" selected="0">
            <x v="4"/>
          </reference>
        </references>
      </pivotArea>
    </chartFormat>
    <chartFormat chart="3" format="1556">
      <pivotArea type="data" outline="0" fieldPosition="0">
        <references count="3">
          <reference field="0" count="1" selected="0">
            <x v="6"/>
          </reference>
          <reference field="6" count="1" selected="0">
            <x v="2"/>
          </reference>
          <reference field="7" count="1" selected="0">
            <x v="4"/>
          </reference>
        </references>
      </pivotArea>
    </chartFormat>
    <chartFormat chart="3" format="1557">
      <pivotArea type="data" outline="0" fieldPosition="0">
        <references count="3">
          <reference field="0" count="1" selected="0">
            <x v="6"/>
          </reference>
          <reference field="6" count="1" selected="0">
            <x v="9"/>
          </reference>
          <reference field="7" count="1" selected="0">
            <x v="4"/>
          </reference>
        </references>
      </pivotArea>
    </chartFormat>
    <chartFormat chart="3" format="1558">
      <pivotArea type="data" outline="0" fieldPosition="0">
        <references count="3">
          <reference field="0" count="1" selected="0">
            <x v="6"/>
          </reference>
          <reference field="6" count="1" selected="0">
            <x v="14"/>
          </reference>
          <reference field="7" count="1" selected="0">
            <x v="4"/>
          </reference>
        </references>
      </pivotArea>
    </chartFormat>
    <chartFormat chart="3" format="1559">
      <pivotArea type="data" outline="0" fieldPosition="0">
        <references count="3">
          <reference field="0" count="1" selected="0">
            <x v="6"/>
          </reference>
          <reference field="6" count="1" selected="0">
            <x v="27"/>
          </reference>
          <reference field="7" count="1" selected="0">
            <x v="4"/>
          </reference>
        </references>
      </pivotArea>
    </chartFormat>
    <chartFormat chart="3" format="1560">
      <pivotArea type="data" outline="0" fieldPosition="0">
        <references count="3">
          <reference field="0" count="1" selected="0">
            <x v="7"/>
          </reference>
          <reference field="6" count="1" selected="0">
            <x v="0"/>
          </reference>
          <reference field="7" count="1" selected="0">
            <x v="4"/>
          </reference>
        </references>
      </pivotArea>
    </chartFormat>
    <chartFormat chart="3" format="1561">
      <pivotArea type="data" outline="0" fieldPosition="0">
        <references count="3">
          <reference field="0" count="1" selected="0">
            <x v="7"/>
          </reference>
          <reference field="6" count="1" selected="0">
            <x v="2"/>
          </reference>
          <reference field="7" count="1" selected="0">
            <x v="4"/>
          </reference>
        </references>
      </pivotArea>
    </chartFormat>
    <chartFormat chart="3" format="1562">
      <pivotArea type="data" outline="0" fieldPosition="0">
        <references count="3">
          <reference field="0" count="1" selected="0">
            <x v="7"/>
          </reference>
          <reference field="6" count="1" selected="0">
            <x v="9"/>
          </reference>
          <reference field="7" count="1" selected="0">
            <x v="4"/>
          </reference>
        </references>
      </pivotArea>
    </chartFormat>
    <chartFormat chart="3" format="1563">
      <pivotArea type="data" outline="0" fieldPosition="0">
        <references count="3">
          <reference field="0" count="1" selected="0">
            <x v="7"/>
          </reference>
          <reference field="6" count="1" selected="0">
            <x v="14"/>
          </reference>
          <reference field="7" count="1" selected="0">
            <x v="4"/>
          </reference>
        </references>
      </pivotArea>
    </chartFormat>
    <chartFormat chart="3" format="1564">
      <pivotArea type="data" outline="0" fieldPosition="0">
        <references count="3">
          <reference field="0" count="1" selected="0">
            <x v="7"/>
          </reference>
          <reference field="6" count="1" selected="0">
            <x v="27"/>
          </reference>
          <reference field="7" count="1" selected="0">
            <x v="4"/>
          </reference>
        </references>
      </pivotArea>
    </chartFormat>
    <chartFormat chart="3" format="1565">
      <pivotArea type="data" outline="0" fieldPosition="0">
        <references count="3">
          <reference field="0" count="1" selected="0">
            <x v="8"/>
          </reference>
          <reference field="6" count="1" selected="0">
            <x v="2"/>
          </reference>
          <reference field="7" count="1" selected="0">
            <x v="4"/>
          </reference>
        </references>
      </pivotArea>
    </chartFormat>
    <chartFormat chart="3" format="1566">
      <pivotArea type="data" outline="0" fieldPosition="0">
        <references count="3">
          <reference field="0" count="1" selected="0">
            <x v="8"/>
          </reference>
          <reference field="6" count="1" selected="0">
            <x v="14"/>
          </reference>
          <reference field="7" count="1" selected="0">
            <x v="4"/>
          </reference>
        </references>
      </pivotArea>
    </chartFormat>
    <chartFormat chart="3" format="1567">
      <pivotArea type="data" outline="0" fieldPosition="0">
        <references count="3">
          <reference field="0" count="1" selected="0">
            <x v="9"/>
          </reference>
          <reference field="6" count="1" selected="0">
            <x v="0"/>
          </reference>
          <reference field="7" count="1" selected="0">
            <x v="4"/>
          </reference>
        </references>
      </pivotArea>
    </chartFormat>
    <chartFormat chart="3" format="1568">
      <pivotArea type="data" outline="0" fieldPosition="0">
        <references count="3">
          <reference field="0" count="1" selected="0">
            <x v="9"/>
          </reference>
          <reference field="6" count="1" selected="0">
            <x v="2"/>
          </reference>
          <reference field="7" count="1" selected="0">
            <x v="4"/>
          </reference>
        </references>
      </pivotArea>
    </chartFormat>
    <chartFormat chart="3" format="1569">
      <pivotArea type="data" outline="0" fieldPosition="0">
        <references count="3">
          <reference field="0" count="1" selected="0">
            <x v="9"/>
          </reference>
          <reference field="6" count="1" selected="0">
            <x v="9"/>
          </reference>
          <reference field="7" count="1" selected="0">
            <x v="4"/>
          </reference>
        </references>
      </pivotArea>
    </chartFormat>
    <chartFormat chart="3" format="1570">
      <pivotArea type="data" outline="0" fieldPosition="0">
        <references count="3">
          <reference field="0" count="1" selected="0">
            <x v="9"/>
          </reference>
          <reference field="6" count="1" selected="0">
            <x v="14"/>
          </reference>
          <reference field="7" count="1" selected="0">
            <x v="4"/>
          </reference>
        </references>
      </pivotArea>
    </chartFormat>
    <chartFormat chart="3" format="1571">
      <pivotArea type="data" outline="0" fieldPosition="0">
        <references count="3">
          <reference field="0" count="1" selected="0">
            <x v="9"/>
          </reference>
          <reference field="6" count="1" selected="0">
            <x v="27"/>
          </reference>
          <reference field="7" count="1" selected="0">
            <x v="4"/>
          </reference>
        </references>
      </pivotArea>
    </chartFormat>
    <chartFormat chart="3" format="1572">
      <pivotArea type="data" outline="0" fieldPosition="0">
        <references count="3">
          <reference field="0" count="1" selected="0">
            <x v="10"/>
          </reference>
          <reference field="6" count="1" selected="0">
            <x v="0"/>
          </reference>
          <reference field="7" count="1" selected="0">
            <x v="4"/>
          </reference>
        </references>
      </pivotArea>
    </chartFormat>
    <chartFormat chart="3" format="1573">
      <pivotArea type="data" outline="0" fieldPosition="0">
        <references count="3">
          <reference field="0" count="1" selected="0">
            <x v="10"/>
          </reference>
          <reference field="6" count="1" selected="0">
            <x v="2"/>
          </reference>
          <reference field="7" count="1" selected="0">
            <x v="4"/>
          </reference>
        </references>
      </pivotArea>
    </chartFormat>
    <chartFormat chart="3" format="1574">
      <pivotArea type="data" outline="0" fieldPosition="0">
        <references count="3">
          <reference field="0" count="1" selected="0">
            <x v="10"/>
          </reference>
          <reference field="6" count="1" selected="0">
            <x v="9"/>
          </reference>
          <reference field="7" count="1" selected="0">
            <x v="4"/>
          </reference>
        </references>
      </pivotArea>
    </chartFormat>
    <chartFormat chart="3" format="1575">
      <pivotArea type="data" outline="0" fieldPosition="0">
        <references count="3">
          <reference field="0" count="1" selected="0">
            <x v="10"/>
          </reference>
          <reference field="6" count="1" selected="0">
            <x v="14"/>
          </reference>
          <reference field="7" count="1" selected="0">
            <x v="4"/>
          </reference>
        </references>
      </pivotArea>
    </chartFormat>
    <chartFormat chart="3" format="1576">
      <pivotArea type="data" outline="0" fieldPosition="0">
        <references count="3">
          <reference field="0" count="1" selected="0">
            <x v="10"/>
          </reference>
          <reference field="6" count="1" selected="0">
            <x v="27"/>
          </reference>
          <reference field="7" count="1" selected="0">
            <x v="4"/>
          </reference>
        </references>
      </pivotArea>
    </chartFormat>
    <chartFormat chart="3" format="1577">
      <pivotArea type="data" outline="0" fieldPosition="0">
        <references count="3">
          <reference field="0" count="1" selected="0">
            <x v="11"/>
          </reference>
          <reference field="6" count="1" selected="0">
            <x v="0"/>
          </reference>
          <reference field="7" count="1" selected="0">
            <x v="4"/>
          </reference>
        </references>
      </pivotArea>
    </chartFormat>
    <chartFormat chart="3" format="1578">
      <pivotArea type="data" outline="0" fieldPosition="0">
        <references count="3">
          <reference field="0" count="1" selected="0">
            <x v="11"/>
          </reference>
          <reference field="6" count="1" selected="0">
            <x v="2"/>
          </reference>
          <reference field="7" count="1" selected="0">
            <x v="4"/>
          </reference>
        </references>
      </pivotArea>
    </chartFormat>
    <chartFormat chart="3" format="1579">
      <pivotArea type="data" outline="0" fieldPosition="0">
        <references count="3">
          <reference field="0" count="1" selected="0">
            <x v="11"/>
          </reference>
          <reference field="6" count="1" selected="0">
            <x v="9"/>
          </reference>
          <reference field="7" count="1" selected="0">
            <x v="4"/>
          </reference>
        </references>
      </pivotArea>
    </chartFormat>
    <chartFormat chart="3" format="1580">
      <pivotArea type="data" outline="0" fieldPosition="0">
        <references count="3">
          <reference field="0" count="1" selected="0">
            <x v="11"/>
          </reference>
          <reference field="6" count="1" selected="0">
            <x v="14"/>
          </reference>
          <reference field="7" count="1" selected="0">
            <x v="4"/>
          </reference>
        </references>
      </pivotArea>
    </chartFormat>
    <chartFormat chart="3" format="1581">
      <pivotArea type="data" outline="0" fieldPosition="0">
        <references count="3">
          <reference field="0" count="1" selected="0">
            <x v="11"/>
          </reference>
          <reference field="6" count="1" selected="0">
            <x v="27"/>
          </reference>
          <reference field="7" count="1" selected="0">
            <x v="4"/>
          </reference>
        </references>
      </pivotArea>
    </chartFormat>
    <chartFormat chart="3" format="1582">
      <pivotArea type="data" outline="0" fieldPosition="0">
        <references count="3">
          <reference field="0" count="1" selected="0">
            <x v="12"/>
          </reference>
          <reference field="6" count="1" selected="0">
            <x v="2"/>
          </reference>
          <reference field="7" count="1" selected="0">
            <x v="4"/>
          </reference>
        </references>
      </pivotArea>
    </chartFormat>
    <chartFormat chart="3" format="1583">
      <pivotArea type="data" outline="0" fieldPosition="0">
        <references count="3">
          <reference field="0" count="1" selected="0">
            <x v="12"/>
          </reference>
          <reference field="6" count="1" selected="0">
            <x v="14"/>
          </reference>
          <reference field="7" count="1" selected="0">
            <x v="4"/>
          </reference>
        </references>
      </pivotArea>
    </chartFormat>
    <chartFormat chart="3" format="1584">
      <pivotArea type="data" outline="0" fieldPosition="0">
        <references count="3">
          <reference field="0" count="1" selected="0">
            <x v="13"/>
          </reference>
          <reference field="6" count="1" selected="0">
            <x v="2"/>
          </reference>
          <reference field="7" count="1" selected="0">
            <x v="4"/>
          </reference>
        </references>
      </pivotArea>
    </chartFormat>
    <chartFormat chart="3" format="1585">
      <pivotArea type="data" outline="0" fieldPosition="0">
        <references count="3">
          <reference field="0" count="1" selected="0">
            <x v="13"/>
          </reference>
          <reference field="6" count="1" selected="0">
            <x v="9"/>
          </reference>
          <reference field="7" count="1" selected="0">
            <x v="4"/>
          </reference>
        </references>
      </pivotArea>
    </chartFormat>
    <chartFormat chart="3" format="1586">
      <pivotArea type="data" outline="0" fieldPosition="0">
        <references count="3">
          <reference field="0" count="1" selected="0">
            <x v="13"/>
          </reference>
          <reference field="6" count="1" selected="0">
            <x v="14"/>
          </reference>
          <reference field="7" count="1" selected="0">
            <x v="4"/>
          </reference>
        </references>
      </pivotArea>
    </chartFormat>
    <chartFormat chart="3" format="1587">
      <pivotArea type="data" outline="0" fieldPosition="0">
        <references count="3">
          <reference field="0" count="1" selected="0">
            <x v="0"/>
          </reference>
          <reference field="6" count="1" selected="0">
            <x v="0"/>
          </reference>
          <reference field="7" count="1" selected="0">
            <x v="5"/>
          </reference>
        </references>
      </pivotArea>
    </chartFormat>
    <chartFormat chart="3" format="1588">
      <pivotArea type="data" outline="0" fieldPosition="0">
        <references count="3">
          <reference field="0" count="1" selected="0">
            <x v="0"/>
          </reference>
          <reference field="6" count="1" selected="0">
            <x v="2"/>
          </reference>
          <reference field="7" count="1" selected="0">
            <x v="5"/>
          </reference>
        </references>
      </pivotArea>
    </chartFormat>
    <chartFormat chart="3" format="1589">
      <pivotArea type="data" outline="0" fieldPosition="0">
        <references count="3">
          <reference field="0" count="1" selected="0">
            <x v="0"/>
          </reference>
          <reference field="6" count="1" selected="0">
            <x v="9"/>
          </reference>
          <reference field="7" count="1" selected="0">
            <x v="5"/>
          </reference>
        </references>
      </pivotArea>
    </chartFormat>
    <chartFormat chart="3" format="1590">
      <pivotArea type="data" outline="0" fieldPosition="0">
        <references count="3">
          <reference field="0" count="1" selected="0">
            <x v="0"/>
          </reference>
          <reference field="6" count="1" selected="0">
            <x v="14"/>
          </reference>
          <reference field="7" count="1" selected="0">
            <x v="5"/>
          </reference>
        </references>
      </pivotArea>
    </chartFormat>
    <chartFormat chart="3" format="1591">
      <pivotArea type="data" outline="0" fieldPosition="0">
        <references count="3">
          <reference field="0" count="1" selected="0">
            <x v="0"/>
          </reference>
          <reference field="6" count="1" selected="0">
            <x v="27"/>
          </reference>
          <reference field="7" count="1" selected="0">
            <x v="5"/>
          </reference>
        </references>
      </pivotArea>
    </chartFormat>
    <chartFormat chart="3" format="1592">
      <pivotArea type="data" outline="0" fieldPosition="0">
        <references count="3">
          <reference field="0" count="1" selected="0">
            <x v="1"/>
          </reference>
          <reference field="6" count="1" selected="0">
            <x v="2"/>
          </reference>
          <reference field="7" count="1" selected="0">
            <x v="5"/>
          </reference>
        </references>
      </pivotArea>
    </chartFormat>
    <chartFormat chart="3" format="1593">
      <pivotArea type="data" outline="0" fieldPosition="0">
        <references count="3">
          <reference field="0" count="1" selected="0">
            <x v="1"/>
          </reference>
          <reference field="6" count="1" selected="0">
            <x v="9"/>
          </reference>
          <reference field="7" count="1" selected="0">
            <x v="5"/>
          </reference>
        </references>
      </pivotArea>
    </chartFormat>
    <chartFormat chart="3" format="1594">
      <pivotArea type="data" outline="0" fieldPosition="0">
        <references count="3">
          <reference field="0" count="1" selected="0">
            <x v="1"/>
          </reference>
          <reference field="6" count="1" selected="0">
            <x v="14"/>
          </reference>
          <reference field="7" count="1" selected="0">
            <x v="5"/>
          </reference>
        </references>
      </pivotArea>
    </chartFormat>
    <chartFormat chart="3" format="1595">
      <pivotArea type="data" outline="0" fieldPosition="0">
        <references count="3">
          <reference field="0" count="1" selected="0">
            <x v="2"/>
          </reference>
          <reference field="6" count="1" selected="0">
            <x v="0"/>
          </reference>
          <reference field="7" count="1" selected="0">
            <x v="5"/>
          </reference>
        </references>
      </pivotArea>
    </chartFormat>
    <chartFormat chart="3" format="1596">
      <pivotArea type="data" outline="0" fieldPosition="0">
        <references count="3">
          <reference field="0" count="1" selected="0">
            <x v="2"/>
          </reference>
          <reference field="6" count="1" selected="0">
            <x v="2"/>
          </reference>
          <reference field="7" count="1" selected="0">
            <x v="5"/>
          </reference>
        </references>
      </pivotArea>
    </chartFormat>
    <chartFormat chart="3" format="1597">
      <pivotArea type="data" outline="0" fieldPosition="0">
        <references count="3">
          <reference field="0" count="1" selected="0">
            <x v="2"/>
          </reference>
          <reference field="6" count="1" selected="0">
            <x v="9"/>
          </reference>
          <reference field="7" count="1" selected="0">
            <x v="5"/>
          </reference>
        </references>
      </pivotArea>
    </chartFormat>
    <chartFormat chart="3" format="1598">
      <pivotArea type="data" outline="0" fieldPosition="0">
        <references count="3">
          <reference field="0" count="1" selected="0">
            <x v="2"/>
          </reference>
          <reference field="6" count="1" selected="0">
            <x v="14"/>
          </reference>
          <reference field="7" count="1" selected="0">
            <x v="5"/>
          </reference>
        </references>
      </pivotArea>
    </chartFormat>
    <chartFormat chart="3" format="1599">
      <pivotArea type="data" outline="0" fieldPosition="0">
        <references count="3">
          <reference field="0" count="1" selected="0">
            <x v="2"/>
          </reference>
          <reference field="6" count="1" selected="0">
            <x v="27"/>
          </reference>
          <reference field="7" count="1" selected="0">
            <x v="5"/>
          </reference>
        </references>
      </pivotArea>
    </chartFormat>
    <chartFormat chart="3" format="1600">
      <pivotArea type="data" outline="0" fieldPosition="0">
        <references count="3">
          <reference field="0" count="1" selected="0">
            <x v="3"/>
          </reference>
          <reference field="6" count="1" selected="0">
            <x v="0"/>
          </reference>
          <reference field="7" count="1" selected="0">
            <x v="5"/>
          </reference>
        </references>
      </pivotArea>
    </chartFormat>
    <chartFormat chart="3" format="1601">
      <pivotArea type="data" outline="0" fieldPosition="0">
        <references count="3">
          <reference field="0" count="1" selected="0">
            <x v="3"/>
          </reference>
          <reference field="6" count="1" selected="0">
            <x v="2"/>
          </reference>
          <reference field="7" count="1" selected="0">
            <x v="5"/>
          </reference>
        </references>
      </pivotArea>
    </chartFormat>
    <chartFormat chart="3" format="1602">
      <pivotArea type="data" outline="0" fieldPosition="0">
        <references count="3">
          <reference field="0" count="1" selected="0">
            <x v="3"/>
          </reference>
          <reference field="6" count="1" selected="0">
            <x v="9"/>
          </reference>
          <reference field="7" count="1" selected="0">
            <x v="5"/>
          </reference>
        </references>
      </pivotArea>
    </chartFormat>
    <chartFormat chart="3" format="1603">
      <pivotArea type="data" outline="0" fieldPosition="0">
        <references count="3">
          <reference field="0" count="1" selected="0">
            <x v="3"/>
          </reference>
          <reference field="6" count="1" selected="0">
            <x v="14"/>
          </reference>
          <reference field="7" count="1" selected="0">
            <x v="5"/>
          </reference>
        </references>
      </pivotArea>
    </chartFormat>
    <chartFormat chart="3" format="1604">
      <pivotArea type="data" outline="0" fieldPosition="0">
        <references count="3">
          <reference field="0" count="1" selected="0">
            <x v="3"/>
          </reference>
          <reference field="6" count="1" selected="0">
            <x v="27"/>
          </reference>
          <reference field="7" count="1" selected="0">
            <x v="5"/>
          </reference>
        </references>
      </pivotArea>
    </chartFormat>
    <chartFormat chart="3" format="1605">
      <pivotArea type="data" outline="0" fieldPosition="0">
        <references count="3">
          <reference field="0" count="1" selected="0">
            <x v="4"/>
          </reference>
          <reference field="6" count="1" selected="0">
            <x v="0"/>
          </reference>
          <reference field="7" count="1" selected="0">
            <x v="5"/>
          </reference>
        </references>
      </pivotArea>
    </chartFormat>
    <chartFormat chart="3" format="1606">
      <pivotArea type="data" outline="0" fieldPosition="0">
        <references count="3">
          <reference field="0" count="1" selected="0">
            <x v="4"/>
          </reference>
          <reference field="6" count="1" selected="0">
            <x v="2"/>
          </reference>
          <reference field="7" count="1" selected="0">
            <x v="5"/>
          </reference>
        </references>
      </pivotArea>
    </chartFormat>
    <chartFormat chart="3" format="1607">
      <pivotArea type="data" outline="0" fieldPosition="0">
        <references count="3">
          <reference field="0" count="1" selected="0">
            <x v="4"/>
          </reference>
          <reference field="6" count="1" selected="0">
            <x v="9"/>
          </reference>
          <reference field="7" count="1" selected="0">
            <x v="5"/>
          </reference>
        </references>
      </pivotArea>
    </chartFormat>
    <chartFormat chart="3" format="1608">
      <pivotArea type="data" outline="0" fieldPosition="0">
        <references count="3">
          <reference field="0" count="1" selected="0">
            <x v="4"/>
          </reference>
          <reference field="6" count="1" selected="0">
            <x v="14"/>
          </reference>
          <reference field="7" count="1" selected="0">
            <x v="5"/>
          </reference>
        </references>
      </pivotArea>
    </chartFormat>
    <chartFormat chart="3" format="1609">
      <pivotArea type="data" outline="0" fieldPosition="0">
        <references count="3">
          <reference field="0" count="1" selected="0">
            <x v="4"/>
          </reference>
          <reference field="6" count="1" selected="0">
            <x v="27"/>
          </reference>
          <reference field="7" count="1" selected="0">
            <x v="5"/>
          </reference>
        </references>
      </pivotArea>
    </chartFormat>
    <chartFormat chart="3" format="1610">
      <pivotArea type="data" outline="0" fieldPosition="0">
        <references count="3">
          <reference field="0" count="1" selected="0">
            <x v="4"/>
          </reference>
          <reference field="6" count="1" selected="0">
            <x v="28"/>
          </reference>
          <reference field="7" count="1" selected="0">
            <x v="5"/>
          </reference>
        </references>
      </pivotArea>
    </chartFormat>
    <chartFormat chart="3" format="1611">
      <pivotArea type="data" outline="0" fieldPosition="0">
        <references count="3">
          <reference field="0" count="1" selected="0">
            <x v="5"/>
          </reference>
          <reference field="6" count="1" selected="0">
            <x v="0"/>
          </reference>
          <reference field="7" count="1" selected="0">
            <x v="5"/>
          </reference>
        </references>
      </pivotArea>
    </chartFormat>
    <chartFormat chart="3" format="1612">
      <pivotArea type="data" outline="0" fieldPosition="0">
        <references count="3">
          <reference field="0" count="1" selected="0">
            <x v="5"/>
          </reference>
          <reference field="6" count="1" selected="0">
            <x v="2"/>
          </reference>
          <reference field="7" count="1" selected="0">
            <x v="5"/>
          </reference>
        </references>
      </pivotArea>
    </chartFormat>
    <chartFormat chart="3" format="1613">
      <pivotArea type="data" outline="0" fieldPosition="0">
        <references count="3">
          <reference field="0" count="1" selected="0">
            <x v="5"/>
          </reference>
          <reference field="6" count="1" selected="0">
            <x v="9"/>
          </reference>
          <reference field="7" count="1" selected="0">
            <x v="5"/>
          </reference>
        </references>
      </pivotArea>
    </chartFormat>
    <chartFormat chart="3" format="1614">
      <pivotArea type="data" outline="0" fieldPosition="0">
        <references count="3">
          <reference field="0" count="1" selected="0">
            <x v="5"/>
          </reference>
          <reference field="6" count="1" selected="0">
            <x v="14"/>
          </reference>
          <reference field="7" count="1" selected="0">
            <x v="5"/>
          </reference>
        </references>
      </pivotArea>
    </chartFormat>
    <chartFormat chart="3" format="1615">
      <pivotArea type="data" outline="0" fieldPosition="0">
        <references count="3">
          <reference field="0" count="1" selected="0">
            <x v="5"/>
          </reference>
          <reference field="6" count="1" selected="0">
            <x v="27"/>
          </reference>
          <reference field="7" count="1" selected="0">
            <x v="5"/>
          </reference>
        </references>
      </pivotArea>
    </chartFormat>
    <chartFormat chart="3" format="1616">
      <pivotArea type="data" outline="0" fieldPosition="0">
        <references count="3">
          <reference field="0" count="1" selected="0">
            <x v="6"/>
          </reference>
          <reference field="6" count="1" selected="0">
            <x v="0"/>
          </reference>
          <reference field="7" count="1" selected="0">
            <x v="5"/>
          </reference>
        </references>
      </pivotArea>
    </chartFormat>
    <chartFormat chart="3" format="1617">
      <pivotArea type="data" outline="0" fieldPosition="0">
        <references count="3">
          <reference field="0" count="1" selected="0">
            <x v="6"/>
          </reference>
          <reference field="6" count="1" selected="0">
            <x v="2"/>
          </reference>
          <reference field="7" count="1" selected="0">
            <x v="5"/>
          </reference>
        </references>
      </pivotArea>
    </chartFormat>
    <chartFormat chart="3" format="1618">
      <pivotArea type="data" outline="0" fieldPosition="0">
        <references count="3">
          <reference field="0" count="1" selected="0">
            <x v="6"/>
          </reference>
          <reference field="6" count="1" selected="0">
            <x v="9"/>
          </reference>
          <reference field="7" count="1" selected="0">
            <x v="5"/>
          </reference>
        </references>
      </pivotArea>
    </chartFormat>
    <chartFormat chart="3" format="1619">
      <pivotArea type="data" outline="0" fieldPosition="0">
        <references count="3">
          <reference field="0" count="1" selected="0">
            <x v="6"/>
          </reference>
          <reference field="6" count="1" selected="0">
            <x v="14"/>
          </reference>
          <reference field="7" count="1" selected="0">
            <x v="5"/>
          </reference>
        </references>
      </pivotArea>
    </chartFormat>
    <chartFormat chart="3" format="1620">
      <pivotArea type="data" outline="0" fieldPosition="0">
        <references count="3">
          <reference field="0" count="1" selected="0">
            <x v="6"/>
          </reference>
          <reference field="6" count="1" selected="0">
            <x v="27"/>
          </reference>
          <reference field="7" count="1" selected="0">
            <x v="5"/>
          </reference>
        </references>
      </pivotArea>
    </chartFormat>
    <chartFormat chart="3" format="1621">
      <pivotArea type="data" outline="0" fieldPosition="0">
        <references count="3">
          <reference field="0" count="1" selected="0">
            <x v="7"/>
          </reference>
          <reference field="6" count="1" selected="0">
            <x v="0"/>
          </reference>
          <reference field="7" count="1" selected="0">
            <x v="5"/>
          </reference>
        </references>
      </pivotArea>
    </chartFormat>
    <chartFormat chart="3" format="1622">
      <pivotArea type="data" outline="0" fieldPosition="0">
        <references count="3">
          <reference field="0" count="1" selected="0">
            <x v="7"/>
          </reference>
          <reference field="6" count="1" selected="0">
            <x v="2"/>
          </reference>
          <reference field="7" count="1" selected="0">
            <x v="5"/>
          </reference>
        </references>
      </pivotArea>
    </chartFormat>
    <chartFormat chart="3" format="1623">
      <pivotArea type="data" outline="0" fieldPosition="0">
        <references count="3">
          <reference field="0" count="1" selected="0">
            <x v="7"/>
          </reference>
          <reference field="6" count="1" selected="0">
            <x v="9"/>
          </reference>
          <reference field="7" count="1" selected="0">
            <x v="5"/>
          </reference>
        </references>
      </pivotArea>
    </chartFormat>
    <chartFormat chart="3" format="1624">
      <pivotArea type="data" outline="0" fieldPosition="0">
        <references count="3">
          <reference field="0" count="1" selected="0">
            <x v="7"/>
          </reference>
          <reference field="6" count="1" selected="0">
            <x v="14"/>
          </reference>
          <reference field="7" count="1" selected="0">
            <x v="5"/>
          </reference>
        </references>
      </pivotArea>
    </chartFormat>
    <chartFormat chart="3" format="1625">
      <pivotArea type="data" outline="0" fieldPosition="0">
        <references count="3">
          <reference field="0" count="1" selected="0">
            <x v="7"/>
          </reference>
          <reference field="6" count="1" selected="0">
            <x v="27"/>
          </reference>
          <reference field="7" count="1" selected="0">
            <x v="5"/>
          </reference>
        </references>
      </pivotArea>
    </chartFormat>
    <chartFormat chart="3" format="1626">
      <pivotArea type="data" outline="0" fieldPosition="0">
        <references count="3">
          <reference field="0" count="1" selected="0">
            <x v="8"/>
          </reference>
          <reference field="6" count="1" selected="0">
            <x v="2"/>
          </reference>
          <reference field="7" count="1" selected="0">
            <x v="5"/>
          </reference>
        </references>
      </pivotArea>
    </chartFormat>
    <chartFormat chart="3" format="1627">
      <pivotArea type="data" outline="0" fieldPosition="0">
        <references count="3">
          <reference field="0" count="1" selected="0">
            <x v="8"/>
          </reference>
          <reference field="6" count="1" selected="0">
            <x v="14"/>
          </reference>
          <reference field="7" count="1" selected="0">
            <x v="5"/>
          </reference>
        </references>
      </pivotArea>
    </chartFormat>
    <chartFormat chart="3" format="1628">
      <pivotArea type="data" outline="0" fieldPosition="0">
        <references count="3">
          <reference field="0" count="1" selected="0">
            <x v="9"/>
          </reference>
          <reference field="6" count="1" selected="0">
            <x v="0"/>
          </reference>
          <reference field="7" count="1" selected="0">
            <x v="5"/>
          </reference>
        </references>
      </pivotArea>
    </chartFormat>
    <chartFormat chart="3" format="1629">
      <pivotArea type="data" outline="0" fieldPosition="0">
        <references count="3">
          <reference field="0" count="1" selected="0">
            <x v="9"/>
          </reference>
          <reference field="6" count="1" selected="0">
            <x v="2"/>
          </reference>
          <reference field="7" count="1" selected="0">
            <x v="5"/>
          </reference>
        </references>
      </pivotArea>
    </chartFormat>
    <chartFormat chart="3" format="1630">
      <pivotArea type="data" outline="0" fieldPosition="0">
        <references count="3">
          <reference field="0" count="1" selected="0">
            <x v="9"/>
          </reference>
          <reference field="6" count="1" selected="0">
            <x v="9"/>
          </reference>
          <reference field="7" count="1" selected="0">
            <x v="5"/>
          </reference>
        </references>
      </pivotArea>
    </chartFormat>
    <chartFormat chart="3" format="1631">
      <pivotArea type="data" outline="0" fieldPosition="0">
        <references count="3">
          <reference field="0" count="1" selected="0">
            <x v="9"/>
          </reference>
          <reference field="6" count="1" selected="0">
            <x v="14"/>
          </reference>
          <reference field="7" count="1" selected="0">
            <x v="5"/>
          </reference>
        </references>
      </pivotArea>
    </chartFormat>
    <chartFormat chart="3" format="1632">
      <pivotArea type="data" outline="0" fieldPosition="0">
        <references count="3">
          <reference field="0" count="1" selected="0">
            <x v="9"/>
          </reference>
          <reference field="6" count="1" selected="0">
            <x v="27"/>
          </reference>
          <reference field="7" count="1" selected="0">
            <x v="5"/>
          </reference>
        </references>
      </pivotArea>
    </chartFormat>
    <chartFormat chart="3" format="1633">
      <pivotArea type="data" outline="0" fieldPosition="0">
        <references count="3">
          <reference field="0" count="1" selected="0">
            <x v="10"/>
          </reference>
          <reference field="6" count="1" selected="0">
            <x v="0"/>
          </reference>
          <reference field="7" count="1" selected="0">
            <x v="5"/>
          </reference>
        </references>
      </pivotArea>
    </chartFormat>
    <chartFormat chart="3" format="1634">
      <pivotArea type="data" outline="0" fieldPosition="0">
        <references count="3">
          <reference field="0" count="1" selected="0">
            <x v="10"/>
          </reference>
          <reference field="6" count="1" selected="0">
            <x v="2"/>
          </reference>
          <reference field="7" count="1" selected="0">
            <x v="5"/>
          </reference>
        </references>
      </pivotArea>
    </chartFormat>
    <chartFormat chart="3" format="1635">
      <pivotArea type="data" outline="0" fieldPosition="0">
        <references count="3">
          <reference field="0" count="1" selected="0">
            <x v="10"/>
          </reference>
          <reference field="6" count="1" selected="0">
            <x v="9"/>
          </reference>
          <reference field="7" count="1" selected="0">
            <x v="5"/>
          </reference>
        </references>
      </pivotArea>
    </chartFormat>
    <chartFormat chart="3" format="1636">
      <pivotArea type="data" outline="0" fieldPosition="0">
        <references count="3">
          <reference field="0" count="1" selected="0">
            <x v="10"/>
          </reference>
          <reference field="6" count="1" selected="0">
            <x v="14"/>
          </reference>
          <reference field="7" count="1" selected="0">
            <x v="5"/>
          </reference>
        </references>
      </pivotArea>
    </chartFormat>
    <chartFormat chart="3" format="1637">
      <pivotArea type="data" outline="0" fieldPosition="0">
        <references count="3">
          <reference field="0" count="1" selected="0">
            <x v="10"/>
          </reference>
          <reference field="6" count="1" selected="0">
            <x v="27"/>
          </reference>
          <reference field="7" count="1" selected="0">
            <x v="5"/>
          </reference>
        </references>
      </pivotArea>
    </chartFormat>
    <chartFormat chart="3" format="1638">
      <pivotArea type="data" outline="0" fieldPosition="0">
        <references count="3">
          <reference field="0" count="1" selected="0">
            <x v="11"/>
          </reference>
          <reference field="6" count="1" selected="0">
            <x v="0"/>
          </reference>
          <reference field="7" count="1" selected="0">
            <x v="5"/>
          </reference>
        </references>
      </pivotArea>
    </chartFormat>
    <chartFormat chart="3" format="1639">
      <pivotArea type="data" outline="0" fieldPosition="0">
        <references count="3">
          <reference field="0" count="1" selected="0">
            <x v="11"/>
          </reference>
          <reference field="6" count="1" selected="0">
            <x v="2"/>
          </reference>
          <reference field="7" count="1" selected="0">
            <x v="5"/>
          </reference>
        </references>
      </pivotArea>
    </chartFormat>
    <chartFormat chart="3" format="1640">
      <pivotArea type="data" outline="0" fieldPosition="0">
        <references count="3">
          <reference field="0" count="1" selected="0">
            <x v="11"/>
          </reference>
          <reference field="6" count="1" selected="0">
            <x v="9"/>
          </reference>
          <reference field="7" count="1" selected="0">
            <x v="5"/>
          </reference>
        </references>
      </pivotArea>
    </chartFormat>
    <chartFormat chart="3" format="1641">
      <pivotArea type="data" outline="0" fieldPosition="0">
        <references count="3">
          <reference field="0" count="1" selected="0">
            <x v="11"/>
          </reference>
          <reference field="6" count="1" selected="0">
            <x v="14"/>
          </reference>
          <reference field="7" count="1" selected="0">
            <x v="5"/>
          </reference>
        </references>
      </pivotArea>
    </chartFormat>
    <chartFormat chart="3" format="1642">
      <pivotArea type="data" outline="0" fieldPosition="0">
        <references count="3">
          <reference field="0" count="1" selected="0">
            <x v="11"/>
          </reference>
          <reference field="6" count="1" selected="0">
            <x v="27"/>
          </reference>
          <reference field="7" count="1" selected="0">
            <x v="5"/>
          </reference>
        </references>
      </pivotArea>
    </chartFormat>
    <chartFormat chart="3" format="1643">
      <pivotArea type="data" outline="0" fieldPosition="0">
        <references count="3">
          <reference field="0" count="1" selected="0">
            <x v="12"/>
          </reference>
          <reference field="6" count="1" selected="0">
            <x v="2"/>
          </reference>
          <reference field="7" count="1" selected="0">
            <x v="5"/>
          </reference>
        </references>
      </pivotArea>
    </chartFormat>
    <chartFormat chart="3" format="1644">
      <pivotArea type="data" outline="0" fieldPosition="0">
        <references count="3">
          <reference field="0" count="1" selected="0">
            <x v="12"/>
          </reference>
          <reference field="6" count="1" selected="0">
            <x v="14"/>
          </reference>
          <reference field="7" count="1" selected="0">
            <x v="5"/>
          </reference>
        </references>
      </pivotArea>
    </chartFormat>
    <chartFormat chart="3" format="1645">
      <pivotArea type="data" outline="0" fieldPosition="0">
        <references count="3">
          <reference field="0" count="1" selected="0">
            <x v="13"/>
          </reference>
          <reference field="6" count="1" selected="0">
            <x v="2"/>
          </reference>
          <reference field="7" count="1" selected="0">
            <x v="5"/>
          </reference>
        </references>
      </pivotArea>
    </chartFormat>
    <chartFormat chart="3" format="1646">
      <pivotArea type="data" outline="0" fieldPosition="0">
        <references count="3">
          <reference field="0" count="1" selected="0">
            <x v="13"/>
          </reference>
          <reference field="6" count="1" selected="0">
            <x v="9"/>
          </reference>
          <reference field="7" count="1" selected="0">
            <x v="5"/>
          </reference>
        </references>
      </pivotArea>
    </chartFormat>
    <chartFormat chart="3" format="1647">
      <pivotArea type="data" outline="0" fieldPosition="0">
        <references count="3">
          <reference field="0" count="1" selected="0">
            <x v="13"/>
          </reference>
          <reference field="6" count="1" selected="0">
            <x v="14"/>
          </reference>
          <reference field="7" count="1" selected="0">
            <x v="5"/>
          </reference>
        </references>
      </pivotArea>
    </chartFormat>
    <chartFormat chart="3" format="1648">
      <pivotArea type="data" outline="0" fieldPosition="0">
        <references count="3">
          <reference field="0" count="1" selected="0">
            <x v="0"/>
          </reference>
          <reference field="6" count="1" selected="0">
            <x v="0"/>
          </reference>
          <reference field="7" count="1" selected="0">
            <x v="6"/>
          </reference>
        </references>
      </pivotArea>
    </chartFormat>
    <chartFormat chart="3" format="1649">
      <pivotArea type="data" outline="0" fieldPosition="0">
        <references count="3">
          <reference field="0" count="1" selected="0">
            <x v="0"/>
          </reference>
          <reference field="6" count="1" selected="0">
            <x v="2"/>
          </reference>
          <reference field="7" count="1" selected="0">
            <x v="6"/>
          </reference>
        </references>
      </pivotArea>
    </chartFormat>
    <chartFormat chart="3" format="1650">
      <pivotArea type="data" outline="0" fieldPosition="0">
        <references count="3">
          <reference field="0" count="1" selected="0">
            <x v="0"/>
          </reference>
          <reference field="6" count="1" selected="0">
            <x v="9"/>
          </reference>
          <reference field="7" count="1" selected="0">
            <x v="6"/>
          </reference>
        </references>
      </pivotArea>
    </chartFormat>
    <chartFormat chart="3" format="1651">
      <pivotArea type="data" outline="0" fieldPosition="0">
        <references count="3">
          <reference field="0" count="1" selected="0">
            <x v="0"/>
          </reference>
          <reference field="6" count="1" selected="0">
            <x v="14"/>
          </reference>
          <reference field="7" count="1" selected="0">
            <x v="6"/>
          </reference>
        </references>
      </pivotArea>
    </chartFormat>
    <chartFormat chart="3" format="1652">
      <pivotArea type="data" outline="0" fieldPosition="0">
        <references count="3">
          <reference field="0" count="1" selected="0">
            <x v="0"/>
          </reference>
          <reference field="6" count="1" selected="0">
            <x v="27"/>
          </reference>
          <reference field="7" count="1" selected="0">
            <x v="6"/>
          </reference>
        </references>
      </pivotArea>
    </chartFormat>
    <chartFormat chart="3" format="1653">
      <pivotArea type="data" outline="0" fieldPosition="0">
        <references count="3">
          <reference field="0" count="1" selected="0">
            <x v="1"/>
          </reference>
          <reference field="6" count="1" selected="0">
            <x v="2"/>
          </reference>
          <reference field="7" count="1" selected="0">
            <x v="6"/>
          </reference>
        </references>
      </pivotArea>
    </chartFormat>
    <chartFormat chart="3" format="1654">
      <pivotArea type="data" outline="0" fieldPosition="0">
        <references count="3">
          <reference field="0" count="1" selected="0">
            <x v="1"/>
          </reference>
          <reference field="6" count="1" selected="0">
            <x v="9"/>
          </reference>
          <reference field="7" count="1" selected="0">
            <x v="6"/>
          </reference>
        </references>
      </pivotArea>
    </chartFormat>
    <chartFormat chart="3" format="1655">
      <pivotArea type="data" outline="0" fieldPosition="0">
        <references count="3">
          <reference field="0" count="1" selected="0">
            <x v="1"/>
          </reference>
          <reference field="6" count="1" selected="0">
            <x v="14"/>
          </reference>
          <reference field="7" count="1" selected="0">
            <x v="6"/>
          </reference>
        </references>
      </pivotArea>
    </chartFormat>
    <chartFormat chart="3" format="1656">
      <pivotArea type="data" outline="0" fieldPosition="0">
        <references count="3">
          <reference field="0" count="1" selected="0">
            <x v="2"/>
          </reference>
          <reference field="6" count="1" selected="0">
            <x v="0"/>
          </reference>
          <reference field="7" count="1" selected="0">
            <x v="6"/>
          </reference>
        </references>
      </pivotArea>
    </chartFormat>
    <chartFormat chart="3" format="1657">
      <pivotArea type="data" outline="0" fieldPosition="0">
        <references count="3">
          <reference field="0" count="1" selected="0">
            <x v="2"/>
          </reference>
          <reference field="6" count="1" selected="0">
            <x v="2"/>
          </reference>
          <reference field="7" count="1" selected="0">
            <x v="6"/>
          </reference>
        </references>
      </pivotArea>
    </chartFormat>
    <chartFormat chart="3" format="1658">
      <pivotArea type="data" outline="0" fieldPosition="0">
        <references count="3">
          <reference field="0" count="1" selected="0">
            <x v="2"/>
          </reference>
          <reference field="6" count="1" selected="0">
            <x v="9"/>
          </reference>
          <reference field="7" count="1" selected="0">
            <x v="6"/>
          </reference>
        </references>
      </pivotArea>
    </chartFormat>
    <chartFormat chart="3" format="1659">
      <pivotArea type="data" outline="0" fieldPosition="0">
        <references count="3">
          <reference field="0" count="1" selected="0">
            <x v="2"/>
          </reference>
          <reference field="6" count="1" selected="0">
            <x v="14"/>
          </reference>
          <reference field="7" count="1" selected="0">
            <x v="6"/>
          </reference>
        </references>
      </pivotArea>
    </chartFormat>
    <chartFormat chart="3" format="1660">
      <pivotArea type="data" outline="0" fieldPosition="0">
        <references count="3">
          <reference field="0" count="1" selected="0">
            <x v="2"/>
          </reference>
          <reference field="6" count="1" selected="0">
            <x v="27"/>
          </reference>
          <reference field="7" count="1" selected="0">
            <x v="6"/>
          </reference>
        </references>
      </pivotArea>
    </chartFormat>
    <chartFormat chart="3" format="1661">
      <pivotArea type="data" outline="0" fieldPosition="0">
        <references count="3">
          <reference field="0" count="1" selected="0">
            <x v="3"/>
          </reference>
          <reference field="6" count="1" selected="0">
            <x v="0"/>
          </reference>
          <reference field="7" count="1" selected="0">
            <x v="6"/>
          </reference>
        </references>
      </pivotArea>
    </chartFormat>
    <chartFormat chart="3" format="1662">
      <pivotArea type="data" outline="0" fieldPosition="0">
        <references count="3">
          <reference field="0" count="1" selected="0">
            <x v="3"/>
          </reference>
          <reference field="6" count="1" selected="0">
            <x v="2"/>
          </reference>
          <reference field="7" count="1" selected="0">
            <x v="6"/>
          </reference>
        </references>
      </pivotArea>
    </chartFormat>
    <chartFormat chart="3" format="1663">
      <pivotArea type="data" outline="0" fieldPosition="0">
        <references count="3">
          <reference field="0" count="1" selected="0">
            <x v="3"/>
          </reference>
          <reference field="6" count="1" selected="0">
            <x v="9"/>
          </reference>
          <reference field="7" count="1" selected="0">
            <x v="6"/>
          </reference>
        </references>
      </pivotArea>
    </chartFormat>
    <chartFormat chart="3" format="1664">
      <pivotArea type="data" outline="0" fieldPosition="0">
        <references count="3">
          <reference field="0" count="1" selected="0">
            <x v="3"/>
          </reference>
          <reference field="6" count="1" selected="0">
            <x v="14"/>
          </reference>
          <reference field="7" count="1" selected="0">
            <x v="6"/>
          </reference>
        </references>
      </pivotArea>
    </chartFormat>
    <chartFormat chart="3" format="1665">
      <pivotArea type="data" outline="0" fieldPosition="0">
        <references count="3">
          <reference field="0" count="1" selected="0">
            <x v="3"/>
          </reference>
          <reference field="6" count="1" selected="0">
            <x v="27"/>
          </reference>
          <reference field="7" count="1" selected="0">
            <x v="6"/>
          </reference>
        </references>
      </pivotArea>
    </chartFormat>
    <chartFormat chart="3" format="1666">
      <pivotArea type="data" outline="0" fieldPosition="0">
        <references count="3">
          <reference field="0" count="1" selected="0">
            <x v="4"/>
          </reference>
          <reference field="6" count="1" selected="0">
            <x v="0"/>
          </reference>
          <reference field="7" count="1" selected="0">
            <x v="6"/>
          </reference>
        </references>
      </pivotArea>
    </chartFormat>
    <chartFormat chart="3" format="1667">
      <pivotArea type="data" outline="0" fieldPosition="0">
        <references count="3">
          <reference field="0" count="1" selected="0">
            <x v="4"/>
          </reference>
          <reference field="6" count="1" selected="0">
            <x v="2"/>
          </reference>
          <reference field="7" count="1" selected="0">
            <x v="6"/>
          </reference>
        </references>
      </pivotArea>
    </chartFormat>
    <chartFormat chart="3" format="1668">
      <pivotArea type="data" outline="0" fieldPosition="0">
        <references count="3">
          <reference field="0" count="1" selected="0">
            <x v="4"/>
          </reference>
          <reference field="6" count="1" selected="0">
            <x v="9"/>
          </reference>
          <reference field="7" count="1" selected="0">
            <x v="6"/>
          </reference>
        </references>
      </pivotArea>
    </chartFormat>
    <chartFormat chart="3" format="1669">
      <pivotArea type="data" outline="0" fieldPosition="0">
        <references count="3">
          <reference field="0" count="1" selected="0">
            <x v="4"/>
          </reference>
          <reference field="6" count="1" selected="0">
            <x v="14"/>
          </reference>
          <reference field="7" count="1" selected="0">
            <x v="6"/>
          </reference>
        </references>
      </pivotArea>
    </chartFormat>
    <chartFormat chart="3" format="1670">
      <pivotArea type="data" outline="0" fieldPosition="0">
        <references count="3">
          <reference field="0" count="1" selected="0">
            <x v="4"/>
          </reference>
          <reference field="6" count="1" selected="0">
            <x v="27"/>
          </reference>
          <reference field="7" count="1" selected="0">
            <x v="6"/>
          </reference>
        </references>
      </pivotArea>
    </chartFormat>
    <chartFormat chart="3" format="1671">
      <pivotArea type="data" outline="0" fieldPosition="0">
        <references count="3">
          <reference field="0" count="1" selected="0">
            <x v="4"/>
          </reference>
          <reference field="6" count="1" selected="0">
            <x v="28"/>
          </reference>
          <reference field="7" count="1" selected="0">
            <x v="6"/>
          </reference>
        </references>
      </pivotArea>
    </chartFormat>
    <chartFormat chart="3" format="1672">
      <pivotArea type="data" outline="0" fieldPosition="0">
        <references count="3">
          <reference field="0" count="1" selected="0">
            <x v="5"/>
          </reference>
          <reference field="6" count="1" selected="0">
            <x v="0"/>
          </reference>
          <reference field="7" count="1" selected="0">
            <x v="6"/>
          </reference>
        </references>
      </pivotArea>
    </chartFormat>
    <chartFormat chart="3" format="1673">
      <pivotArea type="data" outline="0" fieldPosition="0">
        <references count="3">
          <reference field="0" count="1" selected="0">
            <x v="5"/>
          </reference>
          <reference field="6" count="1" selected="0">
            <x v="2"/>
          </reference>
          <reference field="7" count="1" selected="0">
            <x v="6"/>
          </reference>
        </references>
      </pivotArea>
    </chartFormat>
    <chartFormat chart="3" format="1674">
      <pivotArea type="data" outline="0" fieldPosition="0">
        <references count="3">
          <reference field="0" count="1" selected="0">
            <x v="5"/>
          </reference>
          <reference field="6" count="1" selected="0">
            <x v="9"/>
          </reference>
          <reference field="7" count="1" selected="0">
            <x v="6"/>
          </reference>
        </references>
      </pivotArea>
    </chartFormat>
    <chartFormat chart="3" format="1675">
      <pivotArea type="data" outline="0" fieldPosition="0">
        <references count="3">
          <reference field="0" count="1" selected="0">
            <x v="5"/>
          </reference>
          <reference field="6" count="1" selected="0">
            <x v="14"/>
          </reference>
          <reference field="7" count="1" selected="0">
            <x v="6"/>
          </reference>
        </references>
      </pivotArea>
    </chartFormat>
    <chartFormat chart="3" format="1676">
      <pivotArea type="data" outline="0" fieldPosition="0">
        <references count="3">
          <reference field="0" count="1" selected="0">
            <x v="5"/>
          </reference>
          <reference field="6" count="1" selected="0">
            <x v="27"/>
          </reference>
          <reference field="7" count="1" selected="0">
            <x v="6"/>
          </reference>
        </references>
      </pivotArea>
    </chartFormat>
    <chartFormat chart="3" format="1677">
      <pivotArea type="data" outline="0" fieldPosition="0">
        <references count="3">
          <reference field="0" count="1" selected="0">
            <x v="6"/>
          </reference>
          <reference field="6" count="1" selected="0">
            <x v="0"/>
          </reference>
          <reference field="7" count="1" selected="0">
            <x v="6"/>
          </reference>
        </references>
      </pivotArea>
    </chartFormat>
    <chartFormat chart="3" format="1678">
      <pivotArea type="data" outline="0" fieldPosition="0">
        <references count="3">
          <reference field="0" count="1" selected="0">
            <x v="6"/>
          </reference>
          <reference field="6" count="1" selected="0">
            <x v="2"/>
          </reference>
          <reference field="7" count="1" selected="0">
            <x v="6"/>
          </reference>
        </references>
      </pivotArea>
    </chartFormat>
    <chartFormat chart="3" format="1679">
      <pivotArea type="data" outline="0" fieldPosition="0">
        <references count="3">
          <reference field="0" count="1" selected="0">
            <x v="6"/>
          </reference>
          <reference field="6" count="1" selected="0">
            <x v="9"/>
          </reference>
          <reference field="7" count="1" selected="0">
            <x v="6"/>
          </reference>
        </references>
      </pivotArea>
    </chartFormat>
    <chartFormat chart="3" format="1680">
      <pivotArea type="data" outline="0" fieldPosition="0">
        <references count="3">
          <reference field="0" count="1" selected="0">
            <x v="6"/>
          </reference>
          <reference field="6" count="1" selected="0">
            <x v="14"/>
          </reference>
          <reference field="7" count="1" selected="0">
            <x v="6"/>
          </reference>
        </references>
      </pivotArea>
    </chartFormat>
    <chartFormat chart="3" format="1681">
      <pivotArea type="data" outline="0" fieldPosition="0">
        <references count="3">
          <reference field="0" count="1" selected="0">
            <x v="6"/>
          </reference>
          <reference field="6" count="1" selected="0">
            <x v="27"/>
          </reference>
          <reference field="7" count="1" selected="0">
            <x v="6"/>
          </reference>
        </references>
      </pivotArea>
    </chartFormat>
    <chartFormat chart="3" format="1682">
      <pivotArea type="data" outline="0" fieldPosition="0">
        <references count="3">
          <reference field="0" count="1" selected="0">
            <x v="7"/>
          </reference>
          <reference field="6" count="1" selected="0">
            <x v="0"/>
          </reference>
          <reference field="7" count="1" selected="0">
            <x v="6"/>
          </reference>
        </references>
      </pivotArea>
    </chartFormat>
    <chartFormat chart="3" format="1683">
      <pivotArea type="data" outline="0" fieldPosition="0">
        <references count="3">
          <reference field="0" count="1" selected="0">
            <x v="7"/>
          </reference>
          <reference field="6" count="1" selected="0">
            <x v="2"/>
          </reference>
          <reference field="7" count="1" selected="0">
            <x v="6"/>
          </reference>
        </references>
      </pivotArea>
    </chartFormat>
    <chartFormat chart="3" format="1684">
      <pivotArea type="data" outline="0" fieldPosition="0">
        <references count="3">
          <reference field="0" count="1" selected="0">
            <x v="7"/>
          </reference>
          <reference field="6" count="1" selected="0">
            <x v="9"/>
          </reference>
          <reference field="7" count="1" selected="0">
            <x v="6"/>
          </reference>
        </references>
      </pivotArea>
    </chartFormat>
    <chartFormat chart="3" format="1685">
      <pivotArea type="data" outline="0" fieldPosition="0">
        <references count="3">
          <reference field="0" count="1" selected="0">
            <x v="7"/>
          </reference>
          <reference field="6" count="1" selected="0">
            <x v="14"/>
          </reference>
          <reference field="7" count="1" selected="0">
            <x v="6"/>
          </reference>
        </references>
      </pivotArea>
    </chartFormat>
    <chartFormat chart="3" format="1686">
      <pivotArea type="data" outline="0" fieldPosition="0">
        <references count="3">
          <reference field="0" count="1" selected="0">
            <x v="7"/>
          </reference>
          <reference field="6" count="1" selected="0">
            <x v="27"/>
          </reference>
          <reference field="7" count="1" selected="0">
            <x v="6"/>
          </reference>
        </references>
      </pivotArea>
    </chartFormat>
    <chartFormat chart="3" format="1687">
      <pivotArea type="data" outline="0" fieldPosition="0">
        <references count="3">
          <reference field="0" count="1" selected="0">
            <x v="8"/>
          </reference>
          <reference field="6" count="1" selected="0">
            <x v="2"/>
          </reference>
          <reference field="7" count="1" selected="0">
            <x v="6"/>
          </reference>
        </references>
      </pivotArea>
    </chartFormat>
    <chartFormat chart="3" format="1688">
      <pivotArea type="data" outline="0" fieldPosition="0">
        <references count="3">
          <reference field="0" count="1" selected="0">
            <x v="8"/>
          </reference>
          <reference field="6" count="1" selected="0">
            <x v="14"/>
          </reference>
          <reference field="7" count="1" selected="0">
            <x v="6"/>
          </reference>
        </references>
      </pivotArea>
    </chartFormat>
    <chartFormat chart="3" format="1689">
      <pivotArea type="data" outline="0" fieldPosition="0">
        <references count="3">
          <reference field="0" count="1" selected="0">
            <x v="9"/>
          </reference>
          <reference field="6" count="1" selected="0">
            <x v="0"/>
          </reference>
          <reference field="7" count="1" selected="0">
            <x v="6"/>
          </reference>
        </references>
      </pivotArea>
    </chartFormat>
    <chartFormat chart="3" format="1690">
      <pivotArea type="data" outline="0" fieldPosition="0">
        <references count="3">
          <reference field="0" count="1" selected="0">
            <x v="9"/>
          </reference>
          <reference field="6" count="1" selected="0">
            <x v="2"/>
          </reference>
          <reference field="7" count="1" selected="0">
            <x v="6"/>
          </reference>
        </references>
      </pivotArea>
    </chartFormat>
    <chartFormat chart="3" format="1691">
      <pivotArea type="data" outline="0" fieldPosition="0">
        <references count="3">
          <reference field="0" count="1" selected="0">
            <x v="9"/>
          </reference>
          <reference field="6" count="1" selected="0">
            <x v="9"/>
          </reference>
          <reference field="7" count="1" selected="0">
            <x v="6"/>
          </reference>
        </references>
      </pivotArea>
    </chartFormat>
    <chartFormat chart="3" format="1692">
      <pivotArea type="data" outline="0" fieldPosition="0">
        <references count="3">
          <reference field="0" count="1" selected="0">
            <x v="9"/>
          </reference>
          <reference field="6" count="1" selected="0">
            <x v="14"/>
          </reference>
          <reference field="7" count="1" selected="0">
            <x v="6"/>
          </reference>
        </references>
      </pivotArea>
    </chartFormat>
    <chartFormat chart="3" format="1693">
      <pivotArea type="data" outline="0" fieldPosition="0">
        <references count="3">
          <reference field="0" count="1" selected="0">
            <x v="9"/>
          </reference>
          <reference field="6" count="1" selected="0">
            <x v="27"/>
          </reference>
          <reference field="7" count="1" selected="0">
            <x v="6"/>
          </reference>
        </references>
      </pivotArea>
    </chartFormat>
    <chartFormat chart="3" format="1694">
      <pivotArea type="data" outline="0" fieldPosition="0">
        <references count="3">
          <reference field="0" count="1" selected="0">
            <x v="10"/>
          </reference>
          <reference field="6" count="1" selected="0">
            <x v="0"/>
          </reference>
          <reference field="7" count="1" selected="0">
            <x v="6"/>
          </reference>
        </references>
      </pivotArea>
    </chartFormat>
    <chartFormat chart="3" format="1695">
      <pivotArea type="data" outline="0" fieldPosition="0">
        <references count="3">
          <reference field="0" count="1" selected="0">
            <x v="10"/>
          </reference>
          <reference field="6" count="1" selected="0">
            <x v="2"/>
          </reference>
          <reference field="7" count="1" selected="0">
            <x v="6"/>
          </reference>
        </references>
      </pivotArea>
    </chartFormat>
    <chartFormat chart="3" format="1696">
      <pivotArea type="data" outline="0" fieldPosition="0">
        <references count="3">
          <reference field="0" count="1" selected="0">
            <x v="10"/>
          </reference>
          <reference field="6" count="1" selected="0">
            <x v="9"/>
          </reference>
          <reference field="7" count="1" selected="0">
            <x v="6"/>
          </reference>
        </references>
      </pivotArea>
    </chartFormat>
    <chartFormat chart="3" format="1697">
      <pivotArea type="data" outline="0" fieldPosition="0">
        <references count="3">
          <reference field="0" count="1" selected="0">
            <x v="10"/>
          </reference>
          <reference field="6" count="1" selected="0">
            <x v="14"/>
          </reference>
          <reference field="7" count="1" selected="0">
            <x v="6"/>
          </reference>
        </references>
      </pivotArea>
    </chartFormat>
    <chartFormat chart="3" format="1698">
      <pivotArea type="data" outline="0" fieldPosition="0">
        <references count="3">
          <reference field="0" count="1" selected="0">
            <x v="10"/>
          </reference>
          <reference field="6" count="1" selected="0">
            <x v="27"/>
          </reference>
          <reference field="7" count="1" selected="0">
            <x v="6"/>
          </reference>
        </references>
      </pivotArea>
    </chartFormat>
    <chartFormat chart="3" format="1699">
      <pivotArea type="data" outline="0" fieldPosition="0">
        <references count="3">
          <reference field="0" count="1" selected="0">
            <x v="11"/>
          </reference>
          <reference field="6" count="1" selected="0">
            <x v="0"/>
          </reference>
          <reference field="7" count="1" selected="0">
            <x v="6"/>
          </reference>
        </references>
      </pivotArea>
    </chartFormat>
    <chartFormat chart="3" format="1700">
      <pivotArea type="data" outline="0" fieldPosition="0">
        <references count="3">
          <reference field="0" count="1" selected="0">
            <x v="11"/>
          </reference>
          <reference field="6" count="1" selected="0">
            <x v="2"/>
          </reference>
          <reference field="7" count="1" selected="0">
            <x v="6"/>
          </reference>
        </references>
      </pivotArea>
    </chartFormat>
    <chartFormat chart="3" format="1701">
      <pivotArea type="data" outline="0" fieldPosition="0">
        <references count="3">
          <reference field="0" count="1" selected="0">
            <x v="11"/>
          </reference>
          <reference field="6" count="1" selected="0">
            <x v="9"/>
          </reference>
          <reference field="7" count="1" selected="0">
            <x v="6"/>
          </reference>
        </references>
      </pivotArea>
    </chartFormat>
    <chartFormat chart="3" format="1702">
      <pivotArea type="data" outline="0" fieldPosition="0">
        <references count="3">
          <reference field="0" count="1" selected="0">
            <x v="11"/>
          </reference>
          <reference field="6" count="1" selected="0">
            <x v="14"/>
          </reference>
          <reference field="7" count="1" selected="0">
            <x v="6"/>
          </reference>
        </references>
      </pivotArea>
    </chartFormat>
    <chartFormat chart="3" format="1703">
      <pivotArea type="data" outline="0" fieldPosition="0">
        <references count="3">
          <reference field="0" count="1" selected="0">
            <x v="11"/>
          </reference>
          <reference field="6" count="1" selected="0">
            <x v="27"/>
          </reference>
          <reference field="7" count="1" selected="0">
            <x v="6"/>
          </reference>
        </references>
      </pivotArea>
    </chartFormat>
    <chartFormat chart="3" format="1704">
      <pivotArea type="data" outline="0" fieldPosition="0">
        <references count="3">
          <reference field="0" count="1" selected="0">
            <x v="12"/>
          </reference>
          <reference field="6" count="1" selected="0">
            <x v="2"/>
          </reference>
          <reference field="7" count="1" selected="0">
            <x v="6"/>
          </reference>
        </references>
      </pivotArea>
    </chartFormat>
    <chartFormat chart="3" format="1705">
      <pivotArea type="data" outline="0" fieldPosition="0">
        <references count="3">
          <reference field="0" count="1" selected="0">
            <x v="12"/>
          </reference>
          <reference field="6" count="1" selected="0">
            <x v="14"/>
          </reference>
          <reference field="7" count="1" selected="0">
            <x v="6"/>
          </reference>
        </references>
      </pivotArea>
    </chartFormat>
    <chartFormat chart="3" format="1706">
      <pivotArea type="data" outline="0" fieldPosition="0">
        <references count="3">
          <reference field="0" count="1" selected="0">
            <x v="13"/>
          </reference>
          <reference field="6" count="1" selected="0">
            <x v="2"/>
          </reference>
          <reference field="7" count="1" selected="0">
            <x v="6"/>
          </reference>
        </references>
      </pivotArea>
    </chartFormat>
    <chartFormat chart="3" format="1707">
      <pivotArea type="data" outline="0" fieldPosition="0">
        <references count="3">
          <reference field="0" count="1" selected="0">
            <x v="13"/>
          </reference>
          <reference field="6" count="1" selected="0">
            <x v="9"/>
          </reference>
          <reference field="7" count="1" selected="0">
            <x v="6"/>
          </reference>
        </references>
      </pivotArea>
    </chartFormat>
    <chartFormat chart="3" format="1708">
      <pivotArea type="data" outline="0" fieldPosition="0">
        <references count="3">
          <reference field="0" count="1" selected="0">
            <x v="13"/>
          </reference>
          <reference field="6" count="1" selected="0">
            <x v="14"/>
          </reference>
          <reference field="7" count="1" selected="0">
            <x v="6"/>
          </reference>
        </references>
      </pivotArea>
    </chartFormat>
    <chartFormat chart="3" format="1709">
      <pivotArea type="data" outline="0" fieldPosition="0">
        <references count="3">
          <reference field="0" count="1" selected="0">
            <x v="0"/>
          </reference>
          <reference field="6" count="1" selected="0">
            <x v="0"/>
          </reference>
          <reference field="7" count="1" selected="0">
            <x v="8"/>
          </reference>
        </references>
      </pivotArea>
    </chartFormat>
    <chartFormat chart="3" format="1710">
      <pivotArea type="data" outline="0" fieldPosition="0">
        <references count="3">
          <reference field="0" count="1" selected="0">
            <x v="0"/>
          </reference>
          <reference field="6" count="1" selected="0">
            <x v="2"/>
          </reference>
          <reference field="7" count="1" selected="0">
            <x v="8"/>
          </reference>
        </references>
      </pivotArea>
    </chartFormat>
    <chartFormat chart="3" format="1711">
      <pivotArea type="data" outline="0" fieldPosition="0">
        <references count="3">
          <reference field="0" count="1" selected="0">
            <x v="0"/>
          </reference>
          <reference field="6" count="1" selected="0">
            <x v="9"/>
          </reference>
          <reference field="7" count="1" selected="0">
            <x v="8"/>
          </reference>
        </references>
      </pivotArea>
    </chartFormat>
    <chartFormat chart="3" format="1712">
      <pivotArea type="data" outline="0" fieldPosition="0">
        <references count="3">
          <reference field="0" count="1" selected="0">
            <x v="0"/>
          </reference>
          <reference field="6" count="1" selected="0">
            <x v="14"/>
          </reference>
          <reference field="7" count="1" selected="0">
            <x v="8"/>
          </reference>
        </references>
      </pivotArea>
    </chartFormat>
    <chartFormat chart="3" format="1713">
      <pivotArea type="data" outline="0" fieldPosition="0">
        <references count="3">
          <reference field="0" count="1" selected="0">
            <x v="0"/>
          </reference>
          <reference field="6" count="1" selected="0">
            <x v="27"/>
          </reference>
          <reference field="7" count="1" selected="0">
            <x v="8"/>
          </reference>
        </references>
      </pivotArea>
    </chartFormat>
    <chartFormat chart="3" format="1714">
      <pivotArea type="data" outline="0" fieldPosition="0">
        <references count="3">
          <reference field="0" count="1" selected="0">
            <x v="1"/>
          </reference>
          <reference field="6" count="1" selected="0">
            <x v="2"/>
          </reference>
          <reference field="7" count="1" selected="0">
            <x v="8"/>
          </reference>
        </references>
      </pivotArea>
    </chartFormat>
    <chartFormat chart="3" format="1715">
      <pivotArea type="data" outline="0" fieldPosition="0">
        <references count="3">
          <reference field="0" count="1" selected="0">
            <x v="1"/>
          </reference>
          <reference field="6" count="1" selected="0">
            <x v="9"/>
          </reference>
          <reference field="7" count="1" selected="0">
            <x v="8"/>
          </reference>
        </references>
      </pivotArea>
    </chartFormat>
    <chartFormat chart="3" format="1716">
      <pivotArea type="data" outline="0" fieldPosition="0">
        <references count="3">
          <reference field="0" count="1" selected="0">
            <x v="1"/>
          </reference>
          <reference field="6" count="1" selected="0">
            <x v="14"/>
          </reference>
          <reference field="7" count="1" selected="0">
            <x v="8"/>
          </reference>
        </references>
      </pivotArea>
    </chartFormat>
    <chartFormat chart="3" format="1717">
      <pivotArea type="data" outline="0" fieldPosition="0">
        <references count="3">
          <reference field="0" count="1" selected="0">
            <x v="2"/>
          </reference>
          <reference field="6" count="1" selected="0">
            <x v="0"/>
          </reference>
          <reference field="7" count="1" selected="0">
            <x v="8"/>
          </reference>
        </references>
      </pivotArea>
    </chartFormat>
    <chartFormat chart="3" format="1718">
      <pivotArea type="data" outline="0" fieldPosition="0">
        <references count="3">
          <reference field="0" count="1" selected="0">
            <x v="2"/>
          </reference>
          <reference field="6" count="1" selected="0">
            <x v="2"/>
          </reference>
          <reference field="7" count="1" selected="0">
            <x v="8"/>
          </reference>
        </references>
      </pivotArea>
    </chartFormat>
    <chartFormat chart="3" format="1719">
      <pivotArea type="data" outline="0" fieldPosition="0">
        <references count="3">
          <reference field="0" count="1" selected="0">
            <x v="2"/>
          </reference>
          <reference field="6" count="1" selected="0">
            <x v="9"/>
          </reference>
          <reference field="7" count="1" selected="0">
            <x v="8"/>
          </reference>
        </references>
      </pivotArea>
    </chartFormat>
    <chartFormat chart="3" format="1720">
      <pivotArea type="data" outline="0" fieldPosition="0">
        <references count="3">
          <reference field="0" count="1" selected="0">
            <x v="2"/>
          </reference>
          <reference field="6" count="1" selected="0">
            <x v="14"/>
          </reference>
          <reference field="7" count="1" selected="0">
            <x v="8"/>
          </reference>
        </references>
      </pivotArea>
    </chartFormat>
    <chartFormat chart="3" format="1721">
      <pivotArea type="data" outline="0" fieldPosition="0">
        <references count="3">
          <reference field="0" count="1" selected="0">
            <x v="2"/>
          </reference>
          <reference field="6" count="1" selected="0">
            <x v="27"/>
          </reference>
          <reference field="7" count="1" selected="0">
            <x v="8"/>
          </reference>
        </references>
      </pivotArea>
    </chartFormat>
    <chartFormat chart="3" format="1722">
      <pivotArea type="data" outline="0" fieldPosition="0">
        <references count="3">
          <reference field="0" count="1" selected="0">
            <x v="3"/>
          </reference>
          <reference field="6" count="1" selected="0">
            <x v="0"/>
          </reference>
          <reference field="7" count="1" selected="0">
            <x v="8"/>
          </reference>
        </references>
      </pivotArea>
    </chartFormat>
    <chartFormat chart="3" format="1723">
      <pivotArea type="data" outline="0" fieldPosition="0">
        <references count="3">
          <reference field="0" count="1" selected="0">
            <x v="3"/>
          </reference>
          <reference field="6" count="1" selected="0">
            <x v="2"/>
          </reference>
          <reference field="7" count="1" selected="0">
            <x v="8"/>
          </reference>
        </references>
      </pivotArea>
    </chartFormat>
    <chartFormat chart="3" format="1724">
      <pivotArea type="data" outline="0" fieldPosition="0">
        <references count="3">
          <reference field="0" count="1" selected="0">
            <x v="3"/>
          </reference>
          <reference field="6" count="1" selected="0">
            <x v="9"/>
          </reference>
          <reference field="7" count="1" selected="0">
            <x v="8"/>
          </reference>
        </references>
      </pivotArea>
    </chartFormat>
    <chartFormat chart="3" format="1725">
      <pivotArea type="data" outline="0" fieldPosition="0">
        <references count="3">
          <reference field="0" count="1" selected="0">
            <x v="3"/>
          </reference>
          <reference field="6" count="1" selected="0">
            <x v="14"/>
          </reference>
          <reference field="7" count="1" selected="0">
            <x v="8"/>
          </reference>
        </references>
      </pivotArea>
    </chartFormat>
    <chartFormat chart="3" format="1726">
      <pivotArea type="data" outline="0" fieldPosition="0">
        <references count="3">
          <reference field="0" count="1" selected="0">
            <x v="3"/>
          </reference>
          <reference field="6" count="1" selected="0">
            <x v="27"/>
          </reference>
          <reference field="7" count="1" selected="0">
            <x v="8"/>
          </reference>
        </references>
      </pivotArea>
    </chartFormat>
    <chartFormat chart="3" format="1727">
      <pivotArea type="data" outline="0" fieldPosition="0">
        <references count="3">
          <reference field="0" count="1" selected="0">
            <x v="4"/>
          </reference>
          <reference field="6" count="1" selected="0">
            <x v="0"/>
          </reference>
          <reference field="7" count="1" selected="0">
            <x v="8"/>
          </reference>
        </references>
      </pivotArea>
    </chartFormat>
    <chartFormat chart="3" format="1728">
      <pivotArea type="data" outline="0" fieldPosition="0">
        <references count="3">
          <reference field="0" count="1" selected="0">
            <x v="4"/>
          </reference>
          <reference field="6" count="1" selected="0">
            <x v="2"/>
          </reference>
          <reference field="7" count="1" selected="0">
            <x v="8"/>
          </reference>
        </references>
      </pivotArea>
    </chartFormat>
    <chartFormat chart="3" format="1729">
      <pivotArea type="data" outline="0" fieldPosition="0">
        <references count="3">
          <reference field="0" count="1" selected="0">
            <x v="4"/>
          </reference>
          <reference field="6" count="1" selected="0">
            <x v="9"/>
          </reference>
          <reference field="7" count="1" selected="0">
            <x v="8"/>
          </reference>
        </references>
      </pivotArea>
    </chartFormat>
    <chartFormat chart="3" format="1730">
      <pivotArea type="data" outline="0" fieldPosition="0">
        <references count="3">
          <reference field="0" count="1" selected="0">
            <x v="4"/>
          </reference>
          <reference field="6" count="1" selected="0">
            <x v="14"/>
          </reference>
          <reference field="7" count="1" selected="0">
            <x v="8"/>
          </reference>
        </references>
      </pivotArea>
    </chartFormat>
    <chartFormat chart="3" format="1731">
      <pivotArea type="data" outline="0" fieldPosition="0">
        <references count="3">
          <reference field="0" count="1" selected="0">
            <x v="4"/>
          </reference>
          <reference field="6" count="1" selected="0">
            <x v="27"/>
          </reference>
          <reference field="7" count="1" selected="0">
            <x v="8"/>
          </reference>
        </references>
      </pivotArea>
    </chartFormat>
    <chartFormat chart="3" format="1732">
      <pivotArea type="data" outline="0" fieldPosition="0">
        <references count="3">
          <reference field="0" count="1" selected="0">
            <x v="4"/>
          </reference>
          <reference field="6" count="1" selected="0">
            <x v="28"/>
          </reference>
          <reference field="7" count="1" selected="0">
            <x v="8"/>
          </reference>
        </references>
      </pivotArea>
    </chartFormat>
    <chartFormat chart="3" format="1733">
      <pivotArea type="data" outline="0" fieldPosition="0">
        <references count="3">
          <reference field="0" count="1" selected="0">
            <x v="5"/>
          </reference>
          <reference field="6" count="1" selected="0">
            <x v="0"/>
          </reference>
          <reference field="7" count="1" selected="0">
            <x v="8"/>
          </reference>
        </references>
      </pivotArea>
    </chartFormat>
    <chartFormat chart="3" format="1734">
      <pivotArea type="data" outline="0" fieldPosition="0">
        <references count="3">
          <reference field="0" count="1" selected="0">
            <x v="5"/>
          </reference>
          <reference field="6" count="1" selected="0">
            <x v="2"/>
          </reference>
          <reference field="7" count="1" selected="0">
            <x v="8"/>
          </reference>
        </references>
      </pivotArea>
    </chartFormat>
    <chartFormat chart="3" format="1735">
      <pivotArea type="data" outline="0" fieldPosition="0">
        <references count="3">
          <reference field="0" count="1" selected="0">
            <x v="5"/>
          </reference>
          <reference field="6" count="1" selected="0">
            <x v="9"/>
          </reference>
          <reference field="7" count="1" selected="0">
            <x v="8"/>
          </reference>
        </references>
      </pivotArea>
    </chartFormat>
    <chartFormat chart="3" format="1736">
      <pivotArea type="data" outline="0" fieldPosition="0">
        <references count="3">
          <reference field="0" count="1" selected="0">
            <x v="5"/>
          </reference>
          <reference field="6" count="1" selected="0">
            <x v="14"/>
          </reference>
          <reference field="7" count="1" selected="0">
            <x v="8"/>
          </reference>
        </references>
      </pivotArea>
    </chartFormat>
    <chartFormat chart="3" format="1737">
      <pivotArea type="data" outline="0" fieldPosition="0">
        <references count="3">
          <reference field="0" count="1" selected="0">
            <x v="5"/>
          </reference>
          <reference field="6" count="1" selected="0">
            <x v="27"/>
          </reference>
          <reference field="7" count="1" selected="0">
            <x v="8"/>
          </reference>
        </references>
      </pivotArea>
    </chartFormat>
    <chartFormat chart="3" format="1738">
      <pivotArea type="data" outline="0" fieldPosition="0">
        <references count="3">
          <reference field="0" count="1" selected="0">
            <x v="6"/>
          </reference>
          <reference field="6" count="1" selected="0">
            <x v="0"/>
          </reference>
          <reference field="7" count="1" selected="0">
            <x v="8"/>
          </reference>
        </references>
      </pivotArea>
    </chartFormat>
    <chartFormat chart="3" format="1739">
      <pivotArea type="data" outline="0" fieldPosition="0">
        <references count="3">
          <reference field="0" count="1" selected="0">
            <x v="6"/>
          </reference>
          <reference field="6" count="1" selected="0">
            <x v="2"/>
          </reference>
          <reference field="7" count="1" selected="0">
            <x v="8"/>
          </reference>
        </references>
      </pivotArea>
    </chartFormat>
    <chartFormat chart="3" format="1740">
      <pivotArea type="data" outline="0" fieldPosition="0">
        <references count="3">
          <reference field="0" count="1" selected="0">
            <x v="6"/>
          </reference>
          <reference field="6" count="1" selected="0">
            <x v="9"/>
          </reference>
          <reference field="7" count="1" selected="0">
            <x v="8"/>
          </reference>
        </references>
      </pivotArea>
    </chartFormat>
    <chartFormat chart="3" format="1741">
      <pivotArea type="data" outline="0" fieldPosition="0">
        <references count="3">
          <reference field="0" count="1" selected="0">
            <x v="6"/>
          </reference>
          <reference field="6" count="1" selected="0">
            <x v="14"/>
          </reference>
          <reference field="7" count="1" selected="0">
            <x v="8"/>
          </reference>
        </references>
      </pivotArea>
    </chartFormat>
    <chartFormat chart="3" format="1742">
      <pivotArea type="data" outline="0" fieldPosition="0">
        <references count="3">
          <reference field="0" count="1" selected="0">
            <x v="6"/>
          </reference>
          <reference field="6" count="1" selected="0">
            <x v="27"/>
          </reference>
          <reference field="7" count="1" selected="0">
            <x v="8"/>
          </reference>
        </references>
      </pivotArea>
    </chartFormat>
    <chartFormat chart="3" format="1743">
      <pivotArea type="data" outline="0" fieldPosition="0">
        <references count="3">
          <reference field="0" count="1" selected="0">
            <x v="7"/>
          </reference>
          <reference field="6" count="1" selected="0">
            <x v="0"/>
          </reference>
          <reference field="7" count="1" selected="0">
            <x v="8"/>
          </reference>
        </references>
      </pivotArea>
    </chartFormat>
    <chartFormat chart="3" format="1744">
      <pivotArea type="data" outline="0" fieldPosition="0">
        <references count="3">
          <reference field="0" count="1" selected="0">
            <x v="7"/>
          </reference>
          <reference field="6" count="1" selected="0">
            <x v="2"/>
          </reference>
          <reference field="7" count="1" selected="0">
            <x v="8"/>
          </reference>
        </references>
      </pivotArea>
    </chartFormat>
    <chartFormat chart="3" format="1745">
      <pivotArea type="data" outline="0" fieldPosition="0">
        <references count="3">
          <reference field="0" count="1" selected="0">
            <x v="7"/>
          </reference>
          <reference field="6" count="1" selected="0">
            <x v="9"/>
          </reference>
          <reference field="7" count="1" selected="0">
            <x v="8"/>
          </reference>
        </references>
      </pivotArea>
    </chartFormat>
    <chartFormat chart="3" format="1746">
      <pivotArea type="data" outline="0" fieldPosition="0">
        <references count="3">
          <reference field="0" count="1" selected="0">
            <x v="7"/>
          </reference>
          <reference field="6" count="1" selected="0">
            <x v="14"/>
          </reference>
          <reference field="7" count="1" selected="0">
            <x v="8"/>
          </reference>
        </references>
      </pivotArea>
    </chartFormat>
    <chartFormat chart="3" format="1747">
      <pivotArea type="data" outline="0" fieldPosition="0">
        <references count="3">
          <reference field="0" count="1" selected="0">
            <x v="7"/>
          </reference>
          <reference field="6" count="1" selected="0">
            <x v="27"/>
          </reference>
          <reference field="7" count="1" selected="0">
            <x v="8"/>
          </reference>
        </references>
      </pivotArea>
    </chartFormat>
    <chartFormat chart="3" format="1748">
      <pivotArea type="data" outline="0" fieldPosition="0">
        <references count="3">
          <reference field="0" count="1" selected="0">
            <x v="8"/>
          </reference>
          <reference field="6" count="1" selected="0">
            <x v="2"/>
          </reference>
          <reference field="7" count="1" selected="0">
            <x v="8"/>
          </reference>
        </references>
      </pivotArea>
    </chartFormat>
    <chartFormat chart="3" format="1749">
      <pivotArea type="data" outline="0" fieldPosition="0">
        <references count="3">
          <reference field="0" count="1" selected="0">
            <x v="8"/>
          </reference>
          <reference field="6" count="1" selected="0">
            <x v="14"/>
          </reference>
          <reference field="7" count="1" selected="0">
            <x v="8"/>
          </reference>
        </references>
      </pivotArea>
    </chartFormat>
    <chartFormat chart="3" format="1750">
      <pivotArea type="data" outline="0" fieldPosition="0">
        <references count="3">
          <reference field="0" count="1" selected="0">
            <x v="9"/>
          </reference>
          <reference field="6" count="1" selected="0">
            <x v="0"/>
          </reference>
          <reference field="7" count="1" selected="0">
            <x v="8"/>
          </reference>
        </references>
      </pivotArea>
    </chartFormat>
    <chartFormat chart="3" format="1751">
      <pivotArea type="data" outline="0" fieldPosition="0">
        <references count="3">
          <reference field="0" count="1" selected="0">
            <x v="9"/>
          </reference>
          <reference field="6" count="1" selected="0">
            <x v="2"/>
          </reference>
          <reference field="7" count="1" selected="0">
            <x v="8"/>
          </reference>
        </references>
      </pivotArea>
    </chartFormat>
    <chartFormat chart="3" format="1752">
      <pivotArea type="data" outline="0" fieldPosition="0">
        <references count="3">
          <reference field="0" count="1" selected="0">
            <x v="9"/>
          </reference>
          <reference field="6" count="1" selected="0">
            <x v="9"/>
          </reference>
          <reference field="7" count="1" selected="0">
            <x v="8"/>
          </reference>
        </references>
      </pivotArea>
    </chartFormat>
    <chartFormat chart="3" format="1753">
      <pivotArea type="data" outline="0" fieldPosition="0">
        <references count="3">
          <reference field="0" count="1" selected="0">
            <x v="9"/>
          </reference>
          <reference field="6" count="1" selected="0">
            <x v="14"/>
          </reference>
          <reference field="7" count="1" selected="0">
            <x v="8"/>
          </reference>
        </references>
      </pivotArea>
    </chartFormat>
    <chartFormat chart="3" format="1754">
      <pivotArea type="data" outline="0" fieldPosition="0">
        <references count="3">
          <reference field="0" count="1" selected="0">
            <x v="9"/>
          </reference>
          <reference field="6" count="1" selected="0">
            <x v="27"/>
          </reference>
          <reference field="7" count="1" selected="0">
            <x v="8"/>
          </reference>
        </references>
      </pivotArea>
    </chartFormat>
    <chartFormat chart="3" format="1755">
      <pivotArea type="data" outline="0" fieldPosition="0">
        <references count="3">
          <reference field="0" count="1" selected="0">
            <x v="10"/>
          </reference>
          <reference field="6" count="1" selected="0">
            <x v="0"/>
          </reference>
          <reference field="7" count="1" selected="0">
            <x v="8"/>
          </reference>
        </references>
      </pivotArea>
    </chartFormat>
    <chartFormat chart="3" format="1756">
      <pivotArea type="data" outline="0" fieldPosition="0">
        <references count="3">
          <reference field="0" count="1" selected="0">
            <x v="10"/>
          </reference>
          <reference field="6" count="1" selected="0">
            <x v="2"/>
          </reference>
          <reference field="7" count="1" selected="0">
            <x v="8"/>
          </reference>
        </references>
      </pivotArea>
    </chartFormat>
    <chartFormat chart="3" format="1757">
      <pivotArea type="data" outline="0" fieldPosition="0">
        <references count="3">
          <reference field="0" count="1" selected="0">
            <x v="10"/>
          </reference>
          <reference field="6" count="1" selected="0">
            <x v="9"/>
          </reference>
          <reference field="7" count="1" selected="0">
            <x v="8"/>
          </reference>
        </references>
      </pivotArea>
    </chartFormat>
    <chartFormat chart="3" format="1758">
      <pivotArea type="data" outline="0" fieldPosition="0">
        <references count="3">
          <reference field="0" count="1" selected="0">
            <x v="10"/>
          </reference>
          <reference field="6" count="1" selected="0">
            <x v="14"/>
          </reference>
          <reference field="7" count="1" selected="0">
            <x v="8"/>
          </reference>
        </references>
      </pivotArea>
    </chartFormat>
    <chartFormat chart="3" format="1759">
      <pivotArea type="data" outline="0" fieldPosition="0">
        <references count="3">
          <reference field="0" count="1" selected="0">
            <x v="10"/>
          </reference>
          <reference field="6" count="1" selected="0">
            <x v="27"/>
          </reference>
          <reference field="7" count="1" selected="0">
            <x v="8"/>
          </reference>
        </references>
      </pivotArea>
    </chartFormat>
    <chartFormat chart="3" format="1760">
      <pivotArea type="data" outline="0" fieldPosition="0">
        <references count="3">
          <reference field="0" count="1" selected="0">
            <x v="11"/>
          </reference>
          <reference field="6" count="1" selected="0">
            <x v="0"/>
          </reference>
          <reference field="7" count="1" selected="0">
            <x v="8"/>
          </reference>
        </references>
      </pivotArea>
    </chartFormat>
    <chartFormat chart="3" format="1761">
      <pivotArea type="data" outline="0" fieldPosition="0">
        <references count="3">
          <reference field="0" count="1" selected="0">
            <x v="11"/>
          </reference>
          <reference field="6" count="1" selected="0">
            <x v="2"/>
          </reference>
          <reference field="7" count="1" selected="0">
            <x v="8"/>
          </reference>
        </references>
      </pivotArea>
    </chartFormat>
    <chartFormat chart="3" format="1762">
      <pivotArea type="data" outline="0" fieldPosition="0">
        <references count="3">
          <reference field="0" count="1" selected="0">
            <x v="11"/>
          </reference>
          <reference field="6" count="1" selected="0">
            <x v="9"/>
          </reference>
          <reference field="7" count="1" selected="0">
            <x v="8"/>
          </reference>
        </references>
      </pivotArea>
    </chartFormat>
    <chartFormat chart="3" format="1763">
      <pivotArea type="data" outline="0" fieldPosition="0">
        <references count="3">
          <reference field="0" count="1" selected="0">
            <x v="11"/>
          </reference>
          <reference field="6" count="1" selected="0">
            <x v="14"/>
          </reference>
          <reference field="7" count="1" selected="0">
            <x v="8"/>
          </reference>
        </references>
      </pivotArea>
    </chartFormat>
    <chartFormat chart="3" format="1764">
      <pivotArea type="data" outline="0" fieldPosition="0">
        <references count="3">
          <reference field="0" count="1" selected="0">
            <x v="11"/>
          </reference>
          <reference field="6" count="1" selected="0">
            <x v="27"/>
          </reference>
          <reference field="7" count="1" selected="0">
            <x v="8"/>
          </reference>
        </references>
      </pivotArea>
    </chartFormat>
    <chartFormat chart="3" format="1765">
      <pivotArea type="data" outline="0" fieldPosition="0">
        <references count="3">
          <reference field="0" count="1" selected="0">
            <x v="12"/>
          </reference>
          <reference field="6" count="1" selected="0">
            <x v="2"/>
          </reference>
          <reference field="7" count="1" selected="0">
            <x v="8"/>
          </reference>
        </references>
      </pivotArea>
    </chartFormat>
    <chartFormat chart="3" format="1766">
      <pivotArea type="data" outline="0" fieldPosition="0">
        <references count="3">
          <reference field="0" count="1" selected="0">
            <x v="12"/>
          </reference>
          <reference field="6" count="1" selected="0">
            <x v="14"/>
          </reference>
          <reference field="7" count="1" selected="0">
            <x v="8"/>
          </reference>
        </references>
      </pivotArea>
    </chartFormat>
    <chartFormat chart="3" format="1767">
      <pivotArea type="data" outline="0" fieldPosition="0">
        <references count="3">
          <reference field="0" count="1" selected="0">
            <x v="13"/>
          </reference>
          <reference field="6" count="1" selected="0">
            <x v="2"/>
          </reference>
          <reference field="7" count="1" selected="0">
            <x v="8"/>
          </reference>
        </references>
      </pivotArea>
    </chartFormat>
    <chartFormat chart="3" format="1768">
      <pivotArea type="data" outline="0" fieldPosition="0">
        <references count="3">
          <reference field="0" count="1" selected="0">
            <x v="13"/>
          </reference>
          <reference field="6" count="1" selected="0">
            <x v="9"/>
          </reference>
          <reference field="7" count="1" selected="0">
            <x v="8"/>
          </reference>
        </references>
      </pivotArea>
    </chartFormat>
    <chartFormat chart="3" format="1769">
      <pivotArea type="data" outline="0" fieldPosition="0">
        <references count="3">
          <reference field="0" count="1" selected="0">
            <x v="13"/>
          </reference>
          <reference field="6" count="1" selected="0">
            <x v="14"/>
          </reference>
          <reference field="7" count="1" selected="0">
            <x v="8"/>
          </reference>
        </references>
      </pivotArea>
    </chartFormat>
    <chartFormat chart="3" format="1770">
      <pivotArea type="data" outline="0" fieldPosition="0">
        <references count="3">
          <reference field="0" count="1" selected="0">
            <x v="0"/>
          </reference>
          <reference field="6" count="1" selected="0">
            <x v="0"/>
          </reference>
          <reference field="7" count="1" selected="0">
            <x v="9"/>
          </reference>
        </references>
      </pivotArea>
    </chartFormat>
    <chartFormat chart="3" format="1771">
      <pivotArea type="data" outline="0" fieldPosition="0">
        <references count="3">
          <reference field="0" count="1" selected="0">
            <x v="0"/>
          </reference>
          <reference field="6" count="1" selected="0">
            <x v="2"/>
          </reference>
          <reference field="7" count="1" selected="0">
            <x v="9"/>
          </reference>
        </references>
      </pivotArea>
    </chartFormat>
    <chartFormat chart="3" format="1772">
      <pivotArea type="data" outline="0" fieldPosition="0">
        <references count="3">
          <reference field="0" count="1" selected="0">
            <x v="0"/>
          </reference>
          <reference field="6" count="1" selected="0">
            <x v="9"/>
          </reference>
          <reference field="7" count="1" selected="0">
            <x v="9"/>
          </reference>
        </references>
      </pivotArea>
    </chartFormat>
    <chartFormat chart="3" format="1773">
      <pivotArea type="data" outline="0" fieldPosition="0">
        <references count="3">
          <reference field="0" count="1" selected="0">
            <x v="0"/>
          </reference>
          <reference field="6" count="1" selected="0">
            <x v="14"/>
          </reference>
          <reference field="7" count="1" selected="0">
            <x v="9"/>
          </reference>
        </references>
      </pivotArea>
    </chartFormat>
    <chartFormat chart="3" format="1774">
      <pivotArea type="data" outline="0" fieldPosition="0">
        <references count="3">
          <reference field="0" count="1" selected="0">
            <x v="0"/>
          </reference>
          <reference field="6" count="1" selected="0">
            <x v="27"/>
          </reference>
          <reference field="7" count="1" selected="0">
            <x v="9"/>
          </reference>
        </references>
      </pivotArea>
    </chartFormat>
    <chartFormat chart="3" format="1775">
      <pivotArea type="data" outline="0" fieldPosition="0">
        <references count="3">
          <reference field="0" count="1" selected="0">
            <x v="1"/>
          </reference>
          <reference field="6" count="1" selected="0">
            <x v="2"/>
          </reference>
          <reference field="7" count="1" selected="0">
            <x v="9"/>
          </reference>
        </references>
      </pivotArea>
    </chartFormat>
    <chartFormat chart="3" format="1776">
      <pivotArea type="data" outline="0" fieldPosition="0">
        <references count="3">
          <reference field="0" count="1" selected="0">
            <x v="1"/>
          </reference>
          <reference field="6" count="1" selected="0">
            <x v="9"/>
          </reference>
          <reference field="7" count="1" selected="0">
            <x v="9"/>
          </reference>
        </references>
      </pivotArea>
    </chartFormat>
    <chartFormat chart="3" format="1777">
      <pivotArea type="data" outline="0" fieldPosition="0">
        <references count="3">
          <reference field="0" count="1" selected="0">
            <x v="1"/>
          </reference>
          <reference field="6" count="1" selected="0">
            <x v="14"/>
          </reference>
          <reference field="7" count="1" selected="0">
            <x v="9"/>
          </reference>
        </references>
      </pivotArea>
    </chartFormat>
    <chartFormat chart="3" format="1778">
      <pivotArea type="data" outline="0" fieldPosition="0">
        <references count="3">
          <reference field="0" count="1" selected="0">
            <x v="2"/>
          </reference>
          <reference field="6" count="1" selected="0">
            <x v="0"/>
          </reference>
          <reference field="7" count="1" selected="0">
            <x v="9"/>
          </reference>
        </references>
      </pivotArea>
    </chartFormat>
    <chartFormat chart="3" format="1779">
      <pivotArea type="data" outline="0" fieldPosition="0">
        <references count="3">
          <reference field="0" count="1" selected="0">
            <x v="2"/>
          </reference>
          <reference field="6" count="1" selected="0">
            <x v="2"/>
          </reference>
          <reference field="7" count="1" selected="0">
            <x v="9"/>
          </reference>
        </references>
      </pivotArea>
    </chartFormat>
    <chartFormat chart="3" format="1780">
      <pivotArea type="data" outline="0" fieldPosition="0">
        <references count="3">
          <reference field="0" count="1" selected="0">
            <x v="2"/>
          </reference>
          <reference field="6" count="1" selected="0">
            <x v="9"/>
          </reference>
          <reference field="7" count="1" selected="0">
            <x v="9"/>
          </reference>
        </references>
      </pivotArea>
    </chartFormat>
    <chartFormat chart="3" format="1781">
      <pivotArea type="data" outline="0" fieldPosition="0">
        <references count="3">
          <reference field="0" count="1" selected="0">
            <x v="2"/>
          </reference>
          <reference field="6" count="1" selected="0">
            <x v="14"/>
          </reference>
          <reference field="7" count="1" selected="0">
            <x v="9"/>
          </reference>
        </references>
      </pivotArea>
    </chartFormat>
    <chartFormat chart="3" format="1782">
      <pivotArea type="data" outline="0" fieldPosition="0">
        <references count="3">
          <reference field="0" count="1" selected="0">
            <x v="2"/>
          </reference>
          <reference field="6" count="1" selected="0">
            <x v="27"/>
          </reference>
          <reference field="7" count="1" selected="0">
            <x v="9"/>
          </reference>
        </references>
      </pivotArea>
    </chartFormat>
    <chartFormat chart="3" format="1783">
      <pivotArea type="data" outline="0" fieldPosition="0">
        <references count="3">
          <reference field="0" count="1" selected="0">
            <x v="3"/>
          </reference>
          <reference field="6" count="1" selected="0">
            <x v="0"/>
          </reference>
          <reference field="7" count="1" selected="0">
            <x v="9"/>
          </reference>
        </references>
      </pivotArea>
    </chartFormat>
    <chartFormat chart="3" format="1784">
      <pivotArea type="data" outline="0" fieldPosition="0">
        <references count="3">
          <reference field="0" count="1" selected="0">
            <x v="3"/>
          </reference>
          <reference field="6" count="1" selected="0">
            <x v="2"/>
          </reference>
          <reference field="7" count="1" selected="0">
            <x v="9"/>
          </reference>
        </references>
      </pivotArea>
    </chartFormat>
    <chartFormat chart="3" format="1785">
      <pivotArea type="data" outline="0" fieldPosition="0">
        <references count="3">
          <reference field="0" count="1" selected="0">
            <x v="3"/>
          </reference>
          <reference field="6" count="1" selected="0">
            <x v="9"/>
          </reference>
          <reference field="7" count="1" selected="0">
            <x v="9"/>
          </reference>
        </references>
      </pivotArea>
    </chartFormat>
    <chartFormat chart="3" format="1786">
      <pivotArea type="data" outline="0" fieldPosition="0">
        <references count="3">
          <reference field="0" count="1" selected="0">
            <x v="3"/>
          </reference>
          <reference field="6" count="1" selected="0">
            <x v="14"/>
          </reference>
          <reference field="7" count="1" selected="0">
            <x v="9"/>
          </reference>
        </references>
      </pivotArea>
    </chartFormat>
    <chartFormat chart="3" format="1787">
      <pivotArea type="data" outline="0" fieldPosition="0">
        <references count="3">
          <reference field="0" count="1" selected="0">
            <x v="3"/>
          </reference>
          <reference field="6" count="1" selected="0">
            <x v="27"/>
          </reference>
          <reference field="7" count="1" selected="0">
            <x v="9"/>
          </reference>
        </references>
      </pivotArea>
    </chartFormat>
    <chartFormat chart="3" format="1788">
      <pivotArea type="data" outline="0" fieldPosition="0">
        <references count="3">
          <reference field="0" count="1" selected="0">
            <x v="4"/>
          </reference>
          <reference field="6" count="1" selected="0">
            <x v="0"/>
          </reference>
          <reference field="7" count="1" selected="0">
            <x v="9"/>
          </reference>
        </references>
      </pivotArea>
    </chartFormat>
    <chartFormat chart="3" format="1789">
      <pivotArea type="data" outline="0" fieldPosition="0">
        <references count="3">
          <reference field="0" count="1" selected="0">
            <x v="4"/>
          </reference>
          <reference field="6" count="1" selected="0">
            <x v="2"/>
          </reference>
          <reference field="7" count="1" selected="0">
            <x v="9"/>
          </reference>
        </references>
      </pivotArea>
    </chartFormat>
    <chartFormat chart="3" format="1790">
      <pivotArea type="data" outline="0" fieldPosition="0">
        <references count="3">
          <reference field="0" count="1" selected="0">
            <x v="4"/>
          </reference>
          <reference field="6" count="1" selected="0">
            <x v="9"/>
          </reference>
          <reference field="7" count="1" selected="0">
            <x v="9"/>
          </reference>
        </references>
      </pivotArea>
    </chartFormat>
    <chartFormat chart="3" format="1791">
      <pivotArea type="data" outline="0" fieldPosition="0">
        <references count="3">
          <reference field="0" count="1" selected="0">
            <x v="4"/>
          </reference>
          <reference field="6" count="1" selected="0">
            <x v="14"/>
          </reference>
          <reference field="7" count="1" selected="0">
            <x v="9"/>
          </reference>
        </references>
      </pivotArea>
    </chartFormat>
    <chartFormat chart="3" format="1792">
      <pivotArea type="data" outline="0" fieldPosition="0">
        <references count="3">
          <reference field="0" count="1" selected="0">
            <x v="4"/>
          </reference>
          <reference field="6" count="1" selected="0">
            <x v="27"/>
          </reference>
          <reference field="7" count="1" selected="0">
            <x v="9"/>
          </reference>
        </references>
      </pivotArea>
    </chartFormat>
    <chartFormat chart="3" format="1793">
      <pivotArea type="data" outline="0" fieldPosition="0">
        <references count="3">
          <reference field="0" count="1" selected="0">
            <x v="4"/>
          </reference>
          <reference field="6" count="1" selected="0">
            <x v="28"/>
          </reference>
          <reference field="7" count="1" selected="0">
            <x v="9"/>
          </reference>
        </references>
      </pivotArea>
    </chartFormat>
    <chartFormat chart="3" format="1794">
      <pivotArea type="data" outline="0" fieldPosition="0">
        <references count="3">
          <reference field="0" count="1" selected="0">
            <x v="5"/>
          </reference>
          <reference field="6" count="1" selected="0">
            <x v="0"/>
          </reference>
          <reference field="7" count="1" selected="0">
            <x v="9"/>
          </reference>
        </references>
      </pivotArea>
    </chartFormat>
    <chartFormat chart="3" format="1795">
      <pivotArea type="data" outline="0" fieldPosition="0">
        <references count="3">
          <reference field="0" count="1" selected="0">
            <x v="5"/>
          </reference>
          <reference field="6" count="1" selected="0">
            <x v="2"/>
          </reference>
          <reference field="7" count="1" selected="0">
            <x v="9"/>
          </reference>
        </references>
      </pivotArea>
    </chartFormat>
    <chartFormat chart="3" format="1796">
      <pivotArea type="data" outline="0" fieldPosition="0">
        <references count="3">
          <reference field="0" count="1" selected="0">
            <x v="5"/>
          </reference>
          <reference field="6" count="1" selected="0">
            <x v="9"/>
          </reference>
          <reference field="7" count="1" selected="0">
            <x v="9"/>
          </reference>
        </references>
      </pivotArea>
    </chartFormat>
    <chartFormat chart="3" format="1797">
      <pivotArea type="data" outline="0" fieldPosition="0">
        <references count="3">
          <reference field="0" count="1" selected="0">
            <x v="5"/>
          </reference>
          <reference field="6" count="1" selected="0">
            <x v="14"/>
          </reference>
          <reference field="7" count="1" selected="0">
            <x v="9"/>
          </reference>
        </references>
      </pivotArea>
    </chartFormat>
    <chartFormat chart="3" format="1798">
      <pivotArea type="data" outline="0" fieldPosition="0">
        <references count="3">
          <reference field="0" count="1" selected="0">
            <x v="5"/>
          </reference>
          <reference field="6" count="1" selected="0">
            <x v="27"/>
          </reference>
          <reference field="7" count="1" selected="0">
            <x v="9"/>
          </reference>
        </references>
      </pivotArea>
    </chartFormat>
    <chartFormat chart="3" format="1799">
      <pivotArea type="data" outline="0" fieldPosition="0">
        <references count="3">
          <reference field="0" count="1" selected="0">
            <x v="6"/>
          </reference>
          <reference field="6" count="1" selected="0">
            <x v="0"/>
          </reference>
          <reference field="7" count="1" selected="0">
            <x v="9"/>
          </reference>
        </references>
      </pivotArea>
    </chartFormat>
    <chartFormat chart="3" format="1800">
      <pivotArea type="data" outline="0" fieldPosition="0">
        <references count="3">
          <reference field="0" count="1" selected="0">
            <x v="6"/>
          </reference>
          <reference field="6" count="1" selected="0">
            <x v="2"/>
          </reference>
          <reference field="7" count="1" selected="0">
            <x v="9"/>
          </reference>
        </references>
      </pivotArea>
    </chartFormat>
    <chartFormat chart="3" format="1801">
      <pivotArea type="data" outline="0" fieldPosition="0">
        <references count="3">
          <reference field="0" count="1" selected="0">
            <x v="6"/>
          </reference>
          <reference field="6" count="1" selected="0">
            <x v="9"/>
          </reference>
          <reference field="7" count="1" selected="0">
            <x v="9"/>
          </reference>
        </references>
      </pivotArea>
    </chartFormat>
    <chartFormat chart="3" format="1802">
      <pivotArea type="data" outline="0" fieldPosition="0">
        <references count="3">
          <reference field="0" count="1" selected="0">
            <x v="6"/>
          </reference>
          <reference field="6" count="1" selected="0">
            <x v="14"/>
          </reference>
          <reference field="7" count="1" selected="0">
            <x v="9"/>
          </reference>
        </references>
      </pivotArea>
    </chartFormat>
    <chartFormat chart="3" format="1803">
      <pivotArea type="data" outline="0" fieldPosition="0">
        <references count="3">
          <reference field="0" count="1" selected="0">
            <x v="6"/>
          </reference>
          <reference field="6" count="1" selected="0">
            <x v="27"/>
          </reference>
          <reference field="7" count="1" selected="0">
            <x v="9"/>
          </reference>
        </references>
      </pivotArea>
    </chartFormat>
    <chartFormat chart="3" format="1804">
      <pivotArea type="data" outline="0" fieldPosition="0">
        <references count="3">
          <reference field="0" count="1" selected="0">
            <x v="7"/>
          </reference>
          <reference field="6" count="1" selected="0">
            <x v="0"/>
          </reference>
          <reference field="7" count="1" selected="0">
            <x v="9"/>
          </reference>
        </references>
      </pivotArea>
    </chartFormat>
    <chartFormat chart="3" format="1805">
      <pivotArea type="data" outline="0" fieldPosition="0">
        <references count="3">
          <reference field="0" count="1" selected="0">
            <x v="7"/>
          </reference>
          <reference field="6" count="1" selected="0">
            <x v="2"/>
          </reference>
          <reference field="7" count="1" selected="0">
            <x v="9"/>
          </reference>
        </references>
      </pivotArea>
    </chartFormat>
    <chartFormat chart="3" format="1806">
      <pivotArea type="data" outline="0" fieldPosition="0">
        <references count="3">
          <reference field="0" count="1" selected="0">
            <x v="7"/>
          </reference>
          <reference field="6" count="1" selected="0">
            <x v="9"/>
          </reference>
          <reference field="7" count="1" selected="0">
            <x v="9"/>
          </reference>
        </references>
      </pivotArea>
    </chartFormat>
    <chartFormat chart="3" format="1807">
      <pivotArea type="data" outline="0" fieldPosition="0">
        <references count="3">
          <reference field="0" count="1" selected="0">
            <x v="7"/>
          </reference>
          <reference field="6" count="1" selected="0">
            <x v="14"/>
          </reference>
          <reference field="7" count="1" selected="0">
            <x v="9"/>
          </reference>
        </references>
      </pivotArea>
    </chartFormat>
    <chartFormat chart="3" format="1808">
      <pivotArea type="data" outline="0" fieldPosition="0">
        <references count="3">
          <reference field="0" count="1" selected="0">
            <x v="7"/>
          </reference>
          <reference field="6" count="1" selected="0">
            <x v="27"/>
          </reference>
          <reference field="7" count="1" selected="0">
            <x v="9"/>
          </reference>
        </references>
      </pivotArea>
    </chartFormat>
    <chartFormat chart="3" format="1809">
      <pivotArea type="data" outline="0" fieldPosition="0">
        <references count="3">
          <reference field="0" count="1" selected="0">
            <x v="8"/>
          </reference>
          <reference field="6" count="1" selected="0">
            <x v="2"/>
          </reference>
          <reference field="7" count="1" selected="0">
            <x v="9"/>
          </reference>
        </references>
      </pivotArea>
    </chartFormat>
    <chartFormat chart="3" format="1810">
      <pivotArea type="data" outline="0" fieldPosition="0">
        <references count="3">
          <reference field="0" count="1" selected="0">
            <x v="8"/>
          </reference>
          <reference field="6" count="1" selected="0">
            <x v="14"/>
          </reference>
          <reference field="7" count="1" selected="0">
            <x v="9"/>
          </reference>
        </references>
      </pivotArea>
    </chartFormat>
    <chartFormat chart="3" format="1811">
      <pivotArea type="data" outline="0" fieldPosition="0">
        <references count="3">
          <reference field="0" count="1" selected="0">
            <x v="9"/>
          </reference>
          <reference field="6" count="1" selected="0">
            <x v="0"/>
          </reference>
          <reference field="7" count="1" selected="0">
            <x v="9"/>
          </reference>
        </references>
      </pivotArea>
    </chartFormat>
    <chartFormat chart="3" format="1812">
      <pivotArea type="data" outline="0" fieldPosition="0">
        <references count="3">
          <reference field="0" count="1" selected="0">
            <x v="9"/>
          </reference>
          <reference field="6" count="1" selected="0">
            <x v="2"/>
          </reference>
          <reference field="7" count="1" selected="0">
            <x v="9"/>
          </reference>
        </references>
      </pivotArea>
    </chartFormat>
    <chartFormat chart="3" format="1813">
      <pivotArea type="data" outline="0" fieldPosition="0">
        <references count="3">
          <reference field="0" count="1" selected="0">
            <x v="9"/>
          </reference>
          <reference field="6" count="1" selected="0">
            <x v="9"/>
          </reference>
          <reference field="7" count="1" selected="0">
            <x v="9"/>
          </reference>
        </references>
      </pivotArea>
    </chartFormat>
    <chartFormat chart="3" format="1814">
      <pivotArea type="data" outline="0" fieldPosition="0">
        <references count="3">
          <reference field="0" count="1" selected="0">
            <x v="9"/>
          </reference>
          <reference field="6" count="1" selected="0">
            <x v="14"/>
          </reference>
          <reference field="7" count="1" selected="0">
            <x v="9"/>
          </reference>
        </references>
      </pivotArea>
    </chartFormat>
    <chartFormat chart="3" format="1815">
      <pivotArea type="data" outline="0" fieldPosition="0">
        <references count="3">
          <reference field="0" count="1" selected="0">
            <x v="9"/>
          </reference>
          <reference field="6" count="1" selected="0">
            <x v="27"/>
          </reference>
          <reference field="7" count="1" selected="0">
            <x v="9"/>
          </reference>
        </references>
      </pivotArea>
    </chartFormat>
    <chartFormat chart="3" format="1816">
      <pivotArea type="data" outline="0" fieldPosition="0">
        <references count="3">
          <reference field="0" count="1" selected="0">
            <x v="10"/>
          </reference>
          <reference field="6" count="1" selected="0">
            <x v="0"/>
          </reference>
          <reference field="7" count="1" selected="0">
            <x v="9"/>
          </reference>
        </references>
      </pivotArea>
    </chartFormat>
    <chartFormat chart="3" format="1817">
      <pivotArea type="data" outline="0" fieldPosition="0">
        <references count="3">
          <reference field="0" count="1" selected="0">
            <x v="10"/>
          </reference>
          <reference field="6" count="1" selected="0">
            <x v="2"/>
          </reference>
          <reference field="7" count="1" selected="0">
            <x v="9"/>
          </reference>
        </references>
      </pivotArea>
    </chartFormat>
    <chartFormat chart="3" format="1818">
      <pivotArea type="data" outline="0" fieldPosition="0">
        <references count="3">
          <reference field="0" count="1" selected="0">
            <x v="10"/>
          </reference>
          <reference field="6" count="1" selected="0">
            <x v="9"/>
          </reference>
          <reference field="7" count="1" selected="0">
            <x v="9"/>
          </reference>
        </references>
      </pivotArea>
    </chartFormat>
    <chartFormat chart="3" format="1819">
      <pivotArea type="data" outline="0" fieldPosition="0">
        <references count="3">
          <reference field="0" count="1" selected="0">
            <x v="10"/>
          </reference>
          <reference field="6" count="1" selected="0">
            <x v="14"/>
          </reference>
          <reference field="7" count="1" selected="0">
            <x v="9"/>
          </reference>
        </references>
      </pivotArea>
    </chartFormat>
    <chartFormat chart="3" format="1820">
      <pivotArea type="data" outline="0" fieldPosition="0">
        <references count="3">
          <reference field="0" count="1" selected="0">
            <x v="10"/>
          </reference>
          <reference field="6" count="1" selected="0">
            <x v="27"/>
          </reference>
          <reference field="7" count="1" selected="0">
            <x v="9"/>
          </reference>
        </references>
      </pivotArea>
    </chartFormat>
    <chartFormat chart="3" format="1821">
      <pivotArea type="data" outline="0" fieldPosition="0">
        <references count="3">
          <reference field="0" count="1" selected="0">
            <x v="11"/>
          </reference>
          <reference field="6" count="1" selected="0">
            <x v="0"/>
          </reference>
          <reference field="7" count="1" selected="0">
            <x v="9"/>
          </reference>
        </references>
      </pivotArea>
    </chartFormat>
    <chartFormat chart="3" format="1822">
      <pivotArea type="data" outline="0" fieldPosition="0">
        <references count="3">
          <reference field="0" count="1" selected="0">
            <x v="11"/>
          </reference>
          <reference field="6" count="1" selected="0">
            <x v="2"/>
          </reference>
          <reference field="7" count="1" selected="0">
            <x v="9"/>
          </reference>
        </references>
      </pivotArea>
    </chartFormat>
    <chartFormat chart="3" format="1823">
      <pivotArea type="data" outline="0" fieldPosition="0">
        <references count="3">
          <reference field="0" count="1" selected="0">
            <x v="11"/>
          </reference>
          <reference field="6" count="1" selected="0">
            <x v="9"/>
          </reference>
          <reference field="7" count="1" selected="0">
            <x v="9"/>
          </reference>
        </references>
      </pivotArea>
    </chartFormat>
    <chartFormat chart="3" format="1824">
      <pivotArea type="data" outline="0" fieldPosition="0">
        <references count="3">
          <reference field="0" count="1" selected="0">
            <x v="11"/>
          </reference>
          <reference field="6" count="1" selected="0">
            <x v="14"/>
          </reference>
          <reference field="7" count="1" selected="0">
            <x v="9"/>
          </reference>
        </references>
      </pivotArea>
    </chartFormat>
    <chartFormat chart="3" format="1825">
      <pivotArea type="data" outline="0" fieldPosition="0">
        <references count="3">
          <reference field="0" count="1" selected="0">
            <x v="11"/>
          </reference>
          <reference field="6" count="1" selected="0">
            <x v="27"/>
          </reference>
          <reference field="7" count="1" selected="0">
            <x v="9"/>
          </reference>
        </references>
      </pivotArea>
    </chartFormat>
    <chartFormat chart="3" format="1826">
      <pivotArea type="data" outline="0" fieldPosition="0">
        <references count="3">
          <reference field="0" count="1" selected="0">
            <x v="12"/>
          </reference>
          <reference field="6" count="1" selected="0">
            <x v="2"/>
          </reference>
          <reference field="7" count="1" selected="0">
            <x v="9"/>
          </reference>
        </references>
      </pivotArea>
    </chartFormat>
    <chartFormat chart="3" format="1827">
      <pivotArea type="data" outline="0" fieldPosition="0">
        <references count="3">
          <reference field="0" count="1" selected="0">
            <x v="12"/>
          </reference>
          <reference field="6" count="1" selected="0">
            <x v="14"/>
          </reference>
          <reference field="7" count="1" selected="0">
            <x v="9"/>
          </reference>
        </references>
      </pivotArea>
    </chartFormat>
    <chartFormat chart="3" format="1828">
      <pivotArea type="data" outline="0" fieldPosition="0">
        <references count="3">
          <reference field="0" count="1" selected="0">
            <x v="13"/>
          </reference>
          <reference field="6" count="1" selected="0">
            <x v="2"/>
          </reference>
          <reference field="7" count="1" selected="0">
            <x v="9"/>
          </reference>
        </references>
      </pivotArea>
    </chartFormat>
    <chartFormat chart="3" format="1829">
      <pivotArea type="data" outline="0" fieldPosition="0">
        <references count="3">
          <reference field="0" count="1" selected="0">
            <x v="13"/>
          </reference>
          <reference field="6" count="1" selected="0">
            <x v="9"/>
          </reference>
          <reference field="7" count="1" selected="0">
            <x v="9"/>
          </reference>
        </references>
      </pivotArea>
    </chartFormat>
    <chartFormat chart="3" format="1830">
      <pivotArea type="data" outline="0" fieldPosition="0">
        <references count="3">
          <reference field="0" count="1" selected="0">
            <x v="13"/>
          </reference>
          <reference field="6" count="1" selected="0">
            <x v="14"/>
          </reference>
          <reference field="7" count="1" selected="0">
            <x v="9"/>
          </reference>
        </references>
      </pivotArea>
    </chartFormat>
    <chartFormat chart="3" format="1831">
      <pivotArea type="data" outline="0" fieldPosition="0">
        <references count="3">
          <reference field="0" count="1" selected="0">
            <x v="0"/>
          </reference>
          <reference field="6" count="1" selected="0">
            <x v="0"/>
          </reference>
          <reference field="7" count="1" selected="0">
            <x v="10"/>
          </reference>
        </references>
      </pivotArea>
    </chartFormat>
    <chartFormat chart="3" format="1832">
      <pivotArea type="data" outline="0" fieldPosition="0">
        <references count="3">
          <reference field="0" count="1" selected="0">
            <x v="0"/>
          </reference>
          <reference field="6" count="1" selected="0">
            <x v="2"/>
          </reference>
          <reference field="7" count="1" selected="0">
            <x v="10"/>
          </reference>
        </references>
      </pivotArea>
    </chartFormat>
    <chartFormat chart="3" format="1833">
      <pivotArea type="data" outline="0" fieldPosition="0">
        <references count="3">
          <reference field="0" count="1" selected="0">
            <x v="0"/>
          </reference>
          <reference field="6" count="1" selected="0">
            <x v="9"/>
          </reference>
          <reference field="7" count="1" selected="0">
            <x v="10"/>
          </reference>
        </references>
      </pivotArea>
    </chartFormat>
    <chartFormat chart="3" format="1834">
      <pivotArea type="data" outline="0" fieldPosition="0">
        <references count="3">
          <reference field="0" count="1" selected="0">
            <x v="0"/>
          </reference>
          <reference field="6" count="1" selected="0">
            <x v="14"/>
          </reference>
          <reference field="7" count="1" selected="0">
            <x v="10"/>
          </reference>
        </references>
      </pivotArea>
    </chartFormat>
    <chartFormat chart="3" format="1835">
      <pivotArea type="data" outline="0" fieldPosition="0">
        <references count="3">
          <reference field="0" count="1" selected="0">
            <x v="0"/>
          </reference>
          <reference field="6" count="1" selected="0">
            <x v="27"/>
          </reference>
          <reference field="7" count="1" selected="0">
            <x v="10"/>
          </reference>
        </references>
      </pivotArea>
    </chartFormat>
    <chartFormat chart="3" format="1836">
      <pivotArea type="data" outline="0" fieldPosition="0">
        <references count="3">
          <reference field="0" count="1" selected="0">
            <x v="1"/>
          </reference>
          <reference field="6" count="1" selected="0">
            <x v="2"/>
          </reference>
          <reference field="7" count="1" selected="0">
            <x v="10"/>
          </reference>
        </references>
      </pivotArea>
    </chartFormat>
    <chartFormat chart="3" format="1837">
      <pivotArea type="data" outline="0" fieldPosition="0">
        <references count="3">
          <reference field="0" count="1" selected="0">
            <x v="1"/>
          </reference>
          <reference field="6" count="1" selected="0">
            <x v="9"/>
          </reference>
          <reference field="7" count="1" selected="0">
            <x v="10"/>
          </reference>
        </references>
      </pivotArea>
    </chartFormat>
    <chartFormat chart="3" format="1838">
      <pivotArea type="data" outline="0" fieldPosition="0">
        <references count="3">
          <reference field="0" count="1" selected="0">
            <x v="1"/>
          </reference>
          <reference field="6" count="1" selected="0">
            <x v="14"/>
          </reference>
          <reference field="7" count="1" selected="0">
            <x v="10"/>
          </reference>
        </references>
      </pivotArea>
    </chartFormat>
    <chartFormat chart="3" format="1839">
      <pivotArea type="data" outline="0" fieldPosition="0">
        <references count="3">
          <reference field="0" count="1" selected="0">
            <x v="2"/>
          </reference>
          <reference field="6" count="1" selected="0">
            <x v="0"/>
          </reference>
          <reference field="7" count="1" selected="0">
            <x v="10"/>
          </reference>
        </references>
      </pivotArea>
    </chartFormat>
    <chartFormat chart="3" format="1840">
      <pivotArea type="data" outline="0" fieldPosition="0">
        <references count="3">
          <reference field="0" count="1" selected="0">
            <x v="2"/>
          </reference>
          <reference field="6" count="1" selected="0">
            <x v="2"/>
          </reference>
          <reference field="7" count="1" selected="0">
            <x v="10"/>
          </reference>
        </references>
      </pivotArea>
    </chartFormat>
    <chartFormat chart="3" format="1841">
      <pivotArea type="data" outline="0" fieldPosition="0">
        <references count="3">
          <reference field="0" count="1" selected="0">
            <x v="2"/>
          </reference>
          <reference field="6" count="1" selected="0">
            <x v="9"/>
          </reference>
          <reference field="7" count="1" selected="0">
            <x v="10"/>
          </reference>
        </references>
      </pivotArea>
    </chartFormat>
    <chartFormat chart="3" format="1842">
      <pivotArea type="data" outline="0" fieldPosition="0">
        <references count="3">
          <reference field="0" count="1" selected="0">
            <x v="2"/>
          </reference>
          <reference field="6" count="1" selected="0">
            <x v="14"/>
          </reference>
          <reference field="7" count="1" selected="0">
            <x v="10"/>
          </reference>
        </references>
      </pivotArea>
    </chartFormat>
    <chartFormat chart="3" format="1843">
      <pivotArea type="data" outline="0" fieldPosition="0">
        <references count="3">
          <reference field="0" count="1" selected="0">
            <x v="2"/>
          </reference>
          <reference field="6" count="1" selected="0">
            <x v="27"/>
          </reference>
          <reference field="7" count="1" selected="0">
            <x v="10"/>
          </reference>
        </references>
      </pivotArea>
    </chartFormat>
    <chartFormat chart="3" format="1844">
      <pivotArea type="data" outline="0" fieldPosition="0">
        <references count="3">
          <reference field="0" count="1" selected="0">
            <x v="3"/>
          </reference>
          <reference field="6" count="1" selected="0">
            <x v="0"/>
          </reference>
          <reference field="7" count="1" selected="0">
            <x v="10"/>
          </reference>
        </references>
      </pivotArea>
    </chartFormat>
    <chartFormat chart="3" format="1845">
      <pivotArea type="data" outline="0" fieldPosition="0">
        <references count="3">
          <reference field="0" count="1" selected="0">
            <x v="3"/>
          </reference>
          <reference field="6" count="1" selected="0">
            <x v="2"/>
          </reference>
          <reference field="7" count="1" selected="0">
            <x v="10"/>
          </reference>
        </references>
      </pivotArea>
    </chartFormat>
    <chartFormat chart="3" format="1846">
      <pivotArea type="data" outline="0" fieldPosition="0">
        <references count="3">
          <reference field="0" count="1" selected="0">
            <x v="3"/>
          </reference>
          <reference field="6" count="1" selected="0">
            <x v="9"/>
          </reference>
          <reference field="7" count="1" selected="0">
            <x v="10"/>
          </reference>
        </references>
      </pivotArea>
    </chartFormat>
    <chartFormat chart="3" format="1847">
      <pivotArea type="data" outline="0" fieldPosition="0">
        <references count="3">
          <reference field="0" count="1" selected="0">
            <x v="3"/>
          </reference>
          <reference field="6" count="1" selected="0">
            <x v="14"/>
          </reference>
          <reference field="7" count="1" selected="0">
            <x v="10"/>
          </reference>
        </references>
      </pivotArea>
    </chartFormat>
    <chartFormat chart="3" format="1848">
      <pivotArea type="data" outline="0" fieldPosition="0">
        <references count="3">
          <reference field="0" count="1" selected="0">
            <x v="3"/>
          </reference>
          <reference field="6" count="1" selected="0">
            <x v="27"/>
          </reference>
          <reference field="7" count="1" selected="0">
            <x v="10"/>
          </reference>
        </references>
      </pivotArea>
    </chartFormat>
    <chartFormat chart="3" format="1849">
      <pivotArea type="data" outline="0" fieldPosition="0">
        <references count="3">
          <reference field="0" count="1" selected="0">
            <x v="4"/>
          </reference>
          <reference field="6" count="1" selected="0">
            <x v="0"/>
          </reference>
          <reference field="7" count="1" selected="0">
            <x v="10"/>
          </reference>
        </references>
      </pivotArea>
    </chartFormat>
    <chartFormat chart="3" format="1850">
      <pivotArea type="data" outline="0" fieldPosition="0">
        <references count="3">
          <reference field="0" count="1" selected="0">
            <x v="4"/>
          </reference>
          <reference field="6" count="1" selected="0">
            <x v="2"/>
          </reference>
          <reference field="7" count="1" selected="0">
            <x v="10"/>
          </reference>
        </references>
      </pivotArea>
    </chartFormat>
    <chartFormat chart="3" format="1851">
      <pivotArea type="data" outline="0" fieldPosition="0">
        <references count="3">
          <reference field="0" count="1" selected="0">
            <x v="4"/>
          </reference>
          <reference field="6" count="1" selected="0">
            <x v="9"/>
          </reference>
          <reference field="7" count="1" selected="0">
            <x v="10"/>
          </reference>
        </references>
      </pivotArea>
    </chartFormat>
    <chartFormat chart="3" format="1852">
      <pivotArea type="data" outline="0" fieldPosition="0">
        <references count="3">
          <reference field="0" count="1" selected="0">
            <x v="4"/>
          </reference>
          <reference field="6" count="1" selected="0">
            <x v="14"/>
          </reference>
          <reference field="7" count="1" selected="0">
            <x v="10"/>
          </reference>
        </references>
      </pivotArea>
    </chartFormat>
    <chartFormat chart="3" format="1853">
      <pivotArea type="data" outline="0" fieldPosition="0">
        <references count="3">
          <reference field="0" count="1" selected="0">
            <x v="4"/>
          </reference>
          <reference field="6" count="1" selected="0">
            <x v="27"/>
          </reference>
          <reference field="7" count="1" selected="0">
            <x v="10"/>
          </reference>
        </references>
      </pivotArea>
    </chartFormat>
    <chartFormat chart="3" format="1854">
      <pivotArea type="data" outline="0" fieldPosition="0">
        <references count="3">
          <reference field="0" count="1" selected="0">
            <x v="4"/>
          </reference>
          <reference field="6" count="1" selected="0">
            <x v="28"/>
          </reference>
          <reference field="7" count="1" selected="0">
            <x v="10"/>
          </reference>
        </references>
      </pivotArea>
    </chartFormat>
    <chartFormat chart="3" format="1855">
      <pivotArea type="data" outline="0" fieldPosition="0">
        <references count="3">
          <reference field="0" count="1" selected="0">
            <x v="5"/>
          </reference>
          <reference field="6" count="1" selected="0">
            <x v="0"/>
          </reference>
          <reference field="7" count="1" selected="0">
            <x v="10"/>
          </reference>
        </references>
      </pivotArea>
    </chartFormat>
    <chartFormat chart="3" format="1856">
      <pivotArea type="data" outline="0" fieldPosition="0">
        <references count="3">
          <reference field="0" count="1" selected="0">
            <x v="5"/>
          </reference>
          <reference field="6" count="1" selected="0">
            <x v="2"/>
          </reference>
          <reference field="7" count="1" selected="0">
            <x v="10"/>
          </reference>
        </references>
      </pivotArea>
    </chartFormat>
    <chartFormat chart="3" format="1857">
      <pivotArea type="data" outline="0" fieldPosition="0">
        <references count="3">
          <reference field="0" count="1" selected="0">
            <x v="5"/>
          </reference>
          <reference field="6" count="1" selected="0">
            <x v="9"/>
          </reference>
          <reference field="7" count="1" selected="0">
            <x v="10"/>
          </reference>
        </references>
      </pivotArea>
    </chartFormat>
    <chartFormat chart="3" format="1858">
      <pivotArea type="data" outline="0" fieldPosition="0">
        <references count="3">
          <reference field="0" count="1" selected="0">
            <x v="5"/>
          </reference>
          <reference field="6" count="1" selected="0">
            <x v="14"/>
          </reference>
          <reference field="7" count="1" selected="0">
            <x v="10"/>
          </reference>
        </references>
      </pivotArea>
    </chartFormat>
    <chartFormat chart="3" format="1859">
      <pivotArea type="data" outline="0" fieldPosition="0">
        <references count="3">
          <reference field="0" count="1" selected="0">
            <x v="5"/>
          </reference>
          <reference field="6" count="1" selected="0">
            <x v="27"/>
          </reference>
          <reference field="7" count="1" selected="0">
            <x v="10"/>
          </reference>
        </references>
      </pivotArea>
    </chartFormat>
    <chartFormat chart="3" format="1860">
      <pivotArea type="data" outline="0" fieldPosition="0">
        <references count="3">
          <reference field="0" count="1" selected="0">
            <x v="6"/>
          </reference>
          <reference field="6" count="1" selected="0">
            <x v="0"/>
          </reference>
          <reference field="7" count="1" selected="0">
            <x v="10"/>
          </reference>
        </references>
      </pivotArea>
    </chartFormat>
    <chartFormat chart="3" format="1861">
      <pivotArea type="data" outline="0" fieldPosition="0">
        <references count="3">
          <reference field="0" count="1" selected="0">
            <x v="6"/>
          </reference>
          <reference field="6" count="1" selected="0">
            <x v="2"/>
          </reference>
          <reference field="7" count="1" selected="0">
            <x v="10"/>
          </reference>
        </references>
      </pivotArea>
    </chartFormat>
    <chartFormat chart="3" format="1862">
      <pivotArea type="data" outline="0" fieldPosition="0">
        <references count="3">
          <reference field="0" count="1" selected="0">
            <x v="6"/>
          </reference>
          <reference field="6" count="1" selected="0">
            <x v="9"/>
          </reference>
          <reference field="7" count="1" selected="0">
            <x v="10"/>
          </reference>
        </references>
      </pivotArea>
    </chartFormat>
    <chartFormat chart="3" format="1863">
      <pivotArea type="data" outline="0" fieldPosition="0">
        <references count="3">
          <reference field="0" count="1" selected="0">
            <x v="6"/>
          </reference>
          <reference field="6" count="1" selected="0">
            <x v="14"/>
          </reference>
          <reference field="7" count="1" selected="0">
            <x v="10"/>
          </reference>
        </references>
      </pivotArea>
    </chartFormat>
    <chartFormat chart="3" format="1864">
      <pivotArea type="data" outline="0" fieldPosition="0">
        <references count="3">
          <reference field="0" count="1" selected="0">
            <x v="6"/>
          </reference>
          <reference field="6" count="1" selected="0">
            <x v="27"/>
          </reference>
          <reference field="7" count="1" selected="0">
            <x v="10"/>
          </reference>
        </references>
      </pivotArea>
    </chartFormat>
    <chartFormat chart="3" format="1865">
      <pivotArea type="data" outline="0" fieldPosition="0">
        <references count="3">
          <reference field="0" count="1" selected="0">
            <x v="7"/>
          </reference>
          <reference field="6" count="1" selected="0">
            <x v="0"/>
          </reference>
          <reference field="7" count="1" selected="0">
            <x v="10"/>
          </reference>
        </references>
      </pivotArea>
    </chartFormat>
    <chartFormat chart="3" format="1866">
      <pivotArea type="data" outline="0" fieldPosition="0">
        <references count="3">
          <reference field="0" count="1" selected="0">
            <x v="7"/>
          </reference>
          <reference field="6" count="1" selected="0">
            <x v="2"/>
          </reference>
          <reference field="7" count="1" selected="0">
            <x v="10"/>
          </reference>
        </references>
      </pivotArea>
    </chartFormat>
    <chartFormat chart="3" format="1867">
      <pivotArea type="data" outline="0" fieldPosition="0">
        <references count="3">
          <reference field="0" count="1" selected="0">
            <x v="7"/>
          </reference>
          <reference field="6" count="1" selected="0">
            <x v="9"/>
          </reference>
          <reference field="7" count="1" selected="0">
            <x v="10"/>
          </reference>
        </references>
      </pivotArea>
    </chartFormat>
    <chartFormat chart="3" format="1868">
      <pivotArea type="data" outline="0" fieldPosition="0">
        <references count="3">
          <reference field="0" count="1" selected="0">
            <x v="7"/>
          </reference>
          <reference field="6" count="1" selected="0">
            <x v="14"/>
          </reference>
          <reference field="7" count="1" selected="0">
            <x v="10"/>
          </reference>
        </references>
      </pivotArea>
    </chartFormat>
    <chartFormat chart="3" format="1869">
      <pivotArea type="data" outline="0" fieldPosition="0">
        <references count="3">
          <reference field="0" count="1" selected="0">
            <x v="7"/>
          </reference>
          <reference field="6" count="1" selected="0">
            <x v="27"/>
          </reference>
          <reference field="7" count="1" selected="0">
            <x v="10"/>
          </reference>
        </references>
      </pivotArea>
    </chartFormat>
    <chartFormat chart="3" format="1870">
      <pivotArea type="data" outline="0" fieldPosition="0">
        <references count="3">
          <reference field="0" count="1" selected="0">
            <x v="8"/>
          </reference>
          <reference field="6" count="1" selected="0">
            <x v="2"/>
          </reference>
          <reference field="7" count="1" selected="0">
            <x v="10"/>
          </reference>
        </references>
      </pivotArea>
    </chartFormat>
    <chartFormat chart="3" format="1871">
      <pivotArea type="data" outline="0" fieldPosition="0">
        <references count="3">
          <reference field="0" count="1" selected="0">
            <x v="8"/>
          </reference>
          <reference field="6" count="1" selected="0">
            <x v="14"/>
          </reference>
          <reference field="7" count="1" selected="0">
            <x v="10"/>
          </reference>
        </references>
      </pivotArea>
    </chartFormat>
    <chartFormat chart="3" format="1872">
      <pivotArea type="data" outline="0" fieldPosition="0">
        <references count="3">
          <reference field="0" count="1" selected="0">
            <x v="9"/>
          </reference>
          <reference field="6" count="1" selected="0">
            <x v="0"/>
          </reference>
          <reference field="7" count="1" selected="0">
            <x v="10"/>
          </reference>
        </references>
      </pivotArea>
    </chartFormat>
    <chartFormat chart="3" format="1873">
      <pivotArea type="data" outline="0" fieldPosition="0">
        <references count="3">
          <reference field="0" count="1" selected="0">
            <x v="9"/>
          </reference>
          <reference field="6" count="1" selected="0">
            <x v="2"/>
          </reference>
          <reference field="7" count="1" selected="0">
            <x v="10"/>
          </reference>
        </references>
      </pivotArea>
    </chartFormat>
    <chartFormat chart="3" format="1874">
      <pivotArea type="data" outline="0" fieldPosition="0">
        <references count="3">
          <reference field="0" count="1" selected="0">
            <x v="9"/>
          </reference>
          <reference field="6" count="1" selected="0">
            <x v="9"/>
          </reference>
          <reference field="7" count="1" selected="0">
            <x v="10"/>
          </reference>
        </references>
      </pivotArea>
    </chartFormat>
    <chartFormat chart="3" format="1875">
      <pivotArea type="data" outline="0" fieldPosition="0">
        <references count="3">
          <reference field="0" count="1" selected="0">
            <x v="9"/>
          </reference>
          <reference field="6" count="1" selected="0">
            <x v="14"/>
          </reference>
          <reference field="7" count="1" selected="0">
            <x v="10"/>
          </reference>
        </references>
      </pivotArea>
    </chartFormat>
    <chartFormat chart="3" format="1876">
      <pivotArea type="data" outline="0" fieldPosition="0">
        <references count="3">
          <reference field="0" count="1" selected="0">
            <x v="9"/>
          </reference>
          <reference field="6" count="1" selected="0">
            <x v="27"/>
          </reference>
          <reference field="7" count="1" selected="0">
            <x v="10"/>
          </reference>
        </references>
      </pivotArea>
    </chartFormat>
    <chartFormat chart="3" format="1877">
      <pivotArea type="data" outline="0" fieldPosition="0">
        <references count="3">
          <reference field="0" count="1" selected="0">
            <x v="10"/>
          </reference>
          <reference field="6" count="1" selected="0">
            <x v="0"/>
          </reference>
          <reference field="7" count="1" selected="0">
            <x v="10"/>
          </reference>
        </references>
      </pivotArea>
    </chartFormat>
    <chartFormat chart="3" format="1878">
      <pivotArea type="data" outline="0" fieldPosition="0">
        <references count="3">
          <reference field="0" count="1" selected="0">
            <x v="10"/>
          </reference>
          <reference field="6" count="1" selected="0">
            <x v="2"/>
          </reference>
          <reference field="7" count="1" selected="0">
            <x v="10"/>
          </reference>
        </references>
      </pivotArea>
    </chartFormat>
    <chartFormat chart="3" format="1879">
      <pivotArea type="data" outline="0" fieldPosition="0">
        <references count="3">
          <reference field="0" count="1" selected="0">
            <x v="10"/>
          </reference>
          <reference field="6" count="1" selected="0">
            <x v="9"/>
          </reference>
          <reference field="7" count="1" selected="0">
            <x v="10"/>
          </reference>
        </references>
      </pivotArea>
    </chartFormat>
    <chartFormat chart="3" format="1880">
      <pivotArea type="data" outline="0" fieldPosition="0">
        <references count="3">
          <reference field="0" count="1" selected="0">
            <x v="10"/>
          </reference>
          <reference field="6" count="1" selected="0">
            <x v="14"/>
          </reference>
          <reference field="7" count="1" selected="0">
            <x v="10"/>
          </reference>
        </references>
      </pivotArea>
    </chartFormat>
    <chartFormat chart="3" format="1881">
      <pivotArea type="data" outline="0" fieldPosition="0">
        <references count="3">
          <reference field="0" count="1" selected="0">
            <x v="10"/>
          </reference>
          <reference field="6" count="1" selected="0">
            <x v="27"/>
          </reference>
          <reference field="7" count="1" selected="0">
            <x v="10"/>
          </reference>
        </references>
      </pivotArea>
    </chartFormat>
    <chartFormat chart="3" format="1882">
      <pivotArea type="data" outline="0" fieldPosition="0">
        <references count="3">
          <reference field="0" count="1" selected="0">
            <x v="11"/>
          </reference>
          <reference field="6" count="1" selected="0">
            <x v="0"/>
          </reference>
          <reference field="7" count="1" selected="0">
            <x v="10"/>
          </reference>
        </references>
      </pivotArea>
    </chartFormat>
    <chartFormat chart="3" format="1883">
      <pivotArea type="data" outline="0" fieldPosition="0">
        <references count="3">
          <reference field="0" count="1" selected="0">
            <x v="11"/>
          </reference>
          <reference field="6" count="1" selected="0">
            <x v="2"/>
          </reference>
          <reference field="7" count="1" selected="0">
            <x v="10"/>
          </reference>
        </references>
      </pivotArea>
    </chartFormat>
    <chartFormat chart="3" format="1884">
      <pivotArea type="data" outline="0" fieldPosition="0">
        <references count="3">
          <reference field="0" count="1" selected="0">
            <x v="11"/>
          </reference>
          <reference field="6" count="1" selected="0">
            <x v="9"/>
          </reference>
          <reference field="7" count="1" selected="0">
            <x v="10"/>
          </reference>
        </references>
      </pivotArea>
    </chartFormat>
    <chartFormat chart="3" format="1885">
      <pivotArea type="data" outline="0" fieldPosition="0">
        <references count="3">
          <reference field="0" count="1" selected="0">
            <x v="11"/>
          </reference>
          <reference field="6" count="1" selected="0">
            <x v="14"/>
          </reference>
          <reference field="7" count="1" selected="0">
            <x v="10"/>
          </reference>
        </references>
      </pivotArea>
    </chartFormat>
    <chartFormat chart="3" format="1886">
      <pivotArea type="data" outline="0" fieldPosition="0">
        <references count="3">
          <reference field="0" count="1" selected="0">
            <x v="11"/>
          </reference>
          <reference field="6" count="1" selected="0">
            <x v="27"/>
          </reference>
          <reference field="7" count="1" selected="0">
            <x v="10"/>
          </reference>
        </references>
      </pivotArea>
    </chartFormat>
    <chartFormat chart="3" format="1887">
      <pivotArea type="data" outline="0" fieldPosition="0">
        <references count="3">
          <reference field="0" count="1" selected="0">
            <x v="12"/>
          </reference>
          <reference field="6" count="1" selected="0">
            <x v="2"/>
          </reference>
          <reference field="7" count="1" selected="0">
            <x v="10"/>
          </reference>
        </references>
      </pivotArea>
    </chartFormat>
    <chartFormat chart="3" format="1888">
      <pivotArea type="data" outline="0" fieldPosition="0">
        <references count="3">
          <reference field="0" count="1" selected="0">
            <x v="12"/>
          </reference>
          <reference field="6" count="1" selected="0">
            <x v="14"/>
          </reference>
          <reference field="7" count="1" selected="0">
            <x v="10"/>
          </reference>
        </references>
      </pivotArea>
    </chartFormat>
    <chartFormat chart="3" format="1889">
      <pivotArea type="data" outline="0" fieldPosition="0">
        <references count="3">
          <reference field="0" count="1" selected="0">
            <x v="13"/>
          </reference>
          <reference field="6" count="1" selected="0">
            <x v="2"/>
          </reference>
          <reference field="7" count="1" selected="0">
            <x v="10"/>
          </reference>
        </references>
      </pivotArea>
    </chartFormat>
    <chartFormat chart="3" format="1890">
      <pivotArea type="data" outline="0" fieldPosition="0">
        <references count="3">
          <reference field="0" count="1" selected="0">
            <x v="13"/>
          </reference>
          <reference field="6" count="1" selected="0">
            <x v="9"/>
          </reference>
          <reference field="7" count="1" selected="0">
            <x v="10"/>
          </reference>
        </references>
      </pivotArea>
    </chartFormat>
    <chartFormat chart="3" format="1891">
      <pivotArea type="data" outline="0" fieldPosition="0">
        <references count="3">
          <reference field="0" count="1" selected="0">
            <x v="13"/>
          </reference>
          <reference field="6" count="1" selected="0">
            <x v="14"/>
          </reference>
          <reference field="7" count="1" selected="0">
            <x v="10"/>
          </reference>
        </references>
      </pivotArea>
    </chartFormat>
    <chartFormat chart="3" format="1892">
      <pivotArea type="data" outline="0" fieldPosition="0">
        <references count="3">
          <reference field="0" count="1" selected="0">
            <x v="0"/>
          </reference>
          <reference field="6" count="1" selected="0">
            <x v="0"/>
          </reference>
          <reference field="7" count="1" selected="0">
            <x v="11"/>
          </reference>
        </references>
      </pivotArea>
    </chartFormat>
    <chartFormat chart="3" format="1893">
      <pivotArea type="data" outline="0" fieldPosition="0">
        <references count="3">
          <reference field="0" count="1" selected="0">
            <x v="0"/>
          </reference>
          <reference field="6" count="1" selected="0">
            <x v="2"/>
          </reference>
          <reference field="7" count="1" selected="0">
            <x v="11"/>
          </reference>
        </references>
      </pivotArea>
    </chartFormat>
    <chartFormat chart="3" format="1894">
      <pivotArea type="data" outline="0" fieldPosition="0">
        <references count="3">
          <reference field="0" count="1" selected="0">
            <x v="0"/>
          </reference>
          <reference field="6" count="1" selected="0">
            <x v="9"/>
          </reference>
          <reference field="7" count="1" selected="0">
            <x v="11"/>
          </reference>
        </references>
      </pivotArea>
    </chartFormat>
    <chartFormat chart="3" format="1895">
      <pivotArea type="data" outline="0" fieldPosition="0">
        <references count="3">
          <reference field="0" count="1" selected="0">
            <x v="0"/>
          </reference>
          <reference field="6" count="1" selected="0">
            <x v="14"/>
          </reference>
          <reference field="7" count="1" selected="0">
            <x v="11"/>
          </reference>
        </references>
      </pivotArea>
    </chartFormat>
    <chartFormat chart="3" format="1896">
      <pivotArea type="data" outline="0" fieldPosition="0">
        <references count="3">
          <reference field="0" count="1" selected="0">
            <x v="0"/>
          </reference>
          <reference field="6" count="1" selected="0">
            <x v="27"/>
          </reference>
          <reference field="7" count="1" selected="0">
            <x v="11"/>
          </reference>
        </references>
      </pivotArea>
    </chartFormat>
    <chartFormat chart="3" format="1897">
      <pivotArea type="data" outline="0" fieldPosition="0">
        <references count="3">
          <reference field="0" count="1" selected="0">
            <x v="1"/>
          </reference>
          <reference field="6" count="1" selected="0">
            <x v="2"/>
          </reference>
          <reference field="7" count="1" selected="0">
            <x v="11"/>
          </reference>
        </references>
      </pivotArea>
    </chartFormat>
    <chartFormat chart="3" format="1898">
      <pivotArea type="data" outline="0" fieldPosition="0">
        <references count="3">
          <reference field="0" count="1" selected="0">
            <x v="1"/>
          </reference>
          <reference field="6" count="1" selected="0">
            <x v="9"/>
          </reference>
          <reference field="7" count="1" selected="0">
            <x v="11"/>
          </reference>
        </references>
      </pivotArea>
    </chartFormat>
    <chartFormat chart="3" format="1899">
      <pivotArea type="data" outline="0" fieldPosition="0">
        <references count="3">
          <reference field="0" count="1" selected="0">
            <x v="1"/>
          </reference>
          <reference field="6" count="1" selected="0">
            <x v="14"/>
          </reference>
          <reference field="7" count="1" selected="0">
            <x v="11"/>
          </reference>
        </references>
      </pivotArea>
    </chartFormat>
    <chartFormat chart="3" format="1900">
      <pivotArea type="data" outline="0" fieldPosition="0">
        <references count="3">
          <reference field="0" count="1" selected="0">
            <x v="2"/>
          </reference>
          <reference field="6" count="1" selected="0">
            <x v="0"/>
          </reference>
          <reference field="7" count="1" selected="0">
            <x v="11"/>
          </reference>
        </references>
      </pivotArea>
    </chartFormat>
    <chartFormat chart="3" format="1901">
      <pivotArea type="data" outline="0" fieldPosition="0">
        <references count="3">
          <reference field="0" count="1" selected="0">
            <x v="2"/>
          </reference>
          <reference field="6" count="1" selected="0">
            <x v="2"/>
          </reference>
          <reference field="7" count="1" selected="0">
            <x v="11"/>
          </reference>
        </references>
      </pivotArea>
    </chartFormat>
    <chartFormat chart="3" format="1902">
      <pivotArea type="data" outline="0" fieldPosition="0">
        <references count="3">
          <reference field="0" count="1" selected="0">
            <x v="2"/>
          </reference>
          <reference field="6" count="1" selected="0">
            <x v="9"/>
          </reference>
          <reference field="7" count="1" selected="0">
            <x v="11"/>
          </reference>
        </references>
      </pivotArea>
    </chartFormat>
    <chartFormat chart="3" format="1903">
      <pivotArea type="data" outline="0" fieldPosition="0">
        <references count="3">
          <reference field="0" count="1" selected="0">
            <x v="2"/>
          </reference>
          <reference field="6" count="1" selected="0">
            <x v="14"/>
          </reference>
          <reference field="7" count="1" selected="0">
            <x v="11"/>
          </reference>
        </references>
      </pivotArea>
    </chartFormat>
    <chartFormat chart="3" format="1904">
      <pivotArea type="data" outline="0" fieldPosition="0">
        <references count="3">
          <reference field="0" count="1" selected="0">
            <x v="2"/>
          </reference>
          <reference field="6" count="1" selected="0">
            <x v="27"/>
          </reference>
          <reference field="7" count="1" selected="0">
            <x v="11"/>
          </reference>
        </references>
      </pivotArea>
    </chartFormat>
    <chartFormat chart="3" format="1905">
      <pivotArea type="data" outline="0" fieldPosition="0">
        <references count="3">
          <reference field="0" count="1" selected="0">
            <x v="3"/>
          </reference>
          <reference field="6" count="1" selected="0">
            <x v="0"/>
          </reference>
          <reference field="7" count="1" selected="0">
            <x v="11"/>
          </reference>
        </references>
      </pivotArea>
    </chartFormat>
    <chartFormat chart="3" format="1906">
      <pivotArea type="data" outline="0" fieldPosition="0">
        <references count="3">
          <reference field="0" count="1" selected="0">
            <x v="3"/>
          </reference>
          <reference field="6" count="1" selected="0">
            <x v="2"/>
          </reference>
          <reference field="7" count="1" selected="0">
            <x v="11"/>
          </reference>
        </references>
      </pivotArea>
    </chartFormat>
    <chartFormat chart="3" format="1907">
      <pivotArea type="data" outline="0" fieldPosition="0">
        <references count="3">
          <reference field="0" count="1" selected="0">
            <x v="3"/>
          </reference>
          <reference field="6" count="1" selected="0">
            <x v="9"/>
          </reference>
          <reference field="7" count="1" selected="0">
            <x v="11"/>
          </reference>
        </references>
      </pivotArea>
    </chartFormat>
    <chartFormat chart="3" format="1908">
      <pivotArea type="data" outline="0" fieldPosition="0">
        <references count="3">
          <reference field="0" count="1" selected="0">
            <x v="3"/>
          </reference>
          <reference field="6" count="1" selected="0">
            <x v="14"/>
          </reference>
          <reference field="7" count="1" selected="0">
            <x v="11"/>
          </reference>
        </references>
      </pivotArea>
    </chartFormat>
    <chartFormat chart="3" format="1909">
      <pivotArea type="data" outline="0" fieldPosition="0">
        <references count="3">
          <reference field="0" count="1" selected="0">
            <x v="3"/>
          </reference>
          <reference field="6" count="1" selected="0">
            <x v="27"/>
          </reference>
          <reference field="7" count="1" selected="0">
            <x v="11"/>
          </reference>
        </references>
      </pivotArea>
    </chartFormat>
    <chartFormat chart="3" format="1910">
      <pivotArea type="data" outline="0" fieldPosition="0">
        <references count="3">
          <reference field="0" count="1" selected="0">
            <x v="4"/>
          </reference>
          <reference field="6" count="1" selected="0">
            <x v="0"/>
          </reference>
          <reference field="7" count="1" selected="0">
            <x v="11"/>
          </reference>
        </references>
      </pivotArea>
    </chartFormat>
    <chartFormat chart="3" format="1911">
      <pivotArea type="data" outline="0" fieldPosition="0">
        <references count="3">
          <reference field="0" count="1" selected="0">
            <x v="4"/>
          </reference>
          <reference field="6" count="1" selected="0">
            <x v="2"/>
          </reference>
          <reference field="7" count="1" selected="0">
            <x v="11"/>
          </reference>
        </references>
      </pivotArea>
    </chartFormat>
    <chartFormat chart="3" format="1912">
      <pivotArea type="data" outline="0" fieldPosition="0">
        <references count="3">
          <reference field="0" count="1" selected="0">
            <x v="4"/>
          </reference>
          <reference field="6" count="1" selected="0">
            <x v="9"/>
          </reference>
          <reference field="7" count="1" selected="0">
            <x v="11"/>
          </reference>
        </references>
      </pivotArea>
    </chartFormat>
    <chartFormat chart="3" format="1913">
      <pivotArea type="data" outline="0" fieldPosition="0">
        <references count="3">
          <reference field="0" count="1" selected="0">
            <x v="4"/>
          </reference>
          <reference field="6" count="1" selected="0">
            <x v="14"/>
          </reference>
          <reference field="7" count="1" selected="0">
            <x v="11"/>
          </reference>
        </references>
      </pivotArea>
    </chartFormat>
    <chartFormat chart="3" format="1914">
      <pivotArea type="data" outline="0" fieldPosition="0">
        <references count="3">
          <reference field="0" count="1" selected="0">
            <x v="4"/>
          </reference>
          <reference field="6" count="1" selected="0">
            <x v="27"/>
          </reference>
          <reference field="7" count="1" selected="0">
            <x v="11"/>
          </reference>
        </references>
      </pivotArea>
    </chartFormat>
    <chartFormat chart="3" format="1915">
      <pivotArea type="data" outline="0" fieldPosition="0">
        <references count="3">
          <reference field="0" count="1" selected="0">
            <x v="4"/>
          </reference>
          <reference field="6" count="1" selected="0">
            <x v="28"/>
          </reference>
          <reference field="7" count="1" selected="0">
            <x v="11"/>
          </reference>
        </references>
      </pivotArea>
    </chartFormat>
    <chartFormat chart="3" format="1916">
      <pivotArea type="data" outline="0" fieldPosition="0">
        <references count="3">
          <reference field="0" count="1" selected="0">
            <x v="5"/>
          </reference>
          <reference field="6" count="1" selected="0">
            <x v="0"/>
          </reference>
          <reference field="7" count="1" selected="0">
            <x v="11"/>
          </reference>
        </references>
      </pivotArea>
    </chartFormat>
    <chartFormat chart="3" format="1917">
      <pivotArea type="data" outline="0" fieldPosition="0">
        <references count="3">
          <reference field="0" count="1" selected="0">
            <x v="5"/>
          </reference>
          <reference field="6" count="1" selected="0">
            <x v="2"/>
          </reference>
          <reference field="7" count="1" selected="0">
            <x v="11"/>
          </reference>
        </references>
      </pivotArea>
    </chartFormat>
    <chartFormat chart="3" format="1918">
      <pivotArea type="data" outline="0" fieldPosition="0">
        <references count="3">
          <reference field="0" count="1" selected="0">
            <x v="5"/>
          </reference>
          <reference field="6" count="1" selected="0">
            <x v="9"/>
          </reference>
          <reference field="7" count="1" selected="0">
            <x v="11"/>
          </reference>
        </references>
      </pivotArea>
    </chartFormat>
    <chartFormat chart="3" format="1919">
      <pivotArea type="data" outline="0" fieldPosition="0">
        <references count="3">
          <reference field="0" count="1" selected="0">
            <x v="5"/>
          </reference>
          <reference field="6" count="1" selected="0">
            <x v="14"/>
          </reference>
          <reference field="7" count="1" selected="0">
            <x v="11"/>
          </reference>
        </references>
      </pivotArea>
    </chartFormat>
    <chartFormat chart="3" format="1920">
      <pivotArea type="data" outline="0" fieldPosition="0">
        <references count="3">
          <reference field="0" count="1" selected="0">
            <x v="5"/>
          </reference>
          <reference field="6" count="1" selected="0">
            <x v="27"/>
          </reference>
          <reference field="7" count="1" selected="0">
            <x v="11"/>
          </reference>
        </references>
      </pivotArea>
    </chartFormat>
    <chartFormat chart="3" format="1921">
      <pivotArea type="data" outline="0" fieldPosition="0">
        <references count="3">
          <reference field="0" count="1" selected="0">
            <x v="6"/>
          </reference>
          <reference field="6" count="1" selected="0">
            <x v="0"/>
          </reference>
          <reference field="7" count="1" selected="0">
            <x v="11"/>
          </reference>
        </references>
      </pivotArea>
    </chartFormat>
    <chartFormat chart="3" format="1922">
      <pivotArea type="data" outline="0" fieldPosition="0">
        <references count="3">
          <reference field="0" count="1" selected="0">
            <x v="6"/>
          </reference>
          <reference field="6" count="1" selected="0">
            <x v="2"/>
          </reference>
          <reference field="7" count="1" selected="0">
            <x v="11"/>
          </reference>
        </references>
      </pivotArea>
    </chartFormat>
    <chartFormat chart="3" format="1923">
      <pivotArea type="data" outline="0" fieldPosition="0">
        <references count="3">
          <reference field="0" count="1" selected="0">
            <x v="6"/>
          </reference>
          <reference field="6" count="1" selected="0">
            <x v="9"/>
          </reference>
          <reference field="7" count="1" selected="0">
            <x v="11"/>
          </reference>
        </references>
      </pivotArea>
    </chartFormat>
    <chartFormat chart="3" format="1924">
      <pivotArea type="data" outline="0" fieldPosition="0">
        <references count="3">
          <reference field="0" count="1" selected="0">
            <x v="6"/>
          </reference>
          <reference field="6" count="1" selected="0">
            <x v="14"/>
          </reference>
          <reference field="7" count="1" selected="0">
            <x v="11"/>
          </reference>
        </references>
      </pivotArea>
    </chartFormat>
    <chartFormat chart="3" format="1925">
      <pivotArea type="data" outline="0" fieldPosition="0">
        <references count="3">
          <reference field="0" count="1" selected="0">
            <x v="6"/>
          </reference>
          <reference field="6" count="1" selected="0">
            <x v="27"/>
          </reference>
          <reference field="7" count="1" selected="0">
            <x v="11"/>
          </reference>
        </references>
      </pivotArea>
    </chartFormat>
    <chartFormat chart="3" format="1926">
      <pivotArea type="data" outline="0" fieldPosition="0">
        <references count="3">
          <reference field="0" count="1" selected="0">
            <x v="7"/>
          </reference>
          <reference field="6" count="1" selected="0">
            <x v="0"/>
          </reference>
          <reference field="7" count="1" selected="0">
            <x v="11"/>
          </reference>
        </references>
      </pivotArea>
    </chartFormat>
    <chartFormat chart="3" format="1927">
      <pivotArea type="data" outline="0" fieldPosition="0">
        <references count="3">
          <reference field="0" count="1" selected="0">
            <x v="7"/>
          </reference>
          <reference field="6" count="1" selected="0">
            <x v="2"/>
          </reference>
          <reference field="7" count="1" selected="0">
            <x v="11"/>
          </reference>
        </references>
      </pivotArea>
    </chartFormat>
    <chartFormat chart="3" format="1928">
      <pivotArea type="data" outline="0" fieldPosition="0">
        <references count="3">
          <reference field="0" count="1" selected="0">
            <x v="7"/>
          </reference>
          <reference field="6" count="1" selected="0">
            <x v="9"/>
          </reference>
          <reference field="7" count="1" selected="0">
            <x v="11"/>
          </reference>
        </references>
      </pivotArea>
    </chartFormat>
    <chartFormat chart="3" format="1929">
      <pivotArea type="data" outline="0" fieldPosition="0">
        <references count="3">
          <reference field="0" count="1" selected="0">
            <x v="7"/>
          </reference>
          <reference field="6" count="1" selected="0">
            <x v="14"/>
          </reference>
          <reference field="7" count="1" selected="0">
            <x v="11"/>
          </reference>
        </references>
      </pivotArea>
    </chartFormat>
    <chartFormat chart="3" format="1930">
      <pivotArea type="data" outline="0" fieldPosition="0">
        <references count="3">
          <reference field="0" count="1" selected="0">
            <x v="7"/>
          </reference>
          <reference field="6" count="1" selected="0">
            <x v="27"/>
          </reference>
          <reference field="7" count="1" selected="0">
            <x v="11"/>
          </reference>
        </references>
      </pivotArea>
    </chartFormat>
    <chartFormat chart="3" format="1931">
      <pivotArea type="data" outline="0" fieldPosition="0">
        <references count="3">
          <reference field="0" count="1" selected="0">
            <x v="8"/>
          </reference>
          <reference field="6" count="1" selected="0">
            <x v="2"/>
          </reference>
          <reference field="7" count="1" selected="0">
            <x v="11"/>
          </reference>
        </references>
      </pivotArea>
    </chartFormat>
    <chartFormat chart="3" format="1932">
      <pivotArea type="data" outline="0" fieldPosition="0">
        <references count="3">
          <reference field="0" count="1" selected="0">
            <x v="8"/>
          </reference>
          <reference field="6" count="1" selected="0">
            <x v="14"/>
          </reference>
          <reference field="7" count="1" selected="0">
            <x v="11"/>
          </reference>
        </references>
      </pivotArea>
    </chartFormat>
    <chartFormat chart="3" format="1933">
      <pivotArea type="data" outline="0" fieldPosition="0">
        <references count="3">
          <reference field="0" count="1" selected="0">
            <x v="9"/>
          </reference>
          <reference field="6" count="1" selected="0">
            <x v="0"/>
          </reference>
          <reference field="7" count="1" selected="0">
            <x v="11"/>
          </reference>
        </references>
      </pivotArea>
    </chartFormat>
    <chartFormat chart="3" format="1934">
      <pivotArea type="data" outline="0" fieldPosition="0">
        <references count="3">
          <reference field="0" count="1" selected="0">
            <x v="9"/>
          </reference>
          <reference field="6" count="1" selected="0">
            <x v="2"/>
          </reference>
          <reference field="7" count="1" selected="0">
            <x v="11"/>
          </reference>
        </references>
      </pivotArea>
    </chartFormat>
    <chartFormat chart="3" format="1935">
      <pivotArea type="data" outline="0" fieldPosition="0">
        <references count="3">
          <reference field="0" count="1" selected="0">
            <x v="9"/>
          </reference>
          <reference field="6" count="1" selected="0">
            <x v="9"/>
          </reference>
          <reference field="7" count="1" selected="0">
            <x v="11"/>
          </reference>
        </references>
      </pivotArea>
    </chartFormat>
    <chartFormat chart="3" format="1936">
      <pivotArea type="data" outline="0" fieldPosition="0">
        <references count="3">
          <reference field="0" count="1" selected="0">
            <x v="9"/>
          </reference>
          <reference field="6" count="1" selected="0">
            <x v="14"/>
          </reference>
          <reference field="7" count="1" selected="0">
            <x v="11"/>
          </reference>
        </references>
      </pivotArea>
    </chartFormat>
    <chartFormat chart="3" format="1937">
      <pivotArea type="data" outline="0" fieldPosition="0">
        <references count="3">
          <reference field="0" count="1" selected="0">
            <x v="9"/>
          </reference>
          <reference field="6" count="1" selected="0">
            <x v="27"/>
          </reference>
          <reference field="7" count="1" selected="0">
            <x v="11"/>
          </reference>
        </references>
      </pivotArea>
    </chartFormat>
    <chartFormat chart="3" format="1938">
      <pivotArea type="data" outline="0" fieldPosition="0">
        <references count="3">
          <reference field="0" count="1" selected="0">
            <x v="10"/>
          </reference>
          <reference field="6" count="1" selected="0">
            <x v="0"/>
          </reference>
          <reference field="7" count="1" selected="0">
            <x v="11"/>
          </reference>
        </references>
      </pivotArea>
    </chartFormat>
    <chartFormat chart="3" format="1939">
      <pivotArea type="data" outline="0" fieldPosition="0">
        <references count="3">
          <reference field="0" count="1" selected="0">
            <x v="10"/>
          </reference>
          <reference field="6" count="1" selected="0">
            <x v="2"/>
          </reference>
          <reference field="7" count="1" selected="0">
            <x v="11"/>
          </reference>
        </references>
      </pivotArea>
    </chartFormat>
    <chartFormat chart="3" format="1940">
      <pivotArea type="data" outline="0" fieldPosition="0">
        <references count="3">
          <reference field="0" count="1" selected="0">
            <x v="10"/>
          </reference>
          <reference field="6" count="1" selected="0">
            <x v="9"/>
          </reference>
          <reference field="7" count="1" selected="0">
            <x v="11"/>
          </reference>
        </references>
      </pivotArea>
    </chartFormat>
    <chartFormat chart="3" format="1941">
      <pivotArea type="data" outline="0" fieldPosition="0">
        <references count="3">
          <reference field="0" count="1" selected="0">
            <x v="10"/>
          </reference>
          <reference field="6" count="1" selected="0">
            <x v="14"/>
          </reference>
          <reference field="7" count="1" selected="0">
            <x v="11"/>
          </reference>
        </references>
      </pivotArea>
    </chartFormat>
    <chartFormat chart="3" format="1942">
      <pivotArea type="data" outline="0" fieldPosition="0">
        <references count="3">
          <reference field="0" count="1" selected="0">
            <x v="10"/>
          </reference>
          <reference field="6" count="1" selected="0">
            <x v="27"/>
          </reference>
          <reference field="7" count="1" selected="0">
            <x v="11"/>
          </reference>
        </references>
      </pivotArea>
    </chartFormat>
    <chartFormat chart="3" format="1943">
      <pivotArea type="data" outline="0" fieldPosition="0">
        <references count="3">
          <reference field="0" count="1" selected="0">
            <x v="11"/>
          </reference>
          <reference field="6" count="1" selected="0">
            <x v="0"/>
          </reference>
          <reference field="7" count="1" selected="0">
            <x v="11"/>
          </reference>
        </references>
      </pivotArea>
    </chartFormat>
    <chartFormat chart="3" format="1944">
      <pivotArea type="data" outline="0" fieldPosition="0">
        <references count="3">
          <reference field="0" count="1" selected="0">
            <x v="11"/>
          </reference>
          <reference field="6" count="1" selected="0">
            <x v="2"/>
          </reference>
          <reference field="7" count="1" selected="0">
            <x v="11"/>
          </reference>
        </references>
      </pivotArea>
    </chartFormat>
    <chartFormat chart="3" format="1945">
      <pivotArea type="data" outline="0" fieldPosition="0">
        <references count="3">
          <reference field="0" count="1" selected="0">
            <x v="11"/>
          </reference>
          <reference field="6" count="1" selected="0">
            <x v="9"/>
          </reference>
          <reference field="7" count="1" selected="0">
            <x v="11"/>
          </reference>
        </references>
      </pivotArea>
    </chartFormat>
    <chartFormat chart="3" format="1946">
      <pivotArea type="data" outline="0" fieldPosition="0">
        <references count="3">
          <reference field="0" count="1" selected="0">
            <x v="11"/>
          </reference>
          <reference field="6" count="1" selected="0">
            <x v="14"/>
          </reference>
          <reference field="7" count="1" selected="0">
            <x v="11"/>
          </reference>
        </references>
      </pivotArea>
    </chartFormat>
    <chartFormat chart="3" format="1947">
      <pivotArea type="data" outline="0" fieldPosition="0">
        <references count="3">
          <reference field="0" count="1" selected="0">
            <x v="11"/>
          </reference>
          <reference field="6" count="1" selected="0">
            <x v="27"/>
          </reference>
          <reference field="7" count="1" selected="0">
            <x v="11"/>
          </reference>
        </references>
      </pivotArea>
    </chartFormat>
    <chartFormat chart="3" format="1948">
      <pivotArea type="data" outline="0" fieldPosition="0">
        <references count="3">
          <reference field="0" count="1" selected="0">
            <x v="12"/>
          </reference>
          <reference field="6" count="1" selected="0">
            <x v="2"/>
          </reference>
          <reference field="7" count="1" selected="0">
            <x v="11"/>
          </reference>
        </references>
      </pivotArea>
    </chartFormat>
    <chartFormat chart="3" format="1949">
      <pivotArea type="data" outline="0" fieldPosition="0">
        <references count="3">
          <reference field="0" count="1" selected="0">
            <x v="12"/>
          </reference>
          <reference field="6" count="1" selected="0">
            <x v="14"/>
          </reference>
          <reference field="7" count="1" selected="0">
            <x v="11"/>
          </reference>
        </references>
      </pivotArea>
    </chartFormat>
    <chartFormat chart="3" format="1950">
      <pivotArea type="data" outline="0" fieldPosition="0">
        <references count="3">
          <reference field="0" count="1" selected="0">
            <x v="13"/>
          </reference>
          <reference field="6" count="1" selected="0">
            <x v="2"/>
          </reference>
          <reference field="7" count="1" selected="0">
            <x v="11"/>
          </reference>
        </references>
      </pivotArea>
    </chartFormat>
    <chartFormat chart="3" format="1951">
      <pivotArea type="data" outline="0" fieldPosition="0">
        <references count="3">
          <reference field="0" count="1" selected="0">
            <x v="13"/>
          </reference>
          <reference field="6" count="1" selected="0">
            <x v="9"/>
          </reference>
          <reference field="7" count="1" selected="0">
            <x v="11"/>
          </reference>
        </references>
      </pivotArea>
    </chartFormat>
    <chartFormat chart="3" format="1952">
      <pivotArea type="data" outline="0" fieldPosition="0">
        <references count="3">
          <reference field="0" count="1" selected="0">
            <x v="13"/>
          </reference>
          <reference field="6" count="1" selected="0">
            <x v="14"/>
          </reference>
          <reference field="7" count="1" selected="0">
            <x v="11"/>
          </reference>
        </references>
      </pivotArea>
    </chartFormat>
    <chartFormat chart="3" format="1953">
      <pivotArea type="data" outline="0" fieldPosition="0">
        <references count="3">
          <reference field="0" count="1" selected="0">
            <x v="0"/>
          </reference>
          <reference field="6" count="1" selected="0">
            <x v="0"/>
          </reference>
          <reference field="7" count="1" selected="0">
            <x v="12"/>
          </reference>
        </references>
      </pivotArea>
    </chartFormat>
    <chartFormat chart="3" format="1954">
      <pivotArea type="data" outline="0" fieldPosition="0">
        <references count="3">
          <reference field="0" count="1" selected="0">
            <x v="0"/>
          </reference>
          <reference field="6" count="1" selected="0">
            <x v="2"/>
          </reference>
          <reference field="7" count="1" selected="0">
            <x v="12"/>
          </reference>
        </references>
      </pivotArea>
    </chartFormat>
    <chartFormat chart="3" format="1955">
      <pivotArea type="data" outline="0" fieldPosition="0">
        <references count="3">
          <reference field="0" count="1" selected="0">
            <x v="0"/>
          </reference>
          <reference field="6" count="1" selected="0">
            <x v="9"/>
          </reference>
          <reference field="7" count="1" selected="0">
            <x v="12"/>
          </reference>
        </references>
      </pivotArea>
    </chartFormat>
    <chartFormat chart="3" format="1956">
      <pivotArea type="data" outline="0" fieldPosition="0">
        <references count="3">
          <reference field="0" count="1" selected="0">
            <x v="0"/>
          </reference>
          <reference field="6" count="1" selected="0">
            <x v="14"/>
          </reference>
          <reference field="7" count="1" selected="0">
            <x v="12"/>
          </reference>
        </references>
      </pivotArea>
    </chartFormat>
    <chartFormat chart="3" format="1957">
      <pivotArea type="data" outline="0" fieldPosition="0">
        <references count="3">
          <reference field="0" count="1" selected="0">
            <x v="0"/>
          </reference>
          <reference field="6" count="1" selected="0">
            <x v="27"/>
          </reference>
          <reference field="7" count="1" selected="0">
            <x v="12"/>
          </reference>
        </references>
      </pivotArea>
    </chartFormat>
    <chartFormat chart="3" format="1958">
      <pivotArea type="data" outline="0" fieldPosition="0">
        <references count="3">
          <reference field="0" count="1" selected="0">
            <x v="1"/>
          </reference>
          <reference field="6" count="1" selected="0">
            <x v="2"/>
          </reference>
          <reference field="7" count="1" selected="0">
            <x v="12"/>
          </reference>
        </references>
      </pivotArea>
    </chartFormat>
    <chartFormat chart="3" format="1959">
      <pivotArea type="data" outline="0" fieldPosition="0">
        <references count="3">
          <reference field="0" count="1" selected="0">
            <x v="1"/>
          </reference>
          <reference field="6" count="1" selected="0">
            <x v="9"/>
          </reference>
          <reference field="7" count="1" selected="0">
            <x v="12"/>
          </reference>
        </references>
      </pivotArea>
    </chartFormat>
    <chartFormat chart="3" format="1960">
      <pivotArea type="data" outline="0" fieldPosition="0">
        <references count="3">
          <reference field="0" count="1" selected="0">
            <x v="1"/>
          </reference>
          <reference field="6" count="1" selected="0">
            <x v="14"/>
          </reference>
          <reference field="7" count="1" selected="0">
            <x v="12"/>
          </reference>
        </references>
      </pivotArea>
    </chartFormat>
    <chartFormat chart="3" format="1961">
      <pivotArea type="data" outline="0" fieldPosition="0">
        <references count="3">
          <reference field="0" count="1" selected="0">
            <x v="2"/>
          </reference>
          <reference field="6" count="1" selected="0">
            <x v="0"/>
          </reference>
          <reference field="7" count="1" selected="0">
            <x v="12"/>
          </reference>
        </references>
      </pivotArea>
    </chartFormat>
    <chartFormat chart="3" format="1962">
      <pivotArea type="data" outline="0" fieldPosition="0">
        <references count="3">
          <reference field="0" count="1" selected="0">
            <x v="2"/>
          </reference>
          <reference field="6" count="1" selected="0">
            <x v="2"/>
          </reference>
          <reference field="7" count="1" selected="0">
            <x v="12"/>
          </reference>
        </references>
      </pivotArea>
    </chartFormat>
    <chartFormat chart="3" format="1963">
      <pivotArea type="data" outline="0" fieldPosition="0">
        <references count="3">
          <reference field="0" count="1" selected="0">
            <x v="2"/>
          </reference>
          <reference field="6" count="1" selected="0">
            <x v="9"/>
          </reference>
          <reference field="7" count="1" selected="0">
            <x v="12"/>
          </reference>
        </references>
      </pivotArea>
    </chartFormat>
    <chartFormat chart="3" format="1964">
      <pivotArea type="data" outline="0" fieldPosition="0">
        <references count="3">
          <reference field="0" count="1" selected="0">
            <x v="2"/>
          </reference>
          <reference field="6" count="1" selected="0">
            <x v="14"/>
          </reference>
          <reference field="7" count="1" selected="0">
            <x v="12"/>
          </reference>
        </references>
      </pivotArea>
    </chartFormat>
    <chartFormat chart="3" format="1965">
      <pivotArea type="data" outline="0" fieldPosition="0">
        <references count="3">
          <reference field="0" count="1" selected="0">
            <x v="2"/>
          </reference>
          <reference field="6" count="1" selected="0">
            <x v="27"/>
          </reference>
          <reference field="7" count="1" selected="0">
            <x v="12"/>
          </reference>
        </references>
      </pivotArea>
    </chartFormat>
    <chartFormat chart="3" format="1966">
      <pivotArea type="data" outline="0" fieldPosition="0">
        <references count="3">
          <reference field="0" count="1" selected="0">
            <x v="3"/>
          </reference>
          <reference field="6" count="1" selected="0">
            <x v="0"/>
          </reference>
          <reference field="7" count="1" selected="0">
            <x v="12"/>
          </reference>
        </references>
      </pivotArea>
    </chartFormat>
    <chartFormat chart="3" format="1967">
      <pivotArea type="data" outline="0" fieldPosition="0">
        <references count="3">
          <reference field="0" count="1" selected="0">
            <x v="3"/>
          </reference>
          <reference field="6" count="1" selected="0">
            <x v="2"/>
          </reference>
          <reference field="7" count="1" selected="0">
            <x v="12"/>
          </reference>
        </references>
      </pivotArea>
    </chartFormat>
    <chartFormat chart="3" format="1968">
      <pivotArea type="data" outline="0" fieldPosition="0">
        <references count="3">
          <reference field="0" count="1" selected="0">
            <x v="3"/>
          </reference>
          <reference field="6" count="1" selected="0">
            <x v="9"/>
          </reference>
          <reference field="7" count="1" selected="0">
            <x v="12"/>
          </reference>
        </references>
      </pivotArea>
    </chartFormat>
    <chartFormat chart="3" format="1969">
      <pivotArea type="data" outline="0" fieldPosition="0">
        <references count="3">
          <reference field="0" count="1" selected="0">
            <x v="3"/>
          </reference>
          <reference field="6" count="1" selected="0">
            <x v="14"/>
          </reference>
          <reference field="7" count="1" selected="0">
            <x v="12"/>
          </reference>
        </references>
      </pivotArea>
    </chartFormat>
    <chartFormat chart="3" format="1970">
      <pivotArea type="data" outline="0" fieldPosition="0">
        <references count="3">
          <reference field="0" count="1" selected="0">
            <x v="3"/>
          </reference>
          <reference field="6" count="1" selected="0">
            <x v="27"/>
          </reference>
          <reference field="7" count="1" selected="0">
            <x v="12"/>
          </reference>
        </references>
      </pivotArea>
    </chartFormat>
    <chartFormat chart="3" format="1971">
      <pivotArea type="data" outline="0" fieldPosition="0">
        <references count="3">
          <reference field="0" count="1" selected="0">
            <x v="4"/>
          </reference>
          <reference field="6" count="1" selected="0">
            <x v="0"/>
          </reference>
          <reference field="7" count="1" selected="0">
            <x v="12"/>
          </reference>
        </references>
      </pivotArea>
    </chartFormat>
    <chartFormat chart="3" format="1972">
      <pivotArea type="data" outline="0" fieldPosition="0">
        <references count="3">
          <reference field="0" count="1" selected="0">
            <x v="4"/>
          </reference>
          <reference field="6" count="1" selected="0">
            <x v="2"/>
          </reference>
          <reference field="7" count="1" selected="0">
            <x v="12"/>
          </reference>
        </references>
      </pivotArea>
    </chartFormat>
    <chartFormat chart="3" format="1973">
      <pivotArea type="data" outline="0" fieldPosition="0">
        <references count="3">
          <reference field="0" count="1" selected="0">
            <x v="4"/>
          </reference>
          <reference field="6" count="1" selected="0">
            <x v="9"/>
          </reference>
          <reference field="7" count="1" selected="0">
            <x v="12"/>
          </reference>
        </references>
      </pivotArea>
    </chartFormat>
    <chartFormat chart="3" format="1974">
      <pivotArea type="data" outline="0" fieldPosition="0">
        <references count="3">
          <reference field="0" count="1" selected="0">
            <x v="4"/>
          </reference>
          <reference field="6" count="1" selected="0">
            <x v="14"/>
          </reference>
          <reference field="7" count="1" selected="0">
            <x v="12"/>
          </reference>
        </references>
      </pivotArea>
    </chartFormat>
    <chartFormat chart="3" format="1975">
      <pivotArea type="data" outline="0" fieldPosition="0">
        <references count="3">
          <reference field="0" count="1" selected="0">
            <x v="4"/>
          </reference>
          <reference field="6" count="1" selected="0">
            <x v="27"/>
          </reference>
          <reference field="7" count="1" selected="0">
            <x v="12"/>
          </reference>
        </references>
      </pivotArea>
    </chartFormat>
    <chartFormat chart="3" format="1976">
      <pivotArea type="data" outline="0" fieldPosition="0">
        <references count="3">
          <reference field="0" count="1" selected="0">
            <x v="4"/>
          </reference>
          <reference field="6" count="1" selected="0">
            <x v="28"/>
          </reference>
          <reference field="7" count="1" selected="0">
            <x v="12"/>
          </reference>
        </references>
      </pivotArea>
    </chartFormat>
    <chartFormat chart="3" format="1977">
      <pivotArea type="data" outline="0" fieldPosition="0">
        <references count="3">
          <reference field="0" count="1" selected="0">
            <x v="5"/>
          </reference>
          <reference field="6" count="1" selected="0">
            <x v="0"/>
          </reference>
          <reference field="7" count="1" selected="0">
            <x v="12"/>
          </reference>
        </references>
      </pivotArea>
    </chartFormat>
    <chartFormat chart="3" format="1978">
      <pivotArea type="data" outline="0" fieldPosition="0">
        <references count="3">
          <reference field="0" count="1" selected="0">
            <x v="5"/>
          </reference>
          <reference field="6" count="1" selected="0">
            <x v="2"/>
          </reference>
          <reference field="7" count="1" selected="0">
            <x v="12"/>
          </reference>
        </references>
      </pivotArea>
    </chartFormat>
    <chartFormat chart="3" format="1979">
      <pivotArea type="data" outline="0" fieldPosition="0">
        <references count="3">
          <reference field="0" count="1" selected="0">
            <x v="5"/>
          </reference>
          <reference field="6" count="1" selected="0">
            <x v="9"/>
          </reference>
          <reference field="7" count="1" selected="0">
            <x v="12"/>
          </reference>
        </references>
      </pivotArea>
    </chartFormat>
    <chartFormat chart="3" format="1980">
      <pivotArea type="data" outline="0" fieldPosition="0">
        <references count="3">
          <reference field="0" count="1" selected="0">
            <x v="5"/>
          </reference>
          <reference field="6" count="1" selected="0">
            <x v="14"/>
          </reference>
          <reference field="7" count="1" selected="0">
            <x v="12"/>
          </reference>
        </references>
      </pivotArea>
    </chartFormat>
    <chartFormat chart="3" format="1981">
      <pivotArea type="data" outline="0" fieldPosition="0">
        <references count="3">
          <reference field="0" count="1" selected="0">
            <x v="5"/>
          </reference>
          <reference field="6" count="1" selected="0">
            <x v="27"/>
          </reference>
          <reference field="7" count="1" selected="0">
            <x v="12"/>
          </reference>
        </references>
      </pivotArea>
    </chartFormat>
    <chartFormat chart="3" format="1982">
      <pivotArea type="data" outline="0" fieldPosition="0">
        <references count="3">
          <reference field="0" count="1" selected="0">
            <x v="6"/>
          </reference>
          <reference field="6" count="1" selected="0">
            <x v="0"/>
          </reference>
          <reference field="7" count="1" selected="0">
            <x v="12"/>
          </reference>
        </references>
      </pivotArea>
    </chartFormat>
    <chartFormat chart="3" format="1983">
      <pivotArea type="data" outline="0" fieldPosition="0">
        <references count="3">
          <reference field="0" count="1" selected="0">
            <x v="6"/>
          </reference>
          <reference field="6" count="1" selected="0">
            <x v="2"/>
          </reference>
          <reference field="7" count="1" selected="0">
            <x v="12"/>
          </reference>
        </references>
      </pivotArea>
    </chartFormat>
    <chartFormat chart="3" format="1984">
      <pivotArea type="data" outline="0" fieldPosition="0">
        <references count="3">
          <reference field="0" count="1" selected="0">
            <x v="6"/>
          </reference>
          <reference field="6" count="1" selected="0">
            <x v="9"/>
          </reference>
          <reference field="7" count="1" selected="0">
            <x v="12"/>
          </reference>
        </references>
      </pivotArea>
    </chartFormat>
    <chartFormat chart="3" format="1985">
      <pivotArea type="data" outline="0" fieldPosition="0">
        <references count="3">
          <reference field="0" count="1" selected="0">
            <x v="6"/>
          </reference>
          <reference field="6" count="1" selected="0">
            <x v="14"/>
          </reference>
          <reference field="7" count="1" selected="0">
            <x v="12"/>
          </reference>
        </references>
      </pivotArea>
    </chartFormat>
    <chartFormat chart="3" format="1986">
      <pivotArea type="data" outline="0" fieldPosition="0">
        <references count="3">
          <reference field="0" count="1" selected="0">
            <x v="6"/>
          </reference>
          <reference field="6" count="1" selected="0">
            <x v="27"/>
          </reference>
          <reference field="7" count="1" selected="0">
            <x v="12"/>
          </reference>
        </references>
      </pivotArea>
    </chartFormat>
    <chartFormat chart="3" format="1987">
      <pivotArea type="data" outline="0" fieldPosition="0">
        <references count="3">
          <reference field="0" count="1" selected="0">
            <x v="7"/>
          </reference>
          <reference field="6" count="1" selected="0">
            <x v="0"/>
          </reference>
          <reference field="7" count="1" selected="0">
            <x v="12"/>
          </reference>
        </references>
      </pivotArea>
    </chartFormat>
    <chartFormat chart="3" format="1988">
      <pivotArea type="data" outline="0" fieldPosition="0">
        <references count="3">
          <reference field="0" count="1" selected="0">
            <x v="7"/>
          </reference>
          <reference field="6" count="1" selected="0">
            <x v="2"/>
          </reference>
          <reference field="7" count="1" selected="0">
            <x v="12"/>
          </reference>
        </references>
      </pivotArea>
    </chartFormat>
    <chartFormat chart="3" format="1989">
      <pivotArea type="data" outline="0" fieldPosition="0">
        <references count="3">
          <reference field="0" count="1" selected="0">
            <x v="7"/>
          </reference>
          <reference field="6" count="1" selected="0">
            <x v="9"/>
          </reference>
          <reference field="7" count="1" selected="0">
            <x v="12"/>
          </reference>
        </references>
      </pivotArea>
    </chartFormat>
    <chartFormat chart="3" format="1990">
      <pivotArea type="data" outline="0" fieldPosition="0">
        <references count="3">
          <reference field="0" count="1" selected="0">
            <x v="7"/>
          </reference>
          <reference field="6" count="1" selected="0">
            <x v="14"/>
          </reference>
          <reference field="7" count="1" selected="0">
            <x v="12"/>
          </reference>
        </references>
      </pivotArea>
    </chartFormat>
    <chartFormat chart="3" format="1991">
      <pivotArea type="data" outline="0" fieldPosition="0">
        <references count="3">
          <reference field="0" count="1" selected="0">
            <x v="7"/>
          </reference>
          <reference field="6" count="1" selected="0">
            <x v="27"/>
          </reference>
          <reference field="7" count="1" selected="0">
            <x v="12"/>
          </reference>
        </references>
      </pivotArea>
    </chartFormat>
    <chartFormat chart="3" format="1992">
      <pivotArea type="data" outline="0" fieldPosition="0">
        <references count="3">
          <reference field="0" count="1" selected="0">
            <x v="8"/>
          </reference>
          <reference field="6" count="1" selected="0">
            <x v="2"/>
          </reference>
          <reference field="7" count="1" selected="0">
            <x v="12"/>
          </reference>
        </references>
      </pivotArea>
    </chartFormat>
    <chartFormat chart="3" format="1993">
      <pivotArea type="data" outline="0" fieldPosition="0">
        <references count="3">
          <reference field="0" count="1" selected="0">
            <x v="8"/>
          </reference>
          <reference field="6" count="1" selected="0">
            <x v="14"/>
          </reference>
          <reference field="7" count="1" selected="0">
            <x v="12"/>
          </reference>
        </references>
      </pivotArea>
    </chartFormat>
    <chartFormat chart="3" format="1994">
      <pivotArea type="data" outline="0" fieldPosition="0">
        <references count="3">
          <reference field="0" count="1" selected="0">
            <x v="9"/>
          </reference>
          <reference field="6" count="1" selected="0">
            <x v="0"/>
          </reference>
          <reference field="7" count="1" selected="0">
            <x v="12"/>
          </reference>
        </references>
      </pivotArea>
    </chartFormat>
    <chartFormat chart="3" format="1995">
      <pivotArea type="data" outline="0" fieldPosition="0">
        <references count="3">
          <reference field="0" count="1" selected="0">
            <x v="9"/>
          </reference>
          <reference field="6" count="1" selected="0">
            <x v="2"/>
          </reference>
          <reference field="7" count="1" selected="0">
            <x v="12"/>
          </reference>
        </references>
      </pivotArea>
    </chartFormat>
    <chartFormat chart="3" format="1996">
      <pivotArea type="data" outline="0" fieldPosition="0">
        <references count="3">
          <reference field="0" count="1" selected="0">
            <x v="9"/>
          </reference>
          <reference field="6" count="1" selected="0">
            <x v="9"/>
          </reference>
          <reference field="7" count="1" selected="0">
            <x v="12"/>
          </reference>
        </references>
      </pivotArea>
    </chartFormat>
    <chartFormat chart="3" format="1997">
      <pivotArea type="data" outline="0" fieldPosition="0">
        <references count="3">
          <reference field="0" count="1" selected="0">
            <x v="9"/>
          </reference>
          <reference field="6" count="1" selected="0">
            <x v="14"/>
          </reference>
          <reference field="7" count="1" selected="0">
            <x v="12"/>
          </reference>
        </references>
      </pivotArea>
    </chartFormat>
    <chartFormat chart="3" format="1998">
      <pivotArea type="data" outline="0" fieldPosition="0">
        <references count="3">
          <reference field="0" count="1" selected="0">
            <x v="9"/>
          </reference>
          <reference field="6" count="1" selected="0">
            <x v="27"/>
          </reference>
          <reference field="7" count="1" selected="0">
            <x v="12"/>
          </reference>
        </references>
      </pivotArea>
    </chartFormat>
    <chartFormat chart="3" format="1999">
      <pivotArea type="data" outline="0" fieldPosition="0">
        <references count="3">
          <reference field="0" count="1" selected="0">
            <x v="10"/>
          </reference>
          <reference field="6" count="1" selected="0">
            <x v="0"/>
          </reference>
          <reference field="7" count="1" selected="0">
            <x v="12"/>
          </reference>
        </references>
      </pivotArea>
    </chartFormat>
    <chartFormat chart="3" format="2000">
      <pivotArea type="data" outline="0" fieldPosition="0">
        <references count="3">
          <reference field="0" count="1" selected="0">
            <x v="10"/>
          </reference>
          <reference field="6" count="1" selected="0">
            <x v="2"/>
          </reference>
          <reference field="7" count="1" selected="0">
            <x v="12"/>
          </reference>
        </references>
      </pivotArea>
    </chartFormat>
    <chartFormat chart="3" format="2001">
      <pivotArea type="data" outline="0" fieldPosition="0">
        <references count="3">
          <reference field="0" count="1" selected="0">
            <x v="10"/>
          </reference>
          <reference field="6" count="1" selected="0">
            <x v="9"/>
          </reference>
          <reference field="7" count="1" selected="0">
            <x v="12"/>
          </reference>
        </references>
      </pivotArea>
    </chartFormat>
    <chartFormat chart="3" format="2002">
      <pivotArea type="data" outline="0" fieldPosition="0">
        <references count="3">
          <reference field="0" count="1" selected="0">
            <x v="10"/>
          </reference>
          <reference field="6" count="1" selected="0">
            <x v="14"/>
          </reference>
          <reference field="7" count="1" selected="0">
            <x v="12"/>
          </reference>
        </references>
      </pivotArea>
    </chartFormat>
    <chartFormat chart="3" format="2003">
      <pivotArea type="data" outline="0" fieldPosition="0">
        <references count="3">
          <reference field="0" count="1" selected="0">
            <x v="10"/>
          </reference>
          <reference field="6" count="1" selected="0">
            <x v="27"/>
          </reference>
          <reference field="7" count="1" selected="0">
            <x v="12"/>
          </reference>
        </references>
      </pivotArea>
    </chartFormat>
    <chartFormat chart="3" format="2004">
      <pivotArea type="data" outline="0" fieldPosition="0">
        <references count="3">
          <reference field="0" count="1" selected="0">
            <x v="11"/>
          </reference>
          <reference field="6" count="1" selected="0">
            <x v="0"/>
          </reference>
          <reference field="7" count="1" selected="0">
            <x v="12"/>
          </reference>
        </references>
      </pivotArea>
    </chartFormat>
    <chartFormat chart="3" format="2005">
      <pivotArea type="data" outline="0" fieldPosition="0">
        <references count="3">
          <reference field="0" count="1" selected="0">
            <x v="11"/>
          </reference>
          <reference field="6" count="1" selected="0">
            <x v="2"/>
          </reference>
          <reference field="7" count="1" selected="0">
            <x v="12"/>
          </reference>
        </references>
      </pivotArea>
    </chartFormat>
    <chartFormat chart="3" format="2006">
      <pivotArea type="data" outline="0" fieldPosition="0">
        <references count="3">
          <reference field="0" count="1" selected="0">
            <x v="11"/>
          </reference>
          <reference field="6" count="1" selected="0">
            <x v="9"/>
          </reference>
          <reference field="7" count="1" selected="0">
            <x v="12"/>
          </reference>
        </references>
      </pivotArea>
    </chartFormat>
    <chartFormat chart="3" format="2007">
      <pivotArea type="data" outline="0" fieldPosition="0">
        <references count="3">
          <reference field="0" count="1" selected="0">
            <x v="11"/>
          </reference>
          <reference field="6" count="1" selected="0">
            <x v="14"/>
          </reference>
          <reference field="7" count="1" selected="0">
            <x v="12"/>
          </reference>
        </references>
      </pivotArea>
    </chartFormat>
    <chartFormat chart="3" format="2008">
      <pivotArea type="data" outline="0" fieldPosition="0">
        <references count="3">
          <reference field="0" count="1" selected="0">
            <x v="11"/>
          </reference>
          <reference field="6" count="1" selected="0">
            <x v="27"/>
          </reference>
          <reference field="7" count="1" selected="0">
            <x v="12"/>
          </reference>
        </references>
      </pivotArea>
    </chartFormat>
    <chartFormat chart="3" format="2009">
      <pivotArea type="data" outline="0" fieldPosition="0">
        <references count="3">
          <reference field="0" count="1" selected="0">
            <x v="12"/>
          </reference>
          <reference field="6" count="1" selected="0">
            <x v="2"/>
          </reference>
          <reference field="7" count="1" selected="0">
            <x v="12"/>
          </reference>
        </references>
      </pivotArea>
    </chartFormat>
    <chartFormat chart="3" format="2010">
      <pivotArea type="data" outline="0" fieldPosition="0">
        <references count="3">
          <reference field="0" count="1" selected="0">
            <x v="12"/>
          </reference>
          <reference field="6" count="1" selected="0">
            <x v="14"/>
          </reference>
          <reference field="7" count="1" selected="0">
            <x v="12"/>
          </reference>
        </references>
      </pivotArea>
    </chartFormat>
    <chartFormat chart="3" format="2011">
      <pivotArea type="data" outline="0" fieldPosition="0">
        <references count="3">
          <reference field="0" count="1" selected="0">
            <x v="13"/>
          </reference>
          <reference field="6" count="1" selected="0">
            <x v="2"/>
          </reference>
          <reference field="7" count="1" selected="0">
            <x v="12"/>
          </reference>
        </references>
      </pivotArea>
    </chartFormat>
    <chartFormat chart="3" format="2012">
      <pivotArea type="data" outline="0" fieldPosition="0">
        <references count="3">
          <reference field="0" count="1" selected="0">
            <x v="13"/>
          </reference>
          <reference field="6" count="1" selected="0">
            <x v="9"/>
          </reference>
          <reference field="7" count="1" selected="0">
            <x v="12"/>
          </reference>
        </references>
      </pivotArea>
    </chartFormat>
    <chartFormat chart="3" format="2013">
      <pivotArea type="data" outline="0" fieldPosition="0">
        <references count="3">
          <reference field="0" count="1" selected="0">
            <x v="13"/>
          </reference>
          <reference field="6" count="1" selected="0">
            <x v="14"/>
          </reference>
          <reference field="7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TablaDinámica1" cacheId="6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4" rowHeaderCaption="Técnico Básico" colHeaderCaption="">
  <location ref="B5:B12" firstHeaderRow="1" firstDataRow="1" firstDataCol="1"/>
  <pivotFields count="21">
    <pivotField showAll="0">
      <items count="17">
        <item x="0"/>
        <item x="1"/>
        <item x="2"/>
        <item x="3"/>
        <item x="5"/>
        <item x="6"/>
        <item x="7"/>
        <item x="9"/>
        <item x="11"/>
        <item x="12"/>
        <item x="13"/>
        <item x="4"/>
        <item x="8"/>
        <item x="10"/>
        <item m="1" x="14"/>
        <item m="1" x="15"/>
        <item t="default"/>
      </items>
    </pivotField>
    <pivotField showAll="0" defaultSubtotal="0"/>
    <pivotField showAll="0" defaultSubtotal="0"/>
    <pivotField showAll="0" defaultSubtotal="0"/>
    <pivotField showAll="0"/>
    <pivotField showAll="0"/>
    <pivotField axis="axisRow" showAll="0" sortType="ascending">
      <items count="30">
        <item x="2"/>
        <item m="1" x="22"/>
        <item m="1" x="28"/>
        <item m="1" x="13"/>
        <item x="1"/>
        <item m="1" x="15"/>
        <item m="1" x="19"/>
        <item m="1" x="11"/>
        <item x="4"/>
        <item m="1" x="9"/>
        <item m="1" x="27"/>
        <item m="1" x="17"/>
        <item m="1" x="23"/>
        <item m="1" x="18"/>
        <item x="3"/>
        <item m="1" x="14"/>
        <item m="1" x="24"/>
        <item x="5"/>
        <item m="1" x="25"/>
        <item m="1" x="10"/>
        <item x="0"/>
        <item m="1" x="20"/>
        <item m="1" x="12"/>
        <item m="1" x="26"/>
        <item m="1" x="6"/>
        <item m="1" x="8"/>
        <item m="1" x="21"/>
        <item m="1" x="16"/>
        <item m="1" x="7"/>
        <item t="default"/>
      </items>
    </pivotField>
    <pivotField showAll="0">
      <items count="14">
        <item x="1"/>
        <item x="7"/>
        <item m="1" x="12"/>
        <item x="6"/>
        <item x="2"/>
        <item n="NVOS PROY." x="8"/>
        <item x="0"/>
        <item m="1" x="11"/>
        <item x="3"/>
        <item x="4"/>
        <item x="5"/>
        <item x="9"/>
        <item x="10"/>
        <item t="default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1">
    <field x="6"/>
  </rowFields>
  <rowItems count="7">
    <i>
      <x/>
    </i>
    <i>
      <x v="4"/>
    </i>
    <i>
      <x v="8"/>
    </i>
    <i>
      <x v="14"/>
    </i>
    <i>
      <x v="17"/>
    </i>
    <i>
      <x v="20"/>
    </i>
    <i t="grand">
      <x/>
    </i>
  </rowItems>
  <colItems count="1">
    <i/>
  </colItems>
  <formats count="25">
    <format dxfId="957">
      <pivotArea type="origin" dataOnly="0" labelOnly="1" outline="0" fieldPosition="0"/>
    </format>
    <format dxfId="956">
      <pivotArea field="7" type="button" dataOnly="0" labelOnly="1" outline="0"/>
    </format>
    <format dxfId="955">
      <pivotArea type="origin" dataOnly="0" labelOnly="1" outline="0" fieldPosition="0"/>
    </format>
    <format dxfId="954">
      <pivotArea field="7" type="button" dataOnly="0" labelOnly="1" outline="0"/>
    </format>
    <format dxfId="953">
      <pivotArea field="0" type="button" dataOnly="0" labelOnly="1" outline="0"/>
    </format>
    <format dxfId="952">
      <pivotArea field="0" type="button" dataOnly="0" labelOnly="1" outline="0"/>
    </format>
    <format dxfId="951">
      <pivotArea grandRow="1" outline="0" collapsedLevelsAreSubtotals="1" fieldPosition="0"/>
    </format>
    <format dxfId="950">
      <pivotArea dataOnly="0" labelOnly="1" grandCol="1" outline="0" fieldPosition="0"/>
    </format>
    <format dxfId="949">
      <pivotArea field="6" grandCol="1" collapsedLevelsAreSubtotals="1" axis="axisRow" fieldPosition="0">
        <references count="1">
          <reference field="6" count="0"/>
        </references>
      </pivotArea>
    </format>
    <format dxfId="948">
      <pivotArea field="6" grandCol="1" collapsedLevelsAreSubtotals="1" axis="axisRow" fieldPosition="0">
        <references count="1">
          <reference field="6" count="0"/>
        </references>
      </pivotArea>
    </format>
    <format dxfId="947">
      <pivotArea field="6" grandCol="1" collapsedLevelsAreSubtotals="1" axis="axisRow" fieldPosition="0">
        <references count="1">
          <reference field="6" count="0"/>
        </references>
      </pivotArea>
    </format>
    <format dxfId="946">
      <pivotArea type="origin" dataOnly="0" labelOnly="1" outline="0" fieldPosition="0"/>
    </format>
    <format dxfId="945">
      <pivotArea field="6" type="button" dataOnly="0" labelOnly="1" outline="0" axis="axisRow" fieldPosition="0"/>
    </format>
    <format dxfId="944">
      <pivotArea type="topRight" dataOnly="0" labelOnly="1" outline="0" fieldPosition="0"/>
    </format>
    <format dxfId="943">
      <pivotArea dataOnly="0" labelOnly="1" grandCol="1" outline="0" fieldPosition="0"/>
    </format>
    <format dxfId="942">
      <pivotArea grandRow="1" outline="0" collapsedLevelsAreSubtotals="1" fieldPosition="0"/>
    </format>
    <format dxfId="941">
      <pivotArea dataOnly="0" labelOnly="1" grandRow="1" outline="0" fieldPosition="0"/>
    </format>
    <format dxfId="940">
      <pivotArea type="origin" dataOnly="0" labelOnly="1" outline="0" fieldPosition="0"/>
    </format>
    <format dxfId="939">
      <pivotArea field="6" type="button" dataOnly="0" labelOnly="1" outline="0" axis="axisRow" fieldPosition="0"/>
    </format>
    <format dxfId="938">
      <pivotArea dataOnly="0" labelOnly="1" fieldPosition="0">
        <references count="1">
          <reference field="6" count="0"/>
        </references>
      </pivotArea>
    </format>
    <format dxfId="937">
      <pivotArea dataOnly="0" labelOnly="1" grandRow="1" outline="0" fieldPosition="0"/>
    </format>
    <format dxfId="936">
      <pivotArea field="0" type="button" dataOnly="0" labelOnly="1" outline="0"/>
    </format>
    <format dxfId="935">
      <pivotArea dataOnly="0" labelOnly="1" grandRow="1" outline="0" fieldPosition="0"/>
    </format>
    <format dxfId="934">
      <pivotArea field="0" type="button" dataOnly="0" labelOnly="1" outline="0"/>
    </format>
    <format dxfId="933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2.xml><?xml version="1.0" encoding="utf-8"?>
<pivotTableDefinition xmlns="http://schemas.openxmlformats.org/spreadsheetml/2006/main" name="TablaDinámica1" cacheId="6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4" rowHeaderCaption="Técnico Básico" colHeaderCaption="">
  <location ref="A3:M80" firstHeaderRow="1" firstDataRow="2" firstDataCol="1"/>
  <pivotFields count="21">
    <pivotField axis="axisRow" showAll="0">
      <items count="17">
        <item x="0"/>
        <item x="1"/>
        <item x="2"/>
        <item x="3"/>
        <item x="5"/>
        <item x="6"/>
        <item x="7"/>
        <item x="9"/>
        <item x="11"/>
        <item x="12"/>
        <item x="13"/>
        <item x="4"/>
        <item x="8"/>
        <item x="10"/>
        <item m="1" x="14"/>
        <item m="1" x="15"/>
        <item t="default"/>
      </items>
    </pivotField>
    <pivotField showAll="0" defaultSubtotal="0"/>
    <pivotField showAll="0" defaultSubtotal="0"/>
    <pivotField showAll="0" defaultSubtotal="0"/>
    <pivotField showAll="0"/>
    <pivotField showAll="0"/>
    <pivotField axis="axisRow" showAll="0">
      <items count="30">
        <item x="2"/>
        <item m="1" x="22"/>
        <item x="1"/>
        <item m="1" x="15"/>
        <item m="1" x="19"/>
        <item m="1" x="11"/>
        <item m="1" x="27"/>
        <item m="1" x="17"/>
        <item m="1" x="18"/>
        <item x="3"/>
        <item m="1" x="14"/>
        <item m="1" x="24"/>
        <item m="1" x="25"/>
        <item m="1" x="10"/>
        <item x="0"/>
        <item m="1" x="20"/>
        <item m="1" x="12"/>
        <item m="1" x="26"/>
        <item m="1" x="6"/>
        <item m="1" x="8"/>
        <item m="1" x="21"/>
        <item m="1" x="16"/>
        <item m="1" x="9"/>
        <item m="1" x="13"/>
        <item m="1" x="28"/>
        <item m="1" x="7"/>
        <item m="1" x="23"/>
        <item x="4"/>
        <item x="5"/>
        <item t="default"/>
      </items>
    </pivotField>
    <pivotField axis="axisCol" showAll="0">
      <items count="14">
        <item x="1"/>
        <item x="7"/>
        <item m="1" x="12"/>
        <item x="6"/>
        <item x="2"/>
        <item n="NVOS PROY." x="8"/>
        <item x="0"/>
        <item m="1" x="11"/>
        <item x="3"/>
        <item x="4"/>
        <item x="5"/>
        <item x="9"/>
        <item x="10"/>
        <item t="default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2">
    <field x="0"/>
    <field x="6"/>
  </rowFields>
  <rowItems count="76">
    <i>
      <x/>
    </i>
    <i r="1">
      <x/>
    </i>
    <i r="1">
      <x v="2"/>
    </i>
    <i r="1">
      <x v="9"/>
    </i>
    <i r="1">
      <x v="14"/>
    </i>
    <i r="1">
      <x v="27"/>
    </i>
    <i>
      <x v="1"/>
    </i>
    <i r="1">
      <x v="2"/>
    </i>
    <i r="1">
      <x v="9"/>
    </i>
    <i r="1">
      <x v="14"/>
    </i>
    <i>
      <x v="2"/>
    </i>
    <i r="1">
      <x/>
    </i>
    <i r="1">
      <x v="2"/>
    </i>
    <i r="1">
      <x v="9"/>
    </i>
    <i r="1">
      <x v="14"/>
    </i>
    <i r="1">
      <x v="27"/>
    </i>
    <i>
      <x v="3"/>
    </i>
    <i r="1">
      <x/>
    </i>
    <i r="1">
      <x v="2"/>
    </i>
    <i r="1">
      <x v="9"/>
    </i>
    <i r="1">
      <x v="14"/>
    </i>
    <i r="1">
      <x v="27"/>
    </i>
    <i>
      <x v="4"/>
    </i>
    <i r="1">
      <x/>
    </i>
    <i r="1">
      <x v="2"/>
    </i>
    <i r="1">
      <x v="9"/>
    </i>
    <i r="1">
      <x v="14"/>
    </i>
    <i r="1">
      <x v="27"/>
    </i>
    <i r="1">
      <x v="28"/>
    </i>
    <i>
      <x v="5"/>
    </i>
    <i r="1">
      <x/>
    </i>
    <i r="1">
      <x v="2"/>
    </i>
    <i r="1">
      <x v="9"/>
    </i>
    <i r="1">
      <x v="14"/>
    </i>
    <i r="1">
      <x v="27"/>
    </i>
    <i>
      <x v="6"/>
    </i>
    <i r="1">
      <x/>
    </i>
    <i r="1">
      <x v="2"/>
    </i>
    <i r="1">
      <x v="9"/>
    </i>
    <i r="1">
      <x v="14"/>
    </i>
    <i r="1">
      <x v="27"/>
    </i>
    <i>
      <x v="7"/>
    </i>
    <i r="1">
      <x/>
    </i>
    <i r="1">
      <x v="2"/>
    </i>
    <i r="1">
      <x v="9"/>
    </i>
    <i r="1">
      <x v="14"/>
    </i>
    <i r="1">
      <x v="27"/>
    </i>
    <i>
      <x v="8"/>
    </i>
    <i r="1">
      <x v="2"/>
    </i>
    <i r="1">
      <x v="14"/>
    </i>
    <i>
      <x v="9"/>
    </i>
    <i r="1">
      <x/>
    </i>
    <i r="1">
      <x v="2"/>
    </i>
    <i r="1">
      <x v="9"/>
    </i>
    <i r="1">
      <x v="14"/>
    </i>
    <i r="1">
      <x v="27"/>
    </i>
    <i>
      <x v="10"/>
    </i>
    <i r="1">
      <x/>
    </i>
    <i r="1">
      <x v="2"/>
    </i>
    <i r="1">
      <x v="9"/>
    </i>
    <i r="1">
      <x v="14"/>
    </i>
    <i r="1">
      <x v="27"/>
    </i>
    <i>
      <x v="11"/>
    </i>
    <i r="1">
      <x/>
    </i>
    <i r="1">
      <x v="2"/>
    </i>
    <i r="1">
      <x v="9"/>
    </i>
    <i r="1">
      <x v="14"/>
    </i>
    <i r="1">
      <x v="27"/>
    </i>
    <i>
      <x v="12"/>
    </i>
    <i r="1">
      <x v="2"/>
    </i>
    <i r="1">
      <x v="14"/>
    </i>
    <i>
      <x v="13"/>
    </i>
    <i r="1">
      <x v="2"/>
    </i>
    <i r="1">
      <x v="9"/>
    </i>
    <i r="1">
      <x v="14"/>
    </i>
    <i t="grand">
      <x/>
    </i>
  </rowItems>
  <colFields count="1">
    <field x="7"/>
  </colFields>
  <colItems count="12">
    <i>
      <x/>
    </i>
    <i>
      <x v="1"/>
    </i>
    <i>
      <x v="3"/>
    </i>
    <i>
      <x v="4"/>
    </i>
    <i>
      <x v="5"/>
    </i>
    <i>
      <x v="6"/>
    </i>
    <i>
      <x v="8"/>
    </i>
    <i>
      <x v="9"/>
    </i>
    <i>
      <x v="10"/>
    </i>
    <i>
      <x v="11"/>
    </i>
    <i>
      <x v="12"/>
    </i>
    <i t="grand">
      <x/>
    </i>
  </colItems>
  <formats count="235">
    <format dxfId="932">
      <pivotArea type="origin" dataOnly="0" labelOnly="1" outline="0" fieldPosition="0"/>
    </format>
    <format dxfId="931">
      <pivotArea field="7" type="button" dataOnly="0" labelOnly="1" outline="0" axis="axisCol" fieldPosition="0"/>
    </format>
    <format dxfId="930">
      <pivotArea type="origin" dataOnly="0" labelOnly="1" outline="0" fieldPosition="0"/>
    </format>
    <format dxfId="929">
      <pivotArea field="7" type="button" dataOnly="0" labelOnly="1" outline="0" axis="axisCol" fieldPosition="0"/>
    </format>
    <format dxfId="928">
      <pivotArea field="0" type="button" dataOnly="0" labelOnly="1" outline="0" axis="axisRow" fieldPosition="0"/>
    </format>
    <format dxfId="927">
      <pivotArea field="0" type="button" dataOnly="0" labelOnly="1" outline="0" axis="axisRow" fieldPosition="0"/>
    </format>
    <format dxfId="926">
      <pivotArea grandRow="1" outline="0" collapsedLevelsAreSubtotals="1" fieldPosition="0"/>
    </format>
    <format dxfId="925">
      <pivotArea collapsedLevelsAreSubtotals="1" fieldPosition="0">
        <references count="1">
          <reference field="0" count="0"/>
        </references>
      </pivotArea>
    </format>
    <format dxfId="924">
      <pivotArea collapsedLevelsAreSubtotals="1" fieldPosition="0">
        <references count="1">
          <reference field="0" count="0"/>
        </references>
      </pivotArea>
    </format>
    <format dxfId="923">
      <pivotArea collapsedLevelsAreSubtotals="1" fieldPosition="0">
        <references count="1">
          <reference field="0" count="1">
            <x v="0"/>
          </reference>
        </references>
      </pivotArea>
    </format>
    <format dxfId="922">
      <pivotArea collapsedLevelsAreSubtotals="1" fieldPosition="0">
        <references count="2">
          <reference field="0" count="1" selected="0">
            <x v="0"/>
          </reference>
          <reference field="6" count="4">
            <x v="3"/>
            <x v="4"/>
            <x v="17"/>
            <x v="18"/>
          </reference>
        </references>
      </pivotArea>
    </format>
    <format dxfId="921">
      <pivotArea collapsedLevelsAreSubtotals="1" fieldPosition="0">
        <references count="1">
          <reference field="0" count="1">
            <x v="1"/>
          </reference>
        </references>
      </pivotArea>
    </format>
    <format dxfId="920">
      <pivotArea collapsedLevelsAreSubtotals="1" fieldPosition="0">
        <references count="2">
          <reference field="0" count="1" selected="0">
            <x v="1"/>
          </reference>
          <reference field="6" count="3">
            <x v="3"/>
            <x v="9"/>
            <x v="17"/>
          </reference>
        </references>
      </pivotArea>
    </format>
    <format dxfId="919">
      <pivotArea collapsedLevelsAreSubtotals="1" fieldPosition="0">
        <references count="1">
          <reference field="0" count="1">
            <x v="2"/>
          </reference>
        </references>
      </pivotArea>
    </format>
    <format dxfId="918">
      <pivotArea collapsedLevelsAreSubtotals="1" fieldPosition="0">
        <references count="2">
          <reference field="0" count="1" selected="0">
            <x v="2"/>
          </reference>
          <reference field="6" count="2">
            <x v="3"/>
            <x v="17"/>
          </reference>
        </references>
      </pivotArea>
    </format>
    <format dxfId="917">
      <pivotArea collapsedLevelsAreSubtotals="1" fieldPosition="0">
        <references count="1">
          <reference field="0" count="1">
            <x v="3"/>
          </reference>
        </references>
      </pivotArea>
    </format>
    <format dxfId="916">
      <pivotArea collapsedLevelsAreSubtotals="1" fieldPosition="0">
        <references count="2">
          <reference field="0" count="1" selected="0">
            <x v="3"/>
          </reference>
          <reference field="6" count="7">
            <x v="3"/>
            <x v="4"/>
            <x v="7"/>
            <x v="9"/>
            <x v="17"/>
            <x v="18"/>
            <x v="21"/>
          </reference>
        </references>
      </pivotArea>
    </format>
    <format dxfId="915">
      <pivotArea collapsedLevelsAreSubtotals="1" fieldPosition="0">
        <references count="1">
          <reference field="0" count="1">
            <x v="4"/>
          </reference>
        </references>
      </pivotArea>
    </format>
    <format dxfId="914">
      <pivotArea collapsedLevelsAreSubtotals="1" fieldPosition="0">
        <references count="2">
          <reference field="0" count="1" selected="0">
            <x v="4"/>
          </reference>
          <reference field="6" count="4">
            <x v="3"/>
            <x v="4"/>
            <x v="17"/>
            <x v="18"/>
          </reference>
        </references>
      </pivotArea>
    </format>
    <format dxfId="913">
      <pivotArea collapsedLevelsAreSubtotals="1" fieldPosition="0">
        <references count="1">
          <reference field="0" count="1">
            <x v="5"/>
          </reference>
        </references>
      </pivotArea>
    </format>
    <format dxfId="912">
      <pivotArea collapsedLevelsAreSubtotals="1" fieldPosition="0">
        <references count="2">
          <reference field="0" count="1" selected="0">
            <x v="5"/>
          </reference>
          <reference field="6" count="5">
            <x v="3"/>
            <x v="4"/>
            <x v="9"/>
            <x v="17"/>
            <x v="18"/>
          </reference>
        </references>
      </pivotArea>
    </format>
    <format dxfId="911">
      <pivotArea collapsedLevelsAreSubtotals="1" fieldPosition="0">
        <references count="1">
          <reference field="0" count="1">
            <x v="6"/>
          </reference>
        </references>
      </pivotArea>
    </format>
    <format dxfId="910">
      <pivotArea collapsedLevelsAreSubtotals="1" fieldPosition="0">
        <references count="2">
          <reference field="0" count="1" selected="0">
            <x v="6"/>
          </reference>
          <reference field="6" count="5">
            <x v="3"/>
            <x v="4"/>
            <x v="9"/>
            <x v="17"/>
            <x v="18"/>
          </reference>
        </references>
      </pivotArea>
    </format>
    <format dxfId="909">
      <pivotArea collapsedLevelsAreSubtotals="1" fieldPosition="0">
        <references count="1">
          <reference field="0" count="1">
            <x v="7"/>
          </reference>
        </references>
      </pivotArea>
    </format>
    <format dxfId="908">
      <pivotArea collapsedLevelsAreSubtotals="1" fieldPosition="0">
        <references count="2">
          <reference field="0" count="1" selected="0">
            <x v="7"/>
          </reference>
          <reference field="6" count="5">
            <x v="3"/>
            <x v="4"/>
            <x v="9"/>
            <x v="17"/>
            <x v="18"/>
          </reference>
        </references>
      </pivotArea>
    </format>
    <format dxfId="907">
      <pivotArea collapsedLevelsAreSubtotals="1" fieldPosition="0">
        <references count="1">
          <reference field="0" count="1">
            <x v="8"/>
          </reference>
        </references>
      </pivotArea>
    </format>
    <format dxfId="906">
      <pivotArea collapsedLevelsAreSubtotals="1" fieldPosition="0">
        <references count="2">
          <reference field="0" count="1" selected="0">
            <x v="8"/>
          </reference>
          <reference field="6" count="3">
            <x v="3"/>
            <x v="4"/>
            <x v="18"/>
          </reference>
        </references>
      </pivotArea>
    </format>
    <format dxfId="905">
      <pivotArea collapsedLevelsAreSubtotals="1" fieldPosition="0">
        <references count="1">
          <reference field="0" count="1">
            <x v="9"/>
          </reference>
        </references>
      </pivotArea>
    </format>
    <format dxfId="904">
      <pivotArea collapsedLevelsAreSubtotals="1" fieldPosition="0">
        <references count="2">
          <reference field="0" count="1" selected="0">
            <x v="9"/>
          </reference>
          <reference field="6" count="5">
            <x v="3"/>
            <x v="4"/>
            <x v="9"/>
            <x v="17"/>
            <x v="18"/>
          </reference>
        </references>
      </pivotArea>
    </format>
    <format dxfId="903">
      <pivotArea collapsedLevelsAreSubtotals="1" fieldPosition="0">
        <references count="1">
          <reference field="0" count="1">
            <x v="10"/>
          </reference>
        </references>
      </pivotArea>
    </format>
    <format dxfId="902">
      <pivotArea collapsedLevelsAreSubtotals="1" fieldPosition="0">
        <references count="2">
          <reference field="0" count="1" selected="0">
            <x v="10"/>
          </reference>
          <reference field="6" count="6">
            <x v="3"/>
            <x v="4"/>
            <x v="6"/>
            <x v="9"/>
            <x v="17"/>
            <x v="18"/>
          </reference>
        </references>
      </pivotArea>
    </format>
    <format dxfId="901">
      <pivotArea collapsedLevelsAreSubtotals="1" fieldPosition="0">
        <references count="1">
          <reference field="0" count="1">
            <x v="11"/>
          </reference>
        </references>
      </pivotArea>
    </format>
    <format dxfId="900">
      <pivotArea collapsedLevelsAreSubtotals="1" fieldPosition="0">
        <references count="2">
          <reference field="0" count="1" selected="0">
            <x v="11"/>
          </reference>
          <reference field="6" count="4">
            <x v="3"/>
            <x v="4"/>
            <x v="9"/>
            <x v="17"/>
          </reference>
        </references>
      </pivotArea>
    </format>
    <format dxfId="899">
      <pivotArea collapsedLevelsAreSubtotals="1" fieldPosition="0">
        <references count="1">
          <reference field="0" count="1">
            <x v="0"/>
          </reference>
        </references>
      </pivotArea>
    </format>
    <format dxfId="898">
      <pivotArea collapsedLevelsAreSubtotals="1" fieldPosition="0">
        <references count="2">
          <reference field="0" count="1" selected="0">
            <x v="0"/>
          </reference>
          <reference field="6" count="4">
            <x v="3"/>
            <x v="4"/>
            <x v="17"/>
            <x v="18"/>
          </reference>
        </references>
      </pivotArea>
    </format>
    <format dxfId="897">
      <pivotArea collapsedLevelsAreSubtotals="1" fieldPosition="0">
        <references count="1">
          <reference field="0" count="1">
            <x v="1"/>
          </reference>
        </references>
      </pivotArea>
    </format>
    <format dxfId="896">
      <pivotArea collapsedLevelsAreSubtotals="1" fieldPosition="0">
        <references count="2">
          <reference field="0" count="1" selected="0">
            <x v="1"/>
          </reference>
          <reference field="6" count="3">
            <x v="3"/>
            <x v="9"/>
            <x v="17"/>
          </reference>
        </references>
      </pivotArea>
    </format>
    <format dxfId="895">
      <pivotArea collapsedLevelsAreSubtotals="1" fieldPosition="0">
        <references count="1">
          <reference field="0" count="1">
            <x v="2"/>
          </reference>
        </references>
      </pivotArea>
    </format>
    <format dxfId="894">
      <pivotArea collapsedLevelsAreSubtotals="1" fieldPosition="0">
        <references count="2">
          <reference field="0" count="1" selected="0">
            <x v="2"/>
          </reference>
          <reference field="6" count="2">
            <x v="3"/>
            <x v="17"/>
          </reference>
        </references>
      </pivotArea>
    </format>
    <format dxfId="893">
      <pivotArea collapsedLevelsAreSubtotals="1" fieldPosition="0">
        <references count="1">
          <reference field="0" count="1">
            <x v="3"/>
          </reference>
        </references>
      </pivotArea>
    </format>
    <format dxfId="892">
      <pivotArea collapsedLevelsAreSubtotals="1" fieldPosition="0">
        <references count="2">
          <reference field="0" count="1" selected="0">
            <x v="3"/>
          </reference>
          <reference field="6" count="7">
            <x v="3"/>
            <x v="4"/>
            <x v="7"/>
            <x v="9"/>
            <x v="17"/>
            <x v="18"/>
            <x v="21"/>
          </reference>
        </references>
      </pivotArea>
    </format>
    <format dxfId="891">
      <pivotArea collapsedLevelsAreSubtotals="1" fieldPosition="0">
        <references count="1">
          <reference field="0" count="1">
            <x v="4"/>
          </reference>
        </references>
      </pivotArea>
    </format>
    <format dxfId="890">
      <pivotArea collapsedLevelsAreSubtotals="1" fieldPosition="0">
        <references count="2">
          <reference field="0" count="1" selected="0">
            <x v="4"/>
          </reference>
          <reference field="6" count="4">
            <x v="3"/>
            <x v="4"/>
            <x v="17"/>
            <x v="18"/>
          </reference>
        </references>
      </pivotArea>
    </format>
    <format dxfId="889">
      <pivotArea collapsedLevelsAreSubtotals="1" fieldPosition="0">
        <references count="1">
          <reference field="0" count="1">
            <x v="5"/>
          </reference>
        </references>
      </pivotArea>
    </format>
    <format dxfId="888">
      <pivotArea collapsedLevelsAreSubtotals="1" fieldPosition="0">
        <references count="2">
          <reference field="0" count="1" selected="0">
            <x v="5"/>
          </reference>
          <reference field="6" count="5">
            <x v="3"/>
            <x v="4"/>
            <x v="9"/>
            <x v="17"/>
            <x v="18"/>
          </reference>
        </references>
      </pivotArea>
    </format>
    <format dxfId="887">
      <pivotArea collapsedLevelsAreSubtotals="1" fieldPosition="0">
        <references count="1">
          <reference field="0" count="1">
            <x v="6"/>
          </reference>
        </references>
      </pivotArea>
    </format>
    <format dxfId="886">
      <pivotArea collapsedLevelsAreSubtotals="1" fieldPosition="0">
        <references count="2">
          <reference field="0" count="1" selected="0">
            <x v="6"/>
          </reference>
          <reference field="6" count="5">
            <x v="3"/>
            <x v="4"/>
            <x v="9"/>
            <x v="17"/>
            <x v="18"/>
          </reference>
        </references>
      </pivotArea>
    </format>
    <format dxfId="885">
      <pivotArea collapsedLevelsAreSubtotals="1" fieldPosition="0">
        <references count="1">
          <reference field="0" count="1">
            <x v="7"/>
          </reference>
        </references>
      </pivotArea>
    </format>
    <format dxfId="884">
      <pivotArea collapsedLevelsAreSubtotals="1" fieldPosition="0">
        <references count="2">
          <reference field="0" count="1" selected="0">
            <x v="7"/>
          </reference>
          <reference field="6" count="5">
            <x v="3"/>
            <x v="4"/>
            <x v="9"/>
            <x v="17"/>
            <x v="18"/>
          </reference>
        </references>
      </pivotArea>
    </format>
    <format dxfId="883">
      <pivotArea collapsedLevelsAreSubtotals="1" fieldPosition="0">
        <references count="1">
          <reference field="0" count="1">
            <x v="8"/>
          </reference>
        </references>
      </pivotArea>
    </format>
    <format dxfId="882">
      <pivotArea collapsedLevelsAreSubtotals="1" fieldPosition="0">
        <references count="2">
          <reference field="0" count="1" selected="0">
            <x v="8"/>
          </reference>
          <reference field="6" count="3">
            <x v="3"/>
            <x v="4"/>
            <x v="18"/>
          </reference>
        </references>
      </pivotArea>
    </format>
    <format dxfId="881">
      <pivotArea collapsedLevelsAreSubtotals="1" fieldPosition="0">
        <references count="1">
          <reference field="0" count="1">
            <x v="9"/>
          </reference>
        </references>
      </pivotArea>
    </format>
    <format dxfId="880">
      <pivotArea collapsedLevelsAreSubtotals="1" fieldPosition="0">
        <references count="2">
          <reference field="0" count="1" selected="0">
            <x v="9"/>
          </reference>
          <reference field="6" count="5">
            <x v="3"/>
            <x v="4"/>
            <x v="9"/>
            <x v="17"/>
            <x v="18"/>
          </reference>
        </references>
      </pivotArea>
    </format>
    <format dxfId="879">
      <pivotArea collapsedLevelsAreSubtotals="1" fieldPosition="0">
        <references count="1">
          <reference field="0" count="1">
            <x v="10"/>
          </reference>
        </references>
      </pivotArea>
    </format>
    <format dxfId="878">
      <pivotArea collapsedLevelsAreSubtotals="1" fieldPosition="0">
        <references count="2">
          <reference field="0" count="1" selected="0">
            <x v="10"/>
          </reference>
          <reference field="6" count="6">
            <x v="3"/>
            <x v="4"/>
            <x v="6"/>
            <x v="9"/>
            <x v="17"/>
            <x v="18"/>
          </reference>
        </references>
      </pivotArea>
    </format>
    <format dxfId="877">
      <pivotArea collapsedLevelsAreSubtotals="1" fieldPosition="0">
        <references count="1">
          <reference field="0" count="1">
            <x v="11"/>
          </reference>
        </references>
      </pivotArea>
    </format>
    <format dxfId="876">
      <pivotArea collapsedLevelsAreSubtotals="1" fieldPosition="0">
        <references count="2">
          <reference field="0" count="1" selected="0">
            <x v="11"/>
          </reference>
          <reference field="6" count="4">
            <x v="3"/>
            <x v="4"/>
            <x v="9"/>
            <x v="17"/>
          </reference>
        </references>
      </pivotArea>
    </format>
    <format dxfId="875">
      <pivotArea collapsedLevelsAreSubtotals="1" fieldPosition="0">
        <references count="1">
          <reference field="0" count="1">
            <x v="0"/>
          </reference>
        </references>
      </pivotArea>
    </format>
    <format dxfId="874">
      <pivotArea collapsedLevelsAreSubtotals="1" fieldPosition="0">
        <references count="2">
          <reference field="0" count="1" selected="0">
            <x v="0"/>
          </reference>
          <reference field="6" count="4">
            <x v="3"/>
            <x v="4"/>
            <x v="17"/>
            <x v="18"/>
          </reference>
        </references>
      </pivotArea>
    </format>
    <format dxfId="873">
      <pivotArea collapsedLevelsAreSubtotals="1" fieldPosition="0">
        <references count="1">
          <reference field="0" count="1">
            <x v="1"/>
          </reference>
        </references>
      </pivotArea>
    </format>
    <format dxfId="872">
      <pivotArea collapsedLevelsAreSubtotals="1" fieldPosition="0">
        <references count="2">
          <reference field="0" count="1" selected="0">
            <x v="1"/>
          </reference>
          <reference field="6" count="3">
            <x v="3"/>
            <x v="9"/>
            <x v="17"/>
          </reference>
        </references>
      </pivotArea>
    </format>
    <format dxfId="871">
      <pivotArea collapsedLevelsAreSubtotals="1" fieldPosition="0">
        <references count="1">
          <reference field="0" count="1">
            <x v="2"/>
          </reference>
        </references>
      </pivotArea>
    </format>
    <format dxfId="870">
      <pivotArea collapsedLevelsAreSubtotals="1" fieldPosition="0">
        <references count="2">
          <reference field="0" count="1" selected="0">
            <x v="2"/>
          </reference>
          <reference field="6" count="2">
            <x v="3"/>
            <x v="17"/>
          </reference>
        </references>
      </pivotArea>
    </format>
    <format dxfId="869">
      <pivotArea collapsedLevelsAreSubtotals="1" fieldPosition="0">
        <references count="1">
          <reference field="0" count="1">
            <x v="3"/>
          </reference>
        </references>
      </pivotArea>
    </format>
    <format dxfId="868">
      <pivotArea collapsedLevelsAreSubtotals="1" fieldPosition="0">
        <references count="2">
          <reference field="0" count="1" selected="0">
            <x v="3"/>
          </reference>
          <reference field="6" count="7">
            <x v="3"/>
            <x v="4"/>
            <x v="7"/>
            <x v="9"/>
            <x v="17"/>
            <x v="18"/>
            <x v="21"/>
          </reference>
        </references>
      </pivotArea>
    </format>
    <format dxfId="867">
      <pivotArea collapsedLevelsAreSubtotals="1" fieldPosition="0">
        <references count="1">
          <reference field="0" count="1">
            <x v="4"/>
          </reference>
        </references>
      </pivotArea>
    </format>
    <format dxfId="866">
      <pivotArea collapsedLevelsAreSubtotals="1" fieldPosition="0">
        <references count="2">
          <reference field="0" count="1" selected="0">
            <x v="4"/>
          </reference>
          <reference field="6" count="4">
            <x v="3"/>
            <x v="4"/>
            <x v="17"/>
            <x v="18"/>
          </reference>
        </references>
      </pivotArea>
    </format>
    <format dxfId="865">
      <pivotArea collapsedLevelsAreSubtotals="1" fieldPosition="0">
        <references count="1">
          <reference field="0" count="1">
            <x v="5"/>
          </reference>
        </references>
      </pivotArea>
    </format>
    <format dxfId="864">
      <pivotArea collapsedLevelsAreSubtotals="1" fieldPosition="0">
        <references count="2">
          <reference field="0" count="1" selected="0">
            <x v="5"/>
          </reference>
          <reference field="6" count="5">
            <x v="3"/>
            <x v="4"/>
            <x v="9"/>
            <x v="17"/>
            <x v="18"/>
          </reference>
        </references>
      </pivotArea>
    </format>
    <format dxfId="863">
      <pivotArea collapsedLevelsAreSubtotals="1" fieldPosition="0">
        <references count="1">
          <reference field="0" count="1">
            <x v="6"/>
          </reference>
        </references>
      </pivotArea>
    </format>
    <format dxfId="862">
      <pivotArea collapsedLevelsAreSubtotals="1" fieldPosition="0">
        <references count="2">
          <reference field="0" count="1" selected="0">
            <x v="6"/>
          </reference>
          <reference field="6" count="5">
            <x v="3"/>
            <x v="4"/>
            <x v="9"/>
            <x v="17"/>
            <x v="18"/>
          </reference>
        </references>
      </pivotArea>
    </format>
    <format dxfId="861">
      <pivotArea collapsedLevelsAreSubtotals="1" fieldPosition="0">
        <references count="1">
          <reference field="0" count="1">
            <x v="7"/>
          </reference>
        </references>
      </pivotArea>
    </format>
    <format dxfId="860">
      <pivotArea collapsedLevelsAreSubtotals="1" fieldPosition="0">
        <references count="2">
          <reference field="0" count="1" selected="0">
            <x v="7"/>
          </reference>
          <reference field="6" count="5">
            <x v="3"/>
            <x v="4"/>
            <x v="9"/>
            <x v="17"/>
            <x v="18"/>
          </reference>
        </references>
      </pivotArea>
    </format>
    <format dxfId="859">
      <pivotArea collapsedLevelsAreSubtotals="1" fieldPosition="0">
        <references count="1">
          <reference field="0" count="1">
            <x v="8"/>
          </reference>
        </references>
      </pivotArea>
    </format>
    <format dxfId="858">
      <pivotArea collapsedLevelsAreSubtotals="1" fieldPosition="0">
        <references count="2">
          <reference field="0" count="1" selected="0">
            <x v="8"/>
          </reference>
          <reference field="6" count="3">
            <x v="3"/>
            <x v="4"/>
            <x v="18"/>
          </reference>
        </references>
      </pivotArea>
    </format>
    <format dxfId="857">
      <pivotArea collapsedLevelsAreSubtotals="1" fieldPosition="0">
        <references count="1">
          <reference field="0" count="1">
            <x v="9"/>
          </reference>
        </references>
      </pivotArea>
    </format>
    <format dxfId="856">
      <pivotArea collapsedLevelsAreSubtotals="1" fieldPosition="0">
        <references count="2">
          <reference field="0" count="1" selected="0">
            <x v="9"/>
          </reference>
          <reference field="6" count="5">
            <x v="3"/>
            <x v="4"/>
            <x v="9"/>
            <x v="17"/>
            <x v="18"/>
          </reference>
        </references>
      </pivotArea>
    </format>
    <format dxfId="855">
      <pivotArea collapsedLevelsAreSubtotals="1" fieldPosition="0">
        <references count="1">
          <reference field="0" count="1">
            <x v="10"/>
          </reference>
        </references>
      </pivotArea>
    </format>
    <format dxfId="854">
      <pivotArea collapsedLevelsAreSubtotals="1" fieldPosition="0">
        <references count="2">
          <reference field="0" count="1" selected="0">
            <x v="10"/>
          </reference>
          <reference field="6" count="6">
            <x v="3"/>
            <x v="4"/>
            <x v="6"/>
            <x v="9"/>
            <x v="17"/>
            <x v="18"/>
          </reference>
        </references>
      </pivotArea>
    </format>
    <format dxfId="853">
      <pivotArea collapsedLevelsAreSubtotals="1" fieldPosition="0">
        <references count="1">
          <reference field="0" count="1">
            <x v="11"/>
          </reference>
        </references>
      </pivotArea>
    </format>
    <format dxfId="852">
      <pivotArea collapsedLevelsAreSubtotals="1" fieldPosition="0">
        <references count="2">
          <reference field="0" count="1" selected="0">
            <x v="11"/>
          </reference>
          <reference field="6" count="4">
            <x v="3"/>
            <x v="4"/>
            <x v="9"/>
            <x v="17"/>
          </reference>
        </references>
      </pivotArea>
    </format>
    <format dxfId="851">
      <pivotArea collapsedLevelsAreSubtotals="1" fieldPosition="0">
        <references count="1">
          <reference field="0" count="1">
            <x v="0"/>
          </reference>
        </references>
      </pivotArea>
    </format>
    <format dxfId="850">
      <pivotArea collapsedLevelsAreSubtotals="1" fieldPosition="0">
        <references count="2">
          <reference field="0" count="1" selected="0">
            <x v="0"/>
          </reference>
          <reference field="6" count="4">
            <x v="3"/>
            <x v="4"/>
            <x v="17"/>
            <x v="18"/>
          </reference>
        </references>
      </pivotArea>
    </format>
    <format dxfId="849">
      <pivotArea collapsedLevelsAreSubtotals="1" fieldPosition="0">
        <references count="1">
          <reference field="0" count="1">
            <x v="1"/>
          </reference>
        </references>
      </pivotArea>
    </format>
    <format dxfId="848">
      <pivotArea collapsedLevelsAreSubtotals="1" fieldPosition="0">
        <references count="2">
          <reference field="0" count="1" selected="0">
            <x v="1"/>
          </reference>
          <reference field="6" count="3">
            <x v="3"/>
            <x v="9"/>
            <x v="17"/>
          </reference>
        </references>
      </pivotArea>
    </format>
    <format dxfId="847">
      <pivotArea collapsedLevelsAreSubtotals="1" fieldPosition="0">
        <references count="1">
          <reference field="0" count="1">
            <x v="2"/>
          </reference>
        </references>
      </pivotArea>
    </format>
    <format dxfId="846">
      <pivotArea collapsedLevelsAreSubtotals="1" fieldPosition="0">
        <references count="2">
          <reference field="0" count="1" selected="0">
            <x v="2"/>
          </reference>
          <reference field="6" count="2">
            <x v="3"/>
            <x v="17"/>
          </reference>
        </references>
      </pivotArea>
    </format>
    <format dxfId="845">
      <pivotArea collapsedLevelsAreSubtotals="1" fieldPosition="0">
        <references count="1">
          <reference field="0" count="1">
            <x v="3"/>
          </reference>
        </references>
      </pivotArea>
    </format>
    <format dxfId="844">
      <pivotArea collapsedLevelsAreSubtotals="1" fieldPosition="0">
        <references count="2">
          <reference field="0" count="1" selected="0">
            <x v="3"/>
          </reference>
          <reference field="6" count="7">
            <x v="3"/>
            <x v="4"/>
            <x v="7"/>
            <x v="9"/>
            <x v="17"/>
            <x v="18"/>
            <x v="21"/>
          </reference>
        </references>
      </pivotArea>
    </format>
    <format dxfId="843">
      <pivotArea collapsedLevelsAreSubtotals="1" fieldPosition="0">
        <references count="1">
          <reference field="0" count="1">
            <x v="4"/>
          </reference>
        </references>
      </pivotArea>
    </format>
    <format dxfId="842">
      <pivotArea collapsedLevelsAreSubtotals="1" fieldPosition="0">
        <references count="2">
          <reference field="0" count="1" selected="0">
            <x v="4"/>
          </reference>
          <reference field="6" count="4">
            <x v="3"/>
            <x v="4"/>
            <x v="17"/>
            <x v="18"/>
          </reference>
        </references>
      </pivotArea>
    </format>
    <format dxfId="841">
      <pivotArea collapsedLevelsAreSubtotals="1" fieldPosition="0">
        <references count="1">
          <reference field="0" count="1">
            <x v="5"/>
          </reference>
        </references>
      </pivotArea>
    </format>
    <format dxfId="840">
      <pivotArea collapsedLevelsAreSubtotals="1" fieldPosition="0">
        <references count="2">
          <reference field="0" count="1" selected="0">
            <x v="5"/>
          </reference>
          <reference field="6" count="5">
            <x v="3"/>
            <x v="4"/>
            <x v="9"/>
            <x v="17"/>
            <x v="18"/>
          </reference>
        </references>
      </pivotArea>
    </format>
    <format dxfId="839">
      <pivotArea collapsedLevelsAreSubtotals="1" fieldPosition="0">
        <references count="1">
          <reference field="0" count="1">
            <x v="6"/>
          </reference>
        </references>
      </pivotArea>
    </format>
    <format dxfId="838">
      <pivotArea collapsedLevelsAreSubtotals="1" fieldPosition="0">
        <references count="2">
          <reference field="0" count="1" selected="0">
            <x v="6"/>
          </reference>
          <reference field="6" count="5">
            <x v="3"/>
            <x v="4"/>
            <x v="9"/>
            <x v="17"/>
            <x v="18"/>
          </reference>
        </references>
      </pivotArea>
    </format>
    <format dxfId="837">
      <pivotArea collapsedLevelsAreSubtotals="1" fieldPosition="0">
        <references count="1">
          <reference field="0" count="1">
            <x v="7"/>
          </reference>
        </references>
      </pivotArea>
    </format>
    <format dxfId="836">
      <pivotArea collapsedLevelsAreSubtotals="1" fieldPosition="0">
        <references count="2">
          <reference field="0" count="1" selected="0">
            <x v="7"/>
          </reference>
          <reference field="6" count="5">
            <x v="3"/>
            <x v="4"/>
            <x v="9"/>
            <x v="17"/>
            <x v="18"/>
          </reference>
        </references>
      </pivotArea>
    </format>
    <format dxfId="835">
      <pivotArea collapsedLevelsAreSubtotals="1" fieldPosition="0">
        <references count="1">
          <reference field="0" count="1">
            <x v="8"/>
          </reference>
        </references>
      </pivotArea>
    </format>
    <format dxfId="834">
      <pivotArea collapsedLevelsAreSubtotals="1" fieldPosition="0">
        <references count="2">
          <reference field="0" count="1" selected="0">
            <x v="8"/>
          </reference>
          <reference field="6" count="3">
            <x v="3"/>
            <x v="4"/>
            <x v="18"/>
          </reference>
        </references>
      </pivotArea>
    </format>
    <format dxfId="833">
      <pivotArea collapsedLevelsAreSubtotals="1" fieldPosition="0">
        <references count="1">
          <reference field="0" count="1">
            <x v="9"/>
          </reference>
        </references>
      </pivotArea>
    </format>
    <format dxfId="832">
      <pivotArea collapsedLevelsAreSubtotals="1" fieldPosition="0">
        <references count="2">
          <reference field="0" count="1" selected="0">
            <x v="9"/>
          </reference>
          <reference field="6" count="5">
            <x v="3"/>
            <x v="4"/>
            <x v="9"/>
            <x v="17"/>
            <x v="18"/>
          </reference>
        </references>
      </pivotArea>
    </format>
    <format dxfId="831">
      <pivotArea collapsedLevelsAreSubtotals="1" fieldPosition="0">
        <references count="1">
          <reference field="0" count="1">
            <x v="10"/>
          </reference>
        </references>
      </pivotArea>
    </format>
    <format dxfId="830">
      <pivotArea collapsedLevelsAreSubtotals="1" fieldPosition="0">
        <references count="2">
          <reference field="0" count="1" selected="0">
            <x v="10"/>
          </reference>
          <reference field="6" count="6">
            <x v="3"/>
            <x v="4"/>
            <x v="6"/>
            <x v="9"/>
            <x v="17"/>
            <x v="18"/>
          </reference>
        </references>
      </pivotArea>
    </format>
    <format dxfId="829">
      <pivotArea collapsedLevelsAreSubtotals="1" fieldPosition="0">
        <references count="1">
          <reference field="0" count="1">
            <x v="11"/>
          </reference>
        </references>
      </pivotArea>
    </format>
    <format dxfId="828">
      <pivotArea collapsedLevelsAreSubtotals="1" fieldPosition="0">
        <references count="2">
          <reference field="0" count="1" selected="0">
            <x v="11"/>
          </reference>
          <reference field="6" count="4">
            <x v="3"/>
            <x v="4"/>
            <x v="9"/>
            <x v="17"/>
          </reference>
        </references>
      </pivotArea>
    </format>
    <format dxfId="827">
      <pivotArea dataOnly="0" labelOnly="1" fieldPosition="0">
        <references count="1">
          <reference field="0" count="0"/>
        </references>
      </pivotArea>
    </format>
    <format dxfId="826">
      <pivotArea dataOnly="0" labelOnly="1" fieldPosition="0">
        <references count="2">
          <reference field="0" count="1" selected="0">
            <x v="0"/>
          </reference>
          <reference field="6" count="4">
            <x v="3"/>
            <x v="4"/>
            <x v="17"/>
            <x v="18"/>
          </reference>
        </references>
      </pivotArea>
    </format>
    <format dxfId="825">
      <pivotArea dataOnly="0" labelOnly="1" fieldPosition="0">
        <references count="2">
          <reference field="0" count="1" selected="0">
            <x v="1"/>
          </reference>
          <reference field="6" count="3">
            <x v="3"/>
            <x v="9"/>
            <x v="17"/>
          </reference>
        </references>
      </pivotArea>
    </format>
    <format dxfId="824">
      <pivotArea dataOnly="0" labelOnly="1" fieldPosition="0">
        <references count="2">
          <reference field="0" count="1" selected="0">
            <x v="2"/>
          </reference>
          <reference field="6" count="2">
            <x v="3"/>
            <x v="17"/>
          </reference>
        </references>
      </pivotArea>
    </format>
    <format dxfId="823">
      <pivotArea dataOnly="0" labelOnly="1" fieldPosition="0">
        <references count="2">
          <reference field="0" count="1" selected="0">
            <x v="3"/>
          </reference>
          <reference field="6" count="7">
            <x v="3"/>
            <x v="4"/>
            <x v="7"/>
            <x v="9"/>
            <x v="17"/>
            <x v="18"/>
            <x v="21"/>
          </reference>
        </references>
      </pivotArea>
    </format>
    <format dxfId="822">
      <pivotArea dataOnly="0" labelOnly="1" fieldPosition="0">
        <references count="2">
          <reference field="0" count="1" selected="0">
            <x v="4"/>
          </reference>
          <reference field="6" count="4">
            <x v="3"/>
            <x v="4"/>
            <x v="17"/>
            <x v="18"/>
          </reference>
        </references>
      </pivotArea>
    </format>
    <format dxfId="821">
      <pivotArea dataOnly="0" labelOnly="1" fieldPosition="0">
        <references count="2">
          <reference field="0" count="1" selected="0">
            <x v="5"/>
          </reference>
          <reference field="6" count="5">
            <x v="3"/>
            <x v="4"/>
            <x v="9"/>
            <x v="17"/>
            <x v="18"/>
          </reference>
        </references>
      </pivotArea>
    </format>
    <format dxfId="820">
      <pivotArea dataOnly="0" labelOnly="1" fieldPosition="0">
        <references count="2">
          <reference field="0" count="1" selected="0">
            <x v="6"/>
          </reference>
          <reference field="6" count="5">
            <x v="3"/>
            <x v="4"/>
            <x v="9"/>
            <x v="17"/>
            <x v="18"/>
          </reference>
        </references>
      </pivotArea>
    </format>
    <format dxfId="819">
      <pivotArea dataOnly="0" labelOnly="1" fieldPosition="0">
        <references count="2">
          <reference field="0" count="1" selected="0">
            <x v="7"/>
          </reference>
          <reference field="6" count="5">
            <x v="3"/>
            <x v="4"/>
            <x v="9"/>
            <x v="17"/>
            <x v="18"/>
          </reference>
        </references>
      </pivotArea>
    </format>
    <format dxfId="818">
      <pivotArea dataOnly="0" labelOnly="1" fieldPosition="0">
        <references count="2">
          <reference field="0" count="1" selected="0">
            <x v="8"/>
          </reference>
          <reference field="6" count="3">
            <x v="3"/>
            <x v="4"/>
            <x v="18"/>
          </reference>
        </references>
      </pivotArea>
    </format>
    <format dxfId="817">
      <pivotArea dataOnly="0" labelOnly="1" fieldPosition="0">
        <references count="2">
          <reference field="0" count="1" selected="0">
            <x v="9"/>
          </reference>
          <reference field="6" count="5">
            <x v="3"/>
            <x v="4"/>
            <x v="9"/>
            <x v="17"/>
            <x v="18"/>
          </reference>
        </references>
      </pivotArea>
    </format>
    <format dxfId="816">
      <pivotArea dataOnly="0" labelOnly="1" fieldPosition="0">
        <references count="2">
          <reference field="0" count="1" selected="0">
            <x v="10"/>
          </reference>
          <reference field="6" count="6">
            <x v="3"/>
            <x v="4"/>
            <x v="6"/>
            <x v="9"/>
            <x v="17"/>
            <x v="18"/>
          </reference>
        </references>
      </pivotArea>
    </format>
    <format dxfId="815">
      <pivotArea dataOnly="0" labelOnly="1" fieldPosition="0">
        <references count="2">
          <reference field="0" count="1" selected="0">
            <x v="11"/>
          </reference>
          <reference field="6" count="4">
            <x v="3"/>
            <x v="4"/>
            <x v="9"/>
            <x v="17"/>
          </reference>
        </references>
      </pivotArea>
    </format>
    <format dxfId="814">
      <pivotArea collapsedLevelsAreSubtotals="1" fieldPosition="0">
        <references count="1">
          <reference field="0" count="1">
            <x v="0"/>
          </reference>
        </references>
      </pivotArea>
    </format>
    <format dxfId="813">
      <pivotArea collapsedLevelsAreSubtotals="1" fieldPosition="0">
        <references count="2">
          <reference field="0" count="1" selected="0">
            <x v="0"/>
          </reference>
          <reference field="6" count="4">
            <x v="3"/>
            <x v="4"/>
            <x v="17"/>
            <x v="18"/>
          </reference>
        </references>
      </pivotArea>
    </format>
    <format dxfId="812">
      <pivotArea collapsedLevelsAreSubtotals="1" fieldPosition="0">
        <references count="1">
          <reference field="0" count="1">
            <x v="1"/>
          </reference>
        </references>
      </pivotArea>
    </format>
    <format dxfId="811">
      <pivotArea collapsedLevelsAreSubtotals="1" fieldPosition="0">
        <references count="2">
          <reference field="0" count="1" selected="0">
            <x v="1"/>
          </reference>
          <reference field="6" count="3">
            <x v="3"/>
            <x v="9"/>
            <x v="17"/>
          </reference>
        </references>
      </pivotArea>
    </format>
    <format dxfId="810">
      <pivotArea collapsedLevelsAreSubtotals="1" fieldPosition="0">
        <references count="1">
          <reference field="0" count="1">
            <x v="2"/>
          </reference>
        </references>
      </pivotArea>
    </format>
    <format dxfId="809">
      <pivotArea collapsedLevelsAreSubtotals="1" fieldPosition="0">
        <references count="2">
          <reference field="0" count="1" selected="0">
            <x v="2"/>
          </reference>
          <reference field="6" count="2">
            <x v="3"/>
            <x v="17"/>
          </reference>
        </references>
      </pivotArea>
    </format>
    <format dxfId="808">
      <pivotArea collapsedLevelsAreSubtotals="1" fieldPosition="0">
        <references count="1">
          <reference field="0" count="1">
            <x v="3"/>
          </reference>
        </references>
      </pivotArea>
    </format>
    <format dxfId="807">
      <pivotArea collapsedLevelsAreSubtotals="1" fieldPosition="0">
        <references count="2">
          <reference field="0" count="1" selected="0">
            <x v="3"/>
          </reference>
          <reference field="6" count="7">
            <x v="3"/>
            <x v="4"/>
            <x v="7"/>
            <x v="9"/>
            <x v="17"/>
            <x v="18"/>
            <x v="21"/>
          </reference>
        </references>
      </pivotArea>
    </format>
    <format dxfId="806">
      <pivotArea collapsedLevelsAreSubtotals="1" fieldPosition="0">
        <references count="1">
          <reference field="0" count="1">
            <x v="4"/>
          </reference>
        </references>
      </pivotArea>
    </format>
    <format dxfId="805">
      <pivotArea collapsedLevelsAreSubtotals="1" fieldPosition="0">
        <references count="2">
          <reference field="0" count="1" selected="0">
            <x v="4"/>
          </reference>
          <reference field="6" count="4">
            <x v="3"/>
            <x v="4"/>
            <x v="17"/>
            <x v="18"/>
          </reference>
        </references>
      </pivotArea>
    </format>
    <format dxfId="804">
      <pivotArea collapsedLevelsAreSubtotals="1" fieldPosition="0">
        <references count="1">
          <reference field="0" count="1">
            <x v="5"/>
          </reference>
        </references>
      </pivotArea>
    </format>
    <format dxfId="803">
      <pivotArea collapsedLevelsAreSubtotals="1" fieldPosition="0">
        <references count="2">
          <reference field="0" count="1" selected="0">
            <x v="5"/>
          </reference>
          <reference field="6" count="5">
            <x v="3"/>
            <x v="4"/>
            <x v="9"/>
            <x v="17"/>
            <x v="18"/>
          </reference>
        </references>
      </pivotArea>
    </format>
    <format dxfId="802">
      <pivotArea collapsedLevelsAreSubtotals="1" fieldPosition="0">
        <references count="1">
          <reference field="0" count="1">
            <x v="6"/>
          </reference>
        </references>
      </pivotArea>
    </format>
    <format dxfId="801">
      <pivotArea collapsedLevelsAreSubtotals="1" fieldPosition="0">
        <references count="2">
          <reference field="0" count="1" selected="0">
            <x v="6"/>
          </reference>
          <reference field="6" count="5">
            <x v="3"/>
            <x v="4"/>
            <x v="9"/>
            <x v="17"/>
            <x v="18"/>
          </reference>
        </references>
      </pivotArea>
    </format>
    <format dxfId="800">
      <pivotArea collapsedLevelsAreSubtotals="1" fieldPosition="0">
        <references count="1">
          <reference field="0" count="1">
            <x v="7"/>
          </reference>
        </references>
      </pivotArea>
    </format>
    <format dxfId="799">
      <pivotArea collapsedLevelsAreSubtotals="1" fieldPosition="0">
        <references count="2">
          <reference field="0" count="1" selected="0">
            <x v="7"/>
          </reference>
          <reference field="6" count="5">
            <x v="3"/>
            <x v="4"/>
            <x v="9"/>
            <x v="17"/>
            <x v="18"/>
          </reference>
        </references>
      </pivotArea>
    </format>
    <format dxfId="798">
      <pivotArea collapsedLevelsAreSubtotals="1" fieldPosition="0">
        <references count="1">
          <reference field="0" count="1">
            <x v="8"/>
          </reference>
        </references>
      </pivotArea>
    </format>
    <format dxfId="797">
      <pivotArea collapsedLevelsAreSubtotals="1" fieldPosition="0">
        <references count="2">
          <reference field="0" count="1" selected="0">
            <x v="8"/>
          </reference>
          <reference field="6" count="3">
            <x v="3"/>
            <x v="4"/>
            <x v="18"/>
          </reference>
        </references>
      </pivotArea>
    </format>
    <format dxfId="796">
      <pivotArea collapsedLevelsAreSubtotals="1" fieldPosition="0">
        <references count="1">
          <reference field="0" count="1">
            <x v="9"/>
          </reference>
        </references>
      </pivotArea>
    </format>
    <format dxfId="795">
      <pivotArea collapsedLevelsAreSubtotals="1" fieldPosition="0">
        <references count="2">
          <reference field="0" count="1" selected="0">
            <x v="9"/>
          </reference>
          <reference field="6" count="5">
            <x v="3"/>
            <x v="4"/>
            <x v="9"/>
            <x v="17"/>
            <x v="18"/>
          </reference>
        </references>
      </pivotArea>
    </format>
    <format dxfId="794">
      <pivotArea collapsedLevelsAreSubtotals="1" fieldPosition="0">
        <references count="1">
          <reference field="0" count="1">
            <x v="10"/>
          </reference>
        </references>
      </pivotArea>
    </format>
    <format dxfId="793">
      <pivotArea collapsedLevelsAreSubtotals="1" fieldPosition="0">
        <references count="2">
          <reference field="0" count="1" selected="0">
            <x v="10"/>
          </reference>
          <reference field="6" count="6">
            <x v="3"/>
            <x v="4"/>
            <x v="6"/>
            <x v="9"/>
            <x v="17"/>
            <x v="18"/>
          </reference>
        </references>
      </pivotArea>
    </format>
    <format dxfId="792">
      <pivotArea collapsedLevelsAreSubtotals="1" fieldPosition="0">
        <references count="1">
          <reference field="0" count="1">
            <x v="11"/>
          </reference>
        </references>
      </pivotArea>
    </format>
    <format dxfId="791">
      <pivotArea collapsedLevelsAreSubtotals="1" fieldPosition="0">
        <references count="2">
          <reference field="0" count="1" selected="0">
            <x v="11"/>
          </reference>
          <reference field="6" count="4">
            <x v="3"/>
            <x v="4"/>
            <x v="9"/>
            <x v="17"/>
          </reference>
        </references>
      </pivotArea>
    </format>
    <format dxfId="790">
      <pivotArea dataOnly="0" labelOnly="1" fieldPosition="0">
        <references count="1">
          <reference field="0" count="0"/>
        </references>
      </pivotArea>
    </format>
    <format dxfId="789">
      <pivotArea dataOnly="0" labelOnly="1" fieldPosition="0">
        <references count="2">
          <reference field="0" count="1" selected="0">
            <x v="0"/>
          </reference>
          <reference field="6" count="4">
            <x v="3"/>
            <x v="4"/>
            <x v="17"/>
            <x v="18"/>
          </reference>
        </references>
      </pivotArea>
    </format>
    <format dxfId="788">
      <pivotArea dataOnly="0" labelOnly="1" fieldPosition="0">
        <references count="2">
          <reference field="0" count="1" selected="0">
            <x v="1"/>
          </reference>
          <reference field="6" count="3">
            <x v="3"/>
            <x v="9"/>
            <x v="17"/>
          </reference>
        </references>
      </pivotArea>
    </format>
    <format dxfId="787">
      <pivotArea dataOnly="0" labelOnly="1" fieldPosition="0">
        <references count="2">
          <reference field="0" count="1" selected="0">
            <x v="2"/>
          </reference>
          <reference field="6" count="2">
            <x v="3"/>
            <x v="17"/>
          </reference>
        </references>
      </pivotArea>
    </format>
    <format dxfId="786">
      <pivotArea dataOnly="0" labelOnly="1" fieldPosition="0">
        <references count="2">
          <reference field="0" count="1" selected="0">
            <x v="3"/>
          </reference>
          <reference field="6" count="7">
            <x v="3"/>
            <x v="4"/>
            <x v="7"/>
            <x v="9"/>
            <x v="17"/>
            <x v="18"/>
            <x v="21"/>
          </reference>
        </references>
      </pivotArea>
    </format>
    <format dxfId="785">
      <pivotArea dataOnly="0" labelOnly="1" fieldPosition="0">
        <references count="2">
          <reference field="0" count="1" selected="0">
            <x v="4"/>
          </reference>
          <reference field="6" count="4">
            <x v="3"/>
            <x v="4"/>
            <x v="17"/>
            <x v="18"/>
          </reference>
        </references>
      </pivotArea>
    </format>
    <format dxfId="784">
      <pivotArea dataOnly="0" labelOnly="1" fieldPosition="0">
        <references count="2">
          <reference field="0" count="1" selected="0">
            <x v="5"/>
          </reference>
          <reference field="6" count="5">
            <x v="3"/>
            <x v="4"/>
            <x v="9"/>
            <x v="17"/>
            <x v="18"/>
          </reference>
        </references>
      </pivotArea>
    </format>
    <format dxfId="783">
      <pivotArea dataOnly="0" labelOnly="1" fieldPosition="0">
        <references count="2">
          <reference field="0" count="1" selected="0">
            <x v="6"/>
          </reference>
          <reference field="6" count="5">
            <x v="3"/>
            <x v="4"/>
            <x v="9"/>
            <x v="17"/>
            <x v="18"/>
          </reference>
        </references>
      </pivotArea>
    </format>
    <format dxfId="782">
      <pivotArea dataOnly="0" labelOnly="1" fieldPosition="0">
        <references count="2">
          <reference field="0" count="1" selected="0">
            <x v="7"/>
          </reference>
          <reference field="6" count="5">
            <x v="3"/>
            <x v="4"/>
            <x v="9"/>
            <x v="17"/>
            <x v="18"/>
          </reference>
        </references>
      </pivotArea>
    </format>
    <format dxfId="781">
      <pivotArea dataOnly="0" labelOnly="1" fieldPosition="0">
        <references count="2">
          <reference field="0" count="1" selected="0">
            <x v="8"/>
          </reference>
          <reference field="6" count="3">
            <x v="3"/>
            <x v="4"/>
            <x v="18"/>
          </reference>
        </references>
      </pivotArea>
    </format>
    <format dxfId="780">
      <pivotArea dataOnly="0" labelOnly="1" fieldPosition="0">
        <references count="2">
          <reference field="0" count="1" selected="0">
            <x v="9"/>
          </reference>
          <reference field="6" count="5">
            <x v="3"/>
            <x v="4"/>
            <x v="9"/>
            <x v="17"/>
            <x v="18"/>
          </reference>
        </references>
      </pivotArea>
    </format>
    <format dxfId="779">
      <pivotArea dataOnly="0" labelOnly="1" fieldPosition="0">
        <references count="2">
          <reference field="0" count="1" selected="0">
            <x v="10"/>
          </reference>
          <reference field="6" count="6">
            <x v="3"/>
            <x v="4"/>
            <x v="6"/>
            <x v="9"/>
            <x v="17"/>
            <x v="18"/>
          </reference>
        </references>
      </pivotArea>
    </format>
    <format dxfId="778">
      <pivotArea dataOnly="0" labelOnly="1" fieldPosition="0">
        <references count="2">
          <reference field="0" count="1" selected="0">
            <x v="11"/>
          </reference>
          <reference field="6" count="4">
            <x v="3"/>
            <x v="4"/>
            <x v="9"/>
            <x v="17"/>
          </reference>
        </references>
      </pivotArea>
    </format>
    <format dxfId="777">
      <pivotArea field="0" grandCol="1" collapsedLevelsAreSubtotals="1" axis="axisRow" fieldPosition="0">
        <references count="1">
          <reference field="0" count="1">
            <x v="0"/>
          </reference>
        </references>
      </pivotArea>
    </format>
    <format dxfId="776">
      <pivotArea field="0" grandCol="1" collapsedLevelsAreSubtotals="1" axis="axisRow" fieldPosition="0">
        <references count="1">
          <reference field="0" count="1">
            <x v="1"/>
          </reference>
        </references>
      </pivotArea>
    </format>
    <format dxfId="775">
      <pivotArea collapsedLevelsAreSubtotals="1" fieldPosition="0">
        <references count="1">
          <reference field="0" count="1">
            <x v="0"/>
          </reference>
        </references>
      </pivotArea>
    </format>
    <format dxfId="774">
      <pivotArea dataOnly="0" labelOnly="1" fieldPosition="0">
        <references count="1">
          <reference field="0" count="1">
            <x v="0"/>
          </reference>
        </references>
      </pivotArea>
    </format>
    <format dxfId="773">
      <pivotArea collapsedLevelsAreSubtotals="1" fieldPosition="0">
        <references count="1">
          <reference field="0" count="1">
            <x v="1"/>
          </reference>
        </references>
      </pivotArea>
    </format>
    <format dxfId="772">
      <pivotArea dataOnly="0" labelOnly="1" fieldPosition="0">
        <references count="1">
          <reference field="0" count="1">
            <x v="1"/>
          </reference>
        </references>
      </pivotArea>
    </format>
    <format dxfId="771">
      <pivotArea collapsedLevelsAreSubtotals="1" fieldPosition="0">
        <references count="1">
          <reference field="0" count="1">
            <x v="2"/>
          </reference>
        </references>
      </pivotArea>
    </format>
    <format dxfId="770">
      <pivotArea dataOnly="0" labelOnly="1" fieldPosition="0">
        <references count="1">
          <reference field="0" count="1">
            <x v="2"/>
          </reference>
        </references>
      </pivotArea>
    </format>
    <format dxfId="769">
      <pivotArea collapsedLevelsAreSubtotals="1" fieldPosition="0">
        <references count="1">
          <reference field="0" count="1">
            <x v="3"/>
          </reference>
        </references>
      </pivotArea>
    </format>
    <format dxfId="768">
      <pivotArea dataOnly="0" labelOnly="1" fieldPosition="0">
        <references count="1">
          <reference field="0" count="1">
            <x v="3"/>
          </reference>
        </references>
      </pivotArea>
    </format>
    <format dxfId="767">
      <pivotArea collapsedLevelsAreSubtotals="1" fieldPosition="0">
        <references count="1">
          <reference field="0" count="1">
            <x v="4"/>
          </reference>
        </references>
      </pivotArea>
    </format>
    <format dxfId="766">
      <pivotArea dataOnly="0" labelOnly="1" fieldPosition="0">
        <references count="1">
          <reference field="0" count="1">
            <x v="4"/>
          </reference>
        </references>
      </pivotArea>
    </format>
    <format dxfId="765">
      <pivotArea collapsedLevelsAreSubtotals="1" fieldPosition="0">
        <references count="1">
          <reference field="0" count="1">
            <x v="5"/>
          </reference>
        </references>
      </pivotArea>
    </format>
    <format dxfId="764">
      <pivotArea dataOnly="0" labelOnly="1" fieldPosition="0">
        <references count="1">
          <reference field="0" count="1">
            <x v="5"/>
          </reference>
        </references>
      </pivotArea>
    </format>
    <format dxfId="763">
      <pivotArea collapsedLevelsAreSubtotals="1" fieldPosition="0">
        <references count="1">
          <reference field="0" count="1">
            <x v="6"/>
          </reference>
        </references>
      </pivotArea>
    </format>
    <format dxfId="762">
      <pivotArea dataOnly="0" labelOnly="1" fieldPosition="0">
        <references count="1">
          <reference field="0" count="1">
            <x v="6"/>
          </reference>
        </references>
      </pivotArea>
    </format>
    <format dxfId="761">
      <pivotArea collapsedLevelsAreSubtotals="1" fieldPosition="0">
        <references count="1">
          <reference field="0" count="1">
            <x v="7"/>
          </reference>
        </references>
      </pivotArea>
    </format>
    <format dxfId="760">
      <pivotArea dataOnly="0" labelOnly="1" fieldPosition="0">
        <references count="1">
          <reference field="0" count="1">
            <x v="7"/>
          </reference>
        </references>
      </pivotArea>
    </format>
    <format dxfId="759">
      <pivotArea collapsedLevelsAreSubtotals="1" fieldPosition="0">
        <references count="1">
          <reference field="0" count="1">
            <x v="8"/>
          </reference>
        </references>
      </pivotArea>
    </format>
    <format dxfId="758">
      <pivotArea dataOnly="0" labelOnly="1" fieldPosition="0">
        <references count="1">
          <reference field="0" count="1">
            <x v="8"/>
          </reference>
        </references>
      </pivotArea>
    </format>
    <format dxfId="757">
      <pivotArea collapsedLevelsAreSubtotals="1" fieldPosition="0">
        <references count="1">
          <reference field="0" count="1">
            <x v="9"/>
          </reference>
        </references>
      </pivotArea>
    </format>
    <format dxfId="756">
      <pivotArea dataOnly="0" labelOnly="1" fieldPosition="0">
        <references count="1">
          <reference field="0" count="1">
            <x v="9"/>
          </reference>
        </references>
      </pivotArea>
    </format>
    <format dxfId="755">
      <pivotArea collapsedLevelsAreSubtotals="1" fieldPosition="0">
        <references count="1">
          <reference field="0" count="1">
            <x v="10"/>
          </reference>
        </references>
      </pivotArea>
    </format>
    <format dxfId="754">
      <pivotArea dataOnly="0" labelOnly="1" fieldPosition="0">
        <references count="1">
          <reference field="0" count="1">
            <x v="10"/>
          </reference>
        </references>
      </pivotArea>
    </format>
    <format dxfId="753">
      <pivotArea collapsedLevelsAreSubtotals="1" fieldPosition="0">
        <references count="1">
          <reference field="0" count="1">
            <x v="11"/>
          </reference>
        </references>
      </pivotArea>
    </format>
    <format dxfId="752">
      <pivotArea dataOnly="0" labelOnly="1" fieldPosition="0">
        <references count="1">
          <reference field="0" count="1">
            <x v="11"/>
          </reference>
        </references>
      </pivotArea>
    </format>
    <format dxfId="751">
      <pivotArea collapsedLevelsAreSubtotals="1" fieldPosition="0">
        <references count="2">
          <reference field="0" count="1" selected="0">
            <x v="4"/>
          </reference>
          <reference field="6" count="1">
            <x v="9"/>
          </reference>
        </references>
      </pivotArea>
    </format>
    <format dxfId="750">
      <pivotArea dataOnly="0" labelOnly="1" fieldPosition="0">
        <references count="2">
          <reference field="0" count="1" selected="0">
            <x v="4"/>
          </reference>
          <reference field="6" count="1">
            <x v="9"/>
          </reference>
        </references>
      </pivotArea>
    </format>
    <format dxfId="749">
      <pivotArea collapsedLevelsAreSubtotals="1" fieldPosition="0">
        <references count="2">
          <reference field="0" count="1" selected="0">
            <x v="4"/>
          </reference>
          <reference field="6" count="1">
            <x v="9"/>
          </reference>
        </references>
      </pivotArea>
    </format>
    <format dxfId="748">
      <pivotArea dataOnly="0" labelOnly="1" fieldPosition="0">
        <references count="2">
          <reference field="0" count="1" selected="0">
            <x v="4"/>
          </reference>
          <reference field="6" count="1">
            <x v="9"/>
          </reference>
        </references>
      </pivotArea>
    </format>
    <format dxfId="747">
      <pivotArea collapsedLevelsAreSubtotals="1" fieldPosition="0">
        <references count="2">
          <reference field="0" count="1" selected="0">
            <x v="4"/>
          </reference>
          <reference field="6" count="1">
            <x v="9"/>
          </reference>
        </references>
      </pivotArea>
    </format>
    <format dxfId="746">
      <pivotArea dataOnly="0" labelOnly="1" fieldPosition="0">
        <references count="2">
          <reference field="0" count="1" selected="0">
            <x v="4"/>
          </reference>
          <reference field="6" count="1">
            <x v="9"/>
          </reference>
        </references>
      </pivotArea>
    </format>
    <format dxfId="745">
      <pivotArea collapsedLevelsAreSubtotals="1" fieldPosition="0">
        <references count="2">
          <reference field="0" count="1" selected="0">
            <x v="4"/>
          </reference>
          <reference field="6" count="1">
            <x v="9"/>
          </reference>
        </references>
      </pivotArea>
    </format>
    <format dxfId="744">
      <pivotArea dataOnly="0" labelOnly="1" fieldPosition="0">
        <references count="2">
          <reference field="0" count="1" selected="0">
            <x v="4"/>
          </reference>
          <reference field="6" count="1">
            <x v="9"/>
          </reference>
        </references>
      </pivotArea>
    </format>
    <format dxfId="743">
      <pivotArea collapsedLevelsAreSubtotals="1" fieldPosition="0">
        <references count="3">
          <reference field="0" count="1" selected="0">
            <x v="4"/>
          </reference>
          <reference field="6" count="1">
            <x v="9"/>
          </reference>
          <reference field="7" count="1" selected="0">
            <x v="5"/>
          </reference>
        </references>
      </pivotArea>
    </format>
    <format dxfId="742">
      <pivotArea field="6" grandCol="1" collapsedLevelsAreSubtotals="1" axis="axisRow" fieldPosition="1">
        <references count="2">
          <reference field="0" count="1" selected="0">
            <x v="4"/>
          </reference>
          <reference field="6" count="1">
            <x v="9"/>
          </reference>
        </references>
      </pivotArea>
    </format>
    <format dxfId="741">
      <pivotArea collapsedLevelsAreSubtotals="1" fieldPosition="0">
        <references count="1">
          <reference field="0" count="1">
            <x v="0"/>
          </reference>
        </references>
      </pivotArea>
    </format>
    <format dxfId="740">
      <pivotArea collapsedLevelsAreSubtotals="1" fieldPosition="0">
        <references count="1">
          <reference field="0" count="1">
            <x v="0"/>
          </reference>
        </references>
      </pivotArea>
    </format>
    <format dxfId="739">
      <pivotArea collapsedLevelsAreSubtotals="1" fieldPosition="0">
        <references count="1">
          <reference field="0" count="1">
            <x v="1"/>
          </reference>
        </references>
      </pivotArea>
    </format>
    <format dxfId="738">
      <pivotArea collapsedLevelsAreSubtotals="1" fieldPosition="0">
        <references count="1">
          <reference field="0" count="1">
            <x v="2"/>
          </reference>
        </references>
      </pivotArea>
    </format>
    <format dxfId="737">
      <pivotArea collapsedLevelsAreSubtotals="1" fieldPosition="0">
        <references count="1">
          <reference field="0" count="1">
            <x v="3"/>
          </reference>
        </references>
      </pivotArea>
    </format>
    <format dxfId="736">
      <pivotArea collapsedLevelsAreSubtotals="1" fieldPosition="0">
        <references count="1">
          <reference field="0" count="1">
            <x v="4"/>
          </reference>
        </references>
      </pivotArea>
    </format>
    <format dxfId="735">
      <pivotArea collapsedLevelsAreSubtotals="1" fieldPosition="0">
        <references count="1">
          <reference field="0" count="1">
            <x v="5"/>
          </reference>
        </references>
      </pivotArea>
    </format>
    <format dxfId="734">
      <pivotArea collapsedLevelsAreSubtotals="1" fieldPosition="0">
        <references count="1">
          <reference field="0" count="1">
            <x v="6"/>
          </reference>
        </references>
      </pivotArea>
    </format>
    <format dxfId="733">
      <pivotArea collapsedLevelsAreSubtotals="1" fieldPosition="0">
        <references count="1">
          <reference field="0" count="1">
            <x v="7"/>
          </reference>
        </references>
      </pivotArea>
    </format>
    <format dxfId="732">
      <pivotArea collapsedLevelsAreSubtotals="1" fieldPosition="0">
        <references count="1">
          <reference field="0" count="1">
            <x v="8"/>
          </reference>
        </references>
      </pivotArea>
    </format>
    <format dxfId="731">
      <pivotArea collapsedLevelsAreSubtotals="1" fieldPosition="0">
        <references count="1">
          <reference field="0" count="1">
            <x v="9"/>
          </reference>
        </references>
      </pivotArea>
    </format>
    <format dxfId="730">
      <pivotArea collapsedLevelsAreSubtotals="1" fieldPosition="0">
        <references count="1">
          <reference field="0" count="1">
            <x v="10"/>
          </reference>
        </references>
      </pivotArea>
    </format>
    <format dxfId="729">
      <pivotArea collapsedLevelsAreSubtotals="1" fieldPosition="0">
        <references count="1">
          <reference field="0" count="1">
            <x v="11"/>
          </reference>
        </references>
      </pivotArea>
    </format>
    <format dxfId="728">
      <pivotArea collapsedLevelsAreSubtotals="1" fieldPosition="0">
        <references count="2">
          <reference field="0" count="1" selected="0">
            <x v="11"/>
          </reference>
          <reference field="6" count="1">
            <x v="18"/>
          </reference>
        </references>
      </pivotArea>
    </format>
    <format dxfId="727">
      <pivotArea collapsedLevelsAreSubtotals="1" fieldPosition="0">
        <references count="1">
          <reference field="0" count="1">
            <x v="12"/>
          </reference>
        </references>
      </pivotArea>
    </format>
    <format dxfId="726">
      <pivotArea collapsedLevelsAreSubtotals="1" fieldPosition="0">
        <references count="2">
          <reference field="0" count="1" selected="0">
            <x v="12"/>
          </reference>
          <reference field="6" count="2">
            <x v="3"/>
            <x v="17"/>
          </reference>
        </references>
      </pivotArea>
    </format>
    <format dxfId="725">
      <pivotArea collapsedLevelsAreSubtotals="1" fieldPosition="0">
        <references count="1">
          <reference field="0" count="1">
            <x v="13"/>
          </reference>
        </references>
      </pivotArea>
    </format>
    <format dxfId="724">
      <pivotArea collapsedLevelsAreSubtotals="1" fieldPosition="0">
        <references count="2">
          <reference field="0" count="1" selected="0">
            <x v="13"/>
          </reference>
          <reference field="6" count="3">
            <x v="3"/>
            <x v="9"/>
            <x v="17"/>
          </reference>
        </references>
      </pivotArea>
    </format>
    <format dxfId="723">
      <pivotArea dataOnly="0" labelOnly="1" fieldPosition="0">
        <references count="1">
          <reference field="0" count="2">
            <x v="12"/>
            <x v="13"/>
          </reference>
        </references>
      </pivotArea>
    </format>
    <format dxfId="722">
      <pivotArea dataOnly="0" labelOnly="1" fieldPosition="0">
        <references count="2">
          <reference field="0" count="1" selected="0">
            <x v="11"/>
          </reference>
          <reference field="6" count="1">
            <x v="18"/>
          </reference>
        </references>
      </pivotArea>
    </format>
    <format dxfId="721">
      <pivotArea dataOnly="0" labelOnly="1" fieldPosition="0">
        <references count="2">
          <reference field="0" count="1" selected="0">
            <x v="12"/>
          </reference>
          <reference field="6" count="2">
            <x v="3"/>
            <x v="17"/>
          </reference>
        </references>
      </pivotArea>
    </format>
    <format dxfId="720">
      <pivotArea dataOnly="0" labelOnly="1" fieldPosition="0">
        <references count="2">
          <reference field="0" count="1" selected="0">
            <x v="13"/>
          </reference>
          <reference field="6" count="3">
            <x v="3"/>
            <x v="9"/>
            <x v="17"/>
          </reference>
        </references>
      </pivotArea>
    </format>
    <format dxfId="719">
      <pivotArea dataOnly="0" fieldPosition="0">
        <references count="1">
          <reference field="0" count="1">
            <x v="12"/>
          </reference>
        </references>
      </pivotArea>
    </format>
    <format dxfId="718">
      <pivotArea dataOnly="0" fieldPosition="0">
        <references count="1">
          <reference field="0" count="1">
            <x v="12"/>
          </reference>
        </references>
      </pivotArea>
    </format>
    <format dxfId="717">
      <pivotArea collapsedLevelsAreSubtotals="1" fieldPosition="0">
        <references count="1">
          <reference field="0" count="1">
            <x v="13"/>
          </reference>
        </references>
      </pivotArea>
    </format>
    <format dxfId="716">
      <pivotArea dataOnly="0" labelOnly="1" fieldPosition="0">
        <references count="1">
          <reference field="0" count="1">
            <x v="13"/>
          </reference>
        </references>
      </pivotArea>
    </format>
    <format dxfId="715">
      <pivotArea collapsedLevelsAreSubtotals="1" fieldPosition="0">
        <references count="1">
          <reference field="0" count="1">
            <x v="13"/>
          </reference>
        </references>
      </pivotArea>
    </format>
    <format dxfId="714">
      <pivotArea dataOnly="0" labelOnly="1" fieldPosition="0">
        <references count="1">
          <reference field="0" count="1">
            <x v="13"/>
          </reference>
        </references>
      </pivotArea>
    </format>
    <format dxfId="713">
      <pivotArea collapsedLevelsAreSubtotals="1" fieldPosition="0">
        <references count="3">
          <reference field="0" count="1" selected="0">
            <x v="11"/>
          </reference>
          <reference field="6" count="1">
            <x v="18"/>
          </reference>
          <reference field="7" count="1" selected="0">
            <x v="6"/>
          </reference>
        </references>
      </pivotArea>
    </format>
    <format dxfId="712">
      <pivotArea field="6" grandCol="1" collapsedLevelsAreSubtotals="1" axis="axisRow" fieldPosition="1">
        <references count="2">
          <reference field="0" count="1" selected="0">
            <x v="11"/>
          </reference>
          <reference field="6" count="1">
            <x v="18"/>
          </reference>
        </references>
      </pivotArea>
    </format>
    <format dxfId="711">
      <pivotArea collapsedLevelsAreSubtotals="1" fieldPosition="0">
        <references count="2">
          <reference field="0" count="1">
            <x v="12"/>
          </reference>
          <reference field="7" count="1" selected="0">
            <x v="6"/>
          </reference>
        </references>
      </pivotArea>
    </format>
    <format dxfId="710">
      <pivotArea field="0" grandCol="1" collapsedLevelsAreSubtotals="1" axis="axisRow" fieldPosition="0">
        <references count="1">
          <reference field="0" count="1">
            <x v="12"/>
          </reference>
        </references>
      </pivotArea>
    </format>
    <format dxfId="709">
      <pivotArea collapsedLevelsAreSubtotals="1" fieldPosition="0">
        <references count="3">
          <reference field="0" count="1" selected="0">
            <x v="12"/>
          </reference>
          <reference field="6" count="2">
            <x v="3"/>
            <x v="17"/>
          </reference>
          <reference field="7" count="1" selected="0">
            <x v="6"/>
          </reference>
        </references>
      </pivotArea>
    </format>
    <format dxfId="708">
      <pivotArea field="6" grandCol="1" collapsedLevelsAreSubtotals="1" axis="axisRow" fieldPosition="1">
        <references count="2">
          <reference field="0" count="1" selected="0">
            <x v="12"/>
          </reference>
          <reference field="6" count="2">
            <x v="3"/>
            <x v="17"/>
          </reference>
        </references>
      </pivotArea>
    </format>
    <format dxfId="707">
      <pivotArea collapsedLevelsAreSubtotals="1" fieldPosition="0">
        <references count="2">
          <reference field="0" count="1">
            <x v="13"/>
          </reference>
          <reference field="7" count="1" selected="0">
            <x v="6"/>
          </reference>
        </references>
      </pivotArea>
    </format>
    <format dxfId="706">
      <pivotArea field="0" grandCol="1" collapsedLevelsAreSubtotals="1" axis="axisRow" fieldPosition="0">
        <references count="1">
          <reference field="0" count="1">
            <x v="13"/>
          </reference>
        </references>
      </pivotArea>
    </format>
    <format dxfId="705">
      <pivotArea collapsedLevelsAreSubtotals="1" fieldPosition="0">
        <references count="3">
          <reference field="0" count="1" selected="0">
            <x v="13"/>
          </reference>
          <reference field="6" count="3">
            <x v="3"/>
            <x v="9"/>
            <x v="17"/>
          </reference>
          <reference field="7" count="1" selected="0">
            <x v="6"/>
          </reference>
        </references>
      </pivotArea>
    </format>
    <format dxfId="704">
      <pivotArea field="6" grandCol="1" collapsedLevelsAreSubtotals="1" axis="axisRow" fieldPosition="1">
        <references count="2">
          <reference field="0" count="1" selected="0">
            <x v="13"/>
          </reference>
          <reference field="6" count="3">
            <x v="3"/>
            <x v="9"/>
            <x v="17"/>
          </reference>
        </references>
      </pivotArea>
    </format>
    <format dxfId="703">
      <pivotArea collapsedLevelsAreSubtotals="1" fieldPosition="0">
        <references count="2">
          <reference field="0" count="1" selected="0">
            <x v="4"/>
          </reference>
          <reference field="6" count="1">
            <x v="21"/>
          </reference>
        </references>
      </pivotArea>
    </format>
    <format dxfId="702">
      <pivotArea dataOnly="0" labelOnly="1" fieldPosition="0">
        <references count="2">
          <reference field="0" count="1" selected="0">
            <x v="4"/>
          </reference>
          <reference field="6" count="1">
            <x v="21"/>
          </reference>
        </references>
      </pivotArea>
    </format>
    <format dxfId="701">
      <pivotArea collapsedLevelsAreSubtotals="1" fieldPosition="0">
        <references count="2">
          <reference field="0" count="1" selected="0">
            <x v="4"/>
          </reference>
          <reference field="6" count="1">
            <x v="21"/>
          </reference>
        </references>
      </pivotArea>
    </format>
    <format dxfId="700">
      <pivotArea dataOnly="0" labelOnly="1" fieldPosition="0">
        <references count="2">
          <reference field="0" count="1" selected="0">
            <x v="4"/>
          </reference>
          <reference field="6" count="1">
            <x v="21"/>
          </reference>
        </references>
      </pivotArea>
    </format>
    <format dxfId="699">
      <pivotArea dataOnly="0" labelOnly="1" fieldPosition="0">
        <references count="2">
          <reference field="0" count="1" selected="0">
            <x v="4"/>
          </reference>
          <reference field="6" count="1">
            <x v="21"/>
          </reference>
        </references>
      </pivotArea>
    </format>
    <format dxfId="698">
      <pivotArea collapsedLevelsAreSubtotals="1" fieldPosition="0">
        <references count="3">
          <reference field="0" count="1" selected="0">
            <x v="11"/>
          </reference>
          <reference field="6" count="1">
            <x v="18"/>
          </reference>
          <reference field="7" count="1" selected="0">
            <x v="0"/>
          </reference>
        </references>
      </pivotArea>
    </format>
  </formats>
  <chartFormats count="6">
    <chartFormat chart="3" format="114" series="1">
      <pivotArea type="data" outline="0" fieldPosition="0">
        <references count="1">
          <reference field="7" count="1" selected="0">
            <x v="0"/>
          </reference>
        </references>
      </pivotArea>
    </chartFormat>
    <chartFormat chart="3" format="115" series="1">
      <pivotArea type="data" outline="0" fieldPosition="0">
        <references count="1">
          <reference field="7" count="1" selected="0">
            <x v="1"/>
          </reference>
        </references>
      </pivotArea>
    </chartFormat>
    <chartFormat chart="3" format="116" series="1">
      <pivotArea type="data" outline="0" fieldPosition="0">
        <references count="1">
          <reference field="7" count="1" selected="0">
            <x v="3"/>
          </reference>
        </references>
      </pivotArea>
    </chartFormat>
    <chartFormat chart="3" format="117" series="1">
      <pivotArea type="data" outline="0" fieldPosition="0">
        <references count="1">
          <reference field="7" count="1" selected="0">
            <x v="4"/>
          </reference>
        </references>
      </pivotArea>
    </chartFormat>
    <chartFormat chart="3" format="118" series="1">
      <pivotArea type="data" outline="0" fieldPosition="0">
        <references count="1">
          <reference field="7" count="1" selected="0">
            <x v="5"/>
          </reference>
        </references>
      </pivotArea>
    </chartFormat>
    <chartFormat chart="3" format="119" series="1">
      <pivotArea type="data" outline="0" fieldPosition="0">
        <references count="1">
          <reference field="7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3.xml><?xml version="1.0" encoding="utf-8"?>
<pivotTableDefinition xmlns="http://schemas.openxmlformats.org/spreadsheetml/2006/main" name="TablaDinámica1" cacheId="6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4" rowHeaderCaption="Técnico Básico" colHeaderCaption="">
  <location ref="A3:M80" firstHeaderRow="1" firstDataRow="2" firstDataCol="1"/>
  <pivotFields count="21">
    <pivotField axis="axisRow" showAll="0">
      <items count="17">
        <item x="0"/>
        <item x="1"/>
        <item x="2"/>
        <item x="3"/>
        <item x="5"/>
        <item x="6"/>
        <item x="7"/>
        <item x="9"/>
        <item x="11"/>
        <item x="12"/>
        <item x="13"/>
        <item x="4"/>
        <item x="8"/>
        <item x="10"/>
        <item m="1" x="14"/>
        <item m="1" x="15"/>
        <item t="default"/>
      </items>
    </pivotField>
    <pivotField showAll="0" defaultSubtotal="0"/>
    <pivotField showAll="0" defaultSubtotal="0"/>
    <pivotField showAll="0" defaultSubtotal="0"/>
    <pivotField showAll="0"/>
    <pivotField showAll="0"/>
    <pivotField axis="axisRow" showAll="0">
      <items count="30">
        <item x="2"/>
        <item m="1" x="22"/>
        <item x="1"/>
        <item m="1" x="15"/>
        <item m="1" x="19"/>
        <item m="1" x="11"/>
        <item m="1" x="27"/>
        <item m="1" x="17"/>
        <item m="1" x="18"/>
        <item x="3"/>
        <item m="1" x="14"/>
        <item m="1" x="24"/>
        <item m="1" x="25"/>
        <item m="1" x="10"/>
        <item x="0"/>
        <item m="1" x="20"/>
        <item m="1" x="12"/>
        <item m="1" x="26"/>
        <item m="1" x="6"/>
        <item m="1" x="8"/>
        <item m="1" x="21"/>
        <item m="1" x="16"/>
        <item m="1" x="9"/>
        <item m="1" x="13"/>
        <item m="1" x="28"/>
        <item m="1" x="7"/>
        <item m="1" x="23"/>
        <item x="4"/>
        <item x="5"/>
        <item t="default"/>
      </items>
    </pivotField>
    <pivotField axis="axisCol" showAll="0">
      <items count="14">
        <item x="1"/>
        <item x="7"/>
        <item m="1" x="12"/>
        <item x="6"/>
        <item x="2"/>
        <item n="NVOS PROY." x="8"/>
        <item x="0"/>
        <item m="1" x="11"/>
        <item x="3"/>
        <item x="4"/>
        <item x="5"/>
        <item x="9"/>
        <item x="10"/>
        <item t="default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2">
    <field x="0"/>
    <field x="6"/>
  </rowFields>
  <rowItems count="76">
    <i>
      <x/>
    </i>
    <i r="1">
      <x/>
    </i>
    <i r="1">
      <x v="2"/>
    </i>
    <i r="1">
      <x v="9"/>
    </i>
    <i r="1">
      <x v="14"/>
    </i>
    <i r="1">
      <x v="27"/>
    </i>
    <i>
      <x v="1"/>
    </i>
    <i r="1">
      <x v="2"/>
    </i>
    <i r="1">
      <x v="9"/>
    </i>
    <i r="1">
      <x v="14"/>
    </i>
    <i>
      <x v="2"/>
    </i>
    <i r="1">
      <x/>
    </i>
    <i r="1">
      <x v="2"/>
    </i>
    <i r="1">
      <x v="9"/>
    </i>
    <i r="1">
      <x v="14"/>
    </i>
    <i r="1">
      <x v="27"/>
    </i>
    <i>
      <x v="3"/>
    </i>
    <i r="1">
      <x/>
    </i>
    <i r="1">
      <x v="2"/>
    </i>
    <i r="1">
      <x v="9"/>
    </i>
    <i r="1">
      <x v="14"/>
    </i>
    <i r="1">
      <x v="27"/>
    </i>
    <i>
      <x v="4"/>
    </i>
    <i r="1">
      <x/>
    </i>
    <i r="1">
      <x v="2"/>
    </i>
    <i r="1">
      <x v="9"/>
    </i>
    <i r="1">
      <x v="14"/>
    </i>
    <i r="1">
      <x v="27"/>
    </i>
    <i r="1">
      <x v="28"/>
    </i>
    <i>
      <x v="5"/>
    </i>
    <i r="1">
      <x/>
    </i>
    <i r="1">
      <x v="2"/>
    </i>
    <i r="1">
      <x v="9"/>
    </i>
    <i r="1">
      <x v="14"/>
    </i>
    <i r="1">
      <x v="27"/>
    </i>
    <i>
      <x v="6"/>
    </i>
    <i r="1">
      <x/>
    </i>
    <i r="1">
      <x v="2"/>
    </i>
    <i r="1">
      <x v="9"/>
    </i>
    <i r="1">
      <x v="14"/>
    </i>
    <i r="1">
      <x v="27"/>
    </i>
    <i>
      <x v="7"/>
    </i>
    <i r="1">
      <x/>
    </i>
    <i r="1">
      <x v="2"/>
    </i>
    <i r="1">
      <x v="9"/>
    </i>
    <i r="1">
      <x v="14"/>
    </i>
    <i r="1">
      <x v="27"/>
    </i>
    <i>
      <x v="8"/>
    </i>
    <i r="1">
      <x v="2"/>
    </i>
    <i r="1">
      <x v="14"/>
    </i>
    <i>
      <x v="9"/>
    </i>
    <i r="1">
      <x/>
    </i>
    <i r="1">
      <x v="2"/>
    </i>
    <i r="1">
      <x v="9"/>
    </i>
    <i r="1">
      <x v="14"/>
    </i>
    <i r="1">
      <x v="27"/>
    </i>
    <i>
      <x v="10"/>
    </i>
    <i r="1">
      <x/>
    </i>
    <i r="1">
      <x v="2"/>
    </i>
    <i r="1">
      <x v="9"/>
    </i>
    <i r="1">
      <x v="14"/>
    </i>
    <i r="1">
      <x v="27"/>
    </i>
    <i>
      <x v="11"/>
    </i>
    <i r="1">
      <x/>
    </i>
    <i r="1">
      <x v="2"/>
    </i>
    <i r="1">
      <x v="9"/>
    </i>
    <i r="1">
      <x v="14"/>
    </i>
    <i r="1">
      <x v="27"/>
    </i>
    <i>
      <x v="12"/>
    </i>
    <i r="1">
      <x v="2"/>
    </i>
    <i r="1">
      <x v="14"/>
    </i>
    <i>
      <x v="13"/>
    </i>
    <i r="1">
      <x v="2"/>
    </i>
    <i r="1">
      <x v="9"/>
    </i>
    <i r="1">
      <x v="14"/>
    </i>
    <i t="grand">
      <x/>
    </i>
  </rowItems>
  <colFields count="1">
    <field x="7"/>
  </colFields>
  <colItems count="12">
    <i>
      <x/>
    </i>
    <i>
      <x v="1"/>
    </i>
    <i>
      <x v="3"/>
    </i>
    <i>
      <x v="4"/>
    </i>
    <i>
      <x v="5"/>
    </i>
    <i>
      <x v="6"/>
    </i>
    <i>
      <x v="8"/>
    </i>
    <i>
      <x v="9"/>
    </i>
    <i>
      <x v="10"/>
    </i>
    <i>
      <x v="11"/>
    </i>
    <i>
      <x v="12"/>
    </i>
    <i t="grand">
      <x/>
    </i>
  </colItems>
  <formats count="235">
    <format dxfId="697">
      <pivotArea type="origin" dataOnly="0" labelOnly="1" outline="0" fieldPosition="0"/>
    </format>
    <format dxfId="696">
      <pivotArea field="7" type="button" dataOnly="0" labelOnly="1" outline="0" axis="axisCol" fieldPosition="0"/>
    </format>
    <format dxfId="695">
      <pivotArea type="origin" dataOnly="0" labelOnly="1" outline="0" fieldPosition="0"/>
    </format>
    <format dxfId="694">
      <pivotArea field="7" type="button" dataOnly="0" labelOnly="1" outline="0" axis="axisCol" fieldPosition="0"/>
    </format>
    <format dxfId="693">
      <pivotArea field="0" type="button" dataOnly="0" labelOnly="1" outline="0" axis="axisRow" fieldPosition="0"/>
    </format>
    <format dxfId="692">
      <pivotArea field="0" type="button" dataOnly="0" labelOnly="1" outline="0" axis="axisRow" fieldPosition="0"/>
    </format>
    <format dxfId="691">
      <pivotArea grandRow="1" outline="0" collapsedLevelsAreSubtotals="1" fieldPosition="0"/>
    </format>
    <format dxfId="690">
      <pivotArea collapsedLevelsAreSubtotals="1" fieldPosition="0">
        <references count="1">
          <reference field="0" count="0"/>
        </references>
      </pivotArea>
    </format>
    <format dxfId="689">
      <pivotArea collapsedLevelsAreSubtotals="1" fieldPosition="0">
        <references count="1">
          <reference field="0" count="0"/>
        </references>
      </pivotArea>
    </format>
    <format dxfId="688">
      <pivotArea collapsedLevelsAreSubtotals="1" fieldPosition="0">
        <references count="1">
          <reference field="0" count="1">
            <x v="0"/>
          </reference>
        </references>
      </pivotArea>
    </format>
    <format dxfId="687">
      <pivotArea collapsedLevelsAreSubtotals="1" fieldPosition="0">
        <references count="2">
          <reference field="0" count="1" selected="0">
            <x v="0"/>
          </reference>
          <reference field="6" count="4">
            <x v="3"/>
            <x v="4"/>
            <x v="17"/>
            <x v="18"/>
          </reference>
        </references>
      </pivotArea>
    </format>
    <format dxfId="686">
      <pivotArea collapsedLevelsAreSubtotals="1" fieldPosition="0">
        <references count="1">
          <reference field="0" count="1">
            <x v="1"/>
          </reference>
        </references>
      </pivotArea>
    </format>
    <format dxfId="685">
      <pivotArea collapsedLevelsAreSubtotals="1" fieldPosition="0">
        <references count="2">
          <reference field="0" count="1" selected="0">
            <x v="1"/>
          </reference>
          <reference field="6" count="3">
            <x v="3"/>
            <x v="9"/>
            <x v="17"/>
          </reference>
        </references>
      </pivotArea>
    </format>
    <format dxfId="684">
      <pivotArea collapsedLevelsAreSubtotals="1" fieldPosition="0">
        <references count="1">
          <reference field="0" count="1">
            <x v="2"/>
          </reference>
        </references>
      </pivotArea>
    </format>
    <format dxfId="683">
      <pivotArea collapsedLevelsAreSubtotals="1" fieldPosition="0">
        <references count="2">
          <reference field="0" count="1" selected="0">
            <x v="2"/>
          </reference>
          <reference field="6" count="2">
            <x v="3"/>
            <x v="17"/>
          </reference>
        </references>
      </pivotArea>
    </format>
    <format dxfId="682">
      <pivotArea collapsedLevelsAreSubtotals="1" fieldPosition="0">
        <references count="1">
          <reference field="0" count="1">
            <x v="3"/>
          </reference>
        </references>
      </pivotArea>
    </format>
    <format dxfId="681">
      <pivotArea collapsedLevelsAreSubtotals="1" fieldPosition="0">
        <references count="2">
          <reference field="0" count="1" selected="0">
            <x v="3"/>
          </reference>
          <reference field="6" count="7">
            <x v="3"/>
            <x v="4"/>
            <x v="7"/>
            <x v="9"/>
            <x v="17"/>
            <x v="18"/>
            <x v="21"/>
          </reference>
        </references>
      </pivotArea>
    </format>
    <format dxfId="680">
      <pivotArea collapsedLevelsAreSubtotals="1" fieldPosition="0">
        <references count="1">
          <reference field="0" count="1">
            <x v="4"/>
          </reference>
        </references>
      </pivotArea>
    </format>
    <format dxfId="679">
      <pivotArea collapsedLevelsAreSubtotals="1" fieldPosition="0">
        <references count="2">
          <reference field="0" count="1" selected="0">
            <x v="4"/>
          </reference>
          <reference field="6" count="4">
            <x v="3"/>
            <x v="4"/>
            <x v="17"/>
            <x v="18"/>
          </reference>
        </references>
      </pivotArea>
    </format>
    <format dxfId="678">
      <pivotArea collapsedLevelsAreSubtotals="1" fieldPosition="0">
        <references count="1">
          <reference field="0" count="1">
            <x v="5"/>
          </reference>
        </references>
      </pivotArea>
    </format>
    <format dxfId="677">
      <pivotArea collapsedLevelsAreSubtotals="1" fieldPosition="0">
        <references count="2">
          <reference field="0" count="1" selected="0">
            <x v="5"/>
          </reference>
          <reference field="6" count="5">
            <x v="3"/>
            <x v="4"/>
            <x v="9"/>
            <x v="17"/>
            <x v="18"/>
          </reference>
        </references>
      </pivotArea>
    </format>
    <format dxfId="676">
      <pivotArea collapsedLevelsAreSubtotals="1" fieldPosition="0">
        <references count="1">
          <reference field="0" count="1">
            <x v="6"/>
          </reference>
        </references>
      </pivotArea>
    </format>
    <format dxfId="675">
      <pivotArea collapsedLevelsAreSubtotals="1" fieldPosition="0">
        <references count="2">
          <reference field="0" count="1" selected="0">
            <x v="6"/>
          </reference>
          <reference field="6" count="5">
            <x v="3"/>
            <x v="4"/>
            <x v="9"/>
            <x v="17"/>
            <x v="18"/>
          </reference>
        </references>
      </pivotArea>
    </format>
    <format dxfId="674">
      <pivotArea collapsedLevelsAreSubtotals="1" fieldPosition="0">
        <references count="1">
          <reference field="0" count="1">
            <x v="7"/>
          </reference>
        </references>
      </pivotArea>
    </format>
    <format dxfId="673">
      <pivotArea collapsedLevelsAreSubtotals="1" fieldPosition="0">
        <references count="2">
          <reference field="0" count="1" selected="0">
            <x v="7"/>
          </reference>
          <reference field="6" count="5">
            <x v="3"/>
            <x v="4"/>
            <x v="9"/>
            <x v="17"/>
            <x v="18"/>
          </reference>
        </references>
      </pivotArea>
    </format>
    <format dxfId="672">
      <pivotArea collapsedLevelsAreSubtotals="1" fieldPosition="0">
        <references count="1">
          <reference field="0" count="1">
            <x v="8"/>
          </reference>
        </references>
      </pivotArea>
    </format>
    <format dxfId="671">
      <pivotArea collapsedLevelsAreSubtotals="1" fieldPosition="0">
        <references count="2">
          <reference field="0" count="1" selected="0">
            <x v="8"/>
          </reference>
          <reference field="6" count="3">
            <x v="3"/>
            <x v="4"/>
            <x v="18"/>
          </reference>
        </references>
      </pivotArea>
    </format>
    <format dxfId="670">
      <pivotArea collapsedLevelsAreSubtotals="1" fieldPosition="0">
        <references count="1">
          <reference field="0" count="1">
            <x v="9"/>
          </reference>
        </references>
      </pivotArea>
    </format>
    <format dxfId="669">
      <pivotArea collapsedLevelsAreSubtotals="1" fieldPosition="0">
        <references count="2">
          <reference field="0" count="1" selected="0">
            <x v="9"/>
          </reference>
          <reference field="6" count="5">
            <x v="3"/>
            <x v="4"/>
            <x v="9"/>
            <x v="17"/>
            <x v="18"/>
          </reference>
        </references>
      </pivotArea>
    </format>
    <format dxfId="668">
      <pivotArea collapsedLevelsAreSubtotals="1" fieldPosition="0">
        <references count="1">
          <reference field="0" count="1">
            <x v="10"/>
          </reference>
        </references>
      </pivotArea>
    </format>
    <format dxfId="667">
      <pivotArea collapsedLevelsAreSubtotals="1" fieldPosition="0">
        <references count="2">
          <reference field="0" count="1" selected="0">
            <x v="10"/>
          </reference>
          <reference field="6" count="6">
            <x v="3"/>
            <x v="4"/>
            <x v="6"/>
            <x v="9"/>
            <x v="17"/>
            <x v="18"/>
          </reference>
        </references>
      </pivotArea>
    </format>
    <format dxfId="666">
      <pivotArea collapsedLevelsAreSubtotals="1" fieldPosition="0">
        <references count="1">
          <reference field="0" count="1">
            <x v="11"/>
          </reference>
        </references>
      </pivotArea>
    </format>
    <format dxfId="665">
      <pivotArea collapsedLevelsAreSubtotals="1" fieldPosition="0">
        <references count="2">
          <reference field="0" count="1" selected="0">
            <x v="11"/>
          </reference>
          <reference field="6" count="4">
            <x v="3"/>
            <x v="4"/>
            <x v="9"/>
            <x v="17"/>
          </reference>
        </references>
      </pivotArea>
    </format>
    <format dxfId="664">
      <pivotArea collapsedLevelsAreSubtotals="1" fieldPosition="0">
        <references count="1">
          <reference field="0" count="1">
            <x v="0"/>
          </reference>
        </references>
      </pivotArea>
    </format>
    <format dxfId="663">
      <pivotArea collapsedLevelsAreSubtotals="1" fieldPosition="0">
        <references count="2">
          <reference field="0" count="1" selected="0">
            <x v="0"/>
          </reference>
          <reference field="6" count="4">
            <x v="3"/>
            <x v="4"/>
            <x v="17"/>
            <x v="18"/>
          </reference>
        </references>
      </pivotArea>
    </format>
    <format dxfId="662">
      <pivotArea collapsedLevelsAreSubtotals="1" fieldPosition="0">
        <references count="1">
          <reference field="0" count="1">
            <x v="1"/>
          </reference>
        </references>
      </pivotArea>
    </format>
    <format dxfId="661">
      <pivotArea collapsedLevelsAreSubtotals="1" fieldPosition="0">
        <references count="2">
          <reference field="0" count="1" selected="0">
            <x v="1"/>
          </reference>
          <reference field="6" count="3">
            <x v="3"/>
            <x v="9"/>
            <x v="17"/>
          </reference>
        </references>
      </pivotArea>
    </format>
    <format dxfId="660">
      <pivotArea collapsedLevelsAreSubtotals="1" fieldPosition="0">
        <references count="1">
          <reference field="0" count="1">
            <x v="2"/>
          </reference>
        </references>
      </pivotArea>
    </format>
    <format dxfId="659">
      <pivotArea collapsedLevelsAreSubtotals="1" fieldPosition="0">
        <references count="2">
          <reference field="0" count="1" selected="0">
            <x v="2"/>
          </reference>
          <reference field="6" count="2">
            <x v="3"/>
            <x v="17"/>
          </reference>
        </references>
      </pivotArea>
    </format>
    <format dxfId="658">
      <pivotArea collapsedLevelsAreSubtotals="1" fieldPosition="0">
        <references count="1">
          <reference field="0" count="1">
            <x v="3"/>
          </reference>
        </references>
      </pivotArea>
    </format>
    <format dxfId="657">
      <pivotArea collapsedLevelsAreSubtotals="1" fieldPosition="0">
        <references count="2">
          <reference field="0" count="1" selected="0">
            <x v="3"/>
          </reference>
          <reference field="6" count="7">
            <x v="3"/>
            <x v="4"/>
            <x v="7"/>
            <x v="9"/>
            <x v="17"/>
            <x v="18"/>
            <x v="21"/>
          </reference>
        </references>
      </pivotArea>
    </format>
    <format dxfId="656">
      <pivotArea collapsedLevelsAreSubtotals="1" fieldPosition="0">
        <references count="1">
          <reference field="0" count="1">
            <x v="4"/>
          </reference>
        </references>
      </pivotArea>
    </format>
    <format dxfId="655">
      <pivotArea collapsedLevelsAreSubtotals="1" fieldPosition="0">
        <references count="2">
          <reference field="0" count="1" selected="0">
            <x v="4"/>
          </reference>
          <reference field="6" count="4">
            <x v="3"/>
            <x v="4"/>
            <x v="17"/>
            <x v="18"/>
          </reference>
        </references>
      </pivotArea>
    </format>
    <format dxfId="654">
      <pivotArea collapsedLevelsAreSubtotals="1" fieldPosition="0">
        <references count="1">
          <reference field="0" count="1">
            <x v="5"/>
          </reference>
        </references>
      </pivotArea>
    </format>
    <format dxfId="653">
      <pivotArea collapsedLevelsAreSubtotals="1" fieldPosition="0">
        <references count="2">
          <reference field="0" count="1" selected="0">
            <x v="5"/>
          </reference>
          <reference field="6" count="5">
            <x v="3"/>
            <x v="4"/>
            <x v="9"/>
            <x v="17"/>
            <x v="18"/>
          </reference>
        </references>
      </pivotArea>
    </format>
    <format dxfId="652">
      <pivotArea collapsedLevelsAreSubtotals="1" fieldPosition="0">
        <references count="1">
          <reference field="0" count="1">
            <x v="6"/>
          </reference>
        </references>
      </pivotArea>
    </format>
    <format dxfId="651">
      <pivotArea collapsedLevelsAreSubtotals="1" fieldPosition="0">
        <references count="2">
          <reference field="0" count="1" selected="0">
            <x v="6"/>
          </reference>
          <reference field="6" count="5">
            <x v="3"/>
            <x v="4"/>
            <x v="9"/>
            <x v="17"/>
            <x v="18"/>
          </reference>
        </references>
      </pivotArea>
    </format>
    <format dxfId="650">
      <pivotArea collapsedLevelsAreSubtotals="1" fieldPosition="0">
        <references count="1">
          <reference field="0" count="1">
            <x v="7"/>
          </reference>
        </references>
      </pivotArea>
    </format>
    <format dxfId="649">
      <pivotArea collapsedLevelsAreSubtotals="1" fieldPosition="0">
        <references count="2">
          <reference field="0" count="1" selected="0">
            <x v="7"/>
          </reference>
          <reference field="6" count="5">
            <x v="3"/>
            <x v="4"/>
            <x v="9"/>
            <x v="17"/>
            <x v="18"/>
          </reference>
        </references>
      </pivotArea>
    </format>
    <format dxfId="648">
      <pivotArea collapsedLevelsAreSubtotals="1" fieldPosition="0">
        <references count="1">
          <reference field="0" count="1">
            <x v="8"/>
          </reference>
        </references>
      </pivotArea>
    </format>
    <format dxfId="647">
      <pivotArea collapsedLevelsAreSubtotals="1" fieldPosition="0">
        <references count="2">
          <reference field="0" count="1" selected="0">
            <x v="8"/>
          </reference>
          <reference field="6" count="3">
            <x v="3"/>
            <x v="4"/>
            <x v="18"/>
          </reference>
        </references>
      </pivotArea>
    </format>
    <format dxfId="646">
      <pivotArea collapsedLevelsAreSubtotals="1" fieldPosition="0">
        <references count="1">
          <reference field="0" count="1">
            <x v="9"/>
          </reference>
        </references>
      </pivotArea>
    </format>
    <format dxfId="645">
      <pivotArea collapsedLevelsAreSubtotals="1" fieldPosition="0">
        <references count="2">
          <reference field="0" count="1" selected="0">
            <x v="9"/>
          </reference>
          <reference field="6" count="5">
            <x v="3"/>
            <x v="4"/>
            <x v="9"/>
            <x v="17"/>
            <x v="18"/>
          </reference>
        </references>
      </pivotArea>
    </format>
    <format dxfId="644">
      <pivotArea collapsedLevelsAreSubtotals="1" fieldPosition="0">
        <references count="1">
          <reference field="0" count="1">
            <x v="10"/>
          </reference>
        </references>
      </pivotArea>
    </format>
    <format dxfId="643">
      <pivotArea collapsedLevelsAreSubtotals="1" fieldPosition="0">
        <references count="2">
          <reference field="0" count="1" selected="0">
            <x v="10"/>
          </reference>
          <reference field="6" count="6">
            <x v="3"/>
            <x v="4"/>
            <x v="6"/>
            <x v="9"/>
            <x v="17"/>
            <x v="18"/>
          </reference>
        </references>
      </pivotArea>
    </format>
    <format dxfId="642">
      <pivotArea collapsedLevelsAreSubtotals="1" fieldPosition="0">
        <references count="1">
          <reference field="0" count="1">
            <x v="11"/>
          </reference>
        </references>
      </pivotArea>
    </format>
    <format dxfId="641">
      <pivotArea collapsedLevelsAreSubtotals="1" fieldPosition="0">
        <references count="2">
          <reference field="0" count="1" selected="0">
            <x v="11"/>
          </reference>
          <reference field="6" count="4">
            <x v="3"/>
            <x v="4"/>
            <x v="9"/>
            <x v="17"/>
          </reference>
        </references>
      </pivotArea>
    </format>
    <format dxfId="640">
      <pivotArea collapsedLevelsAreSubtotals="1" fieldPosition="0">
        <references count="1">
          <reference field="0" count="1">
            <x v="0"/>
          </reference>
        </references>
      </pivotArea>
    </format>
    <format dxfId="639">
      <pivotArea collapsedLevelsAreSubtotals="1" fieldPosition="0">
        <references count="2">
          <reference field="0" count="1" selected="0">
            <x v="0"/>
          </reference>
          <reference field="6" count="4">
            <x v="3"/>
            <x v="4"/>
            <x v="17"/>
            <x v="18"/>
          </reference>
        </references>
      </pivotArea>
    </format>
    <format dxfId="638">
      <pivotArea collapsedLevelsAreSubtotals="1" fieldPosition="0">
        <references count="1">
          <reference field="0" count="1">
            <x v="1"/>
          </reference>
        </references>
      </pivotArea>
    </format>
    <format dxfId="637">
      <pivotArea collapsedLevelsAreSubtotals="1" fieldPosition="0">
        <references count="2">
          <reference field="0" count="1" selected="0">
            <x v="1"/>
          </reference>
          <reference field="6" count="3">
            <x v="3"/>
            <x v="9"/>
            <x v="17"/>
          </reference>
        </references>
      </pivotArea>
    </format>
    <format dxfId="636">
      <pivotArea collapsedLevelsAreSubtotals="1" fieldPosition="0">
        <references count="1">
          <reference field="0" count="1">
            <x v="2"/>
          </reference>
        </references>
      </pivotArea>
    </format>
    <format dxfId="635">
      <pivotArea collapsedLevelsAreSubtotals="1" fieldPosition="0">
        <references count="2">
          <reference field="0" count="1" selected="0">
            <x v="2"/>
          </reference>
          <reference field="6" count="2">
            <x v="3"/>
            <x v="17"/>
          </reference>
        </references>
      </pivotArea>
    </format>
    <format dxfId="634">
      <pivotArea collapsedLevelsAreSubtotals="1" fieldPosition="0">
        <references count="1">
          <reference field="0" count="1">
            <x v="3"/>
          </reference>
        </references>
      </pivotArea>
    </format>
    <format dxfId="633">
      <pivotArea collapsedLevelsAreSubtotals="1" fieldPosition="0">
        <references count="2">
          <reference field="0" count="1" selected="0">
            <x v="3"/>
          </reference>
          <reference field="6" count="7">
            <x v="3"/>
            <x v="4"/>
            <x v="7"/>
            <x v="9"/>
            <x v="17"/>
            <x v="18"/>
            <x v="21"/>
          </reference>
        </references>
      </pivotArea>
    </format>
    <format dxfId="632">
      <pivotArea collapsedLevelsAreSubtotals="1" fieldPosition="0">
        <references count="1">
          <reference field="0" count="1">
            <x v="4"/>
          </reference>
        </references>
      </pivotArea>
    </format>
    <format dxfId="631">
      <pivotArea collapsedLevelsAreSubtotals="1" fieldPosition="0">
        <references count="2">
          <reference field="0" count="1" selected="0">
            <x v="4"/>
          </reference>
          <reference field="6" count="4">
            <x v="3"/>
            <x v="4"/>
            <x v="17"/>
            <x v="18"/>
          </reference>
        </references>
      </pivotArea>
    </format>
    <format dxfId="630">
      <pivotArea collapsedLevelsAreSubtotals="1" fieldPosition="0">
        <references count="1">
          <reference field="0" count="1">
            <x v="5"/>
          </reference>
        </references>
      </pivotArea>
    </format>
    <format dxfId="629">
      <pivotArea collapsedLevelsAreSubtotals="1" fieldPosition="0">
        <references count="2">
          <reference field="0" count="1" selected="0">
            <x v="5"/>
          </reference>
          <reference field="6" count="5">
            <x v="3"/>
            <x v="4"/>
            <x v="9"/>
            <x v="17"/>
            <x v="18"/>
          </reference>
        </references>
      </pivotArea>
    </format>
    <format dxfId="628">
      <pivotArea collapsedLevelsAreSubtotals="1" fieldPosition="0">
        <references count="1">
          <reference field="0" count="1">
            <x v="6"/>
          </reference>
        </references>
      </pivotArea>
    </format>
    <format dxfId="627">
      <pivotArea collapsedLevelsAreSubtotals="1" fieldPosition="0">
        <references count="2">
          <reference field="0" count="1" selected="0">
            <x v="6"/>
          </reference>
          <reference field="6" count="5">
            <x v="3"/>
            <x v="4"/>
            <x v="9"/>
            <x v="17"/>
            <x v="18"/>
          </reference>
        </references>
      </pivotArea>
    </format>
    <format dxfId="626">
      <pivotArea collapsedLevelsAreSubtotals="1" fieldPosition="0">
        <references count="1">
          <reference field="0" count="1">
            <x v="7"/>
          </reference>
        </references>
      </pivotArea>
    </format>
    <format dxfId="625">
      <pivotArea collapsedLevelsAreSubtotals="1" fieldPosition="0">
        <references count="2">
          <reference field="0" count="1" selected="0">
            <x v="7"/>
          </reference>
          <reference field="6" count="5">
            <x v="3"/>
            <x v="4"/>
            <x v="9"/>
            <x v="17"/>
            <x v="18"/>
          </reference>
        </references>
      </pivotArea>
    </format>
    <format dxfId="624">
      <pivotArea collapsedLevelsAreSubtotals="1" fieldPosition="0">
        <references count="1">
          <reference field="0" count="1">
            <x v="8"/>
          </reference>
        </references>
      </pivotArea>
    </format>
    <format dxfId="623">
      <pivotArea collapsedLevelsAreSubtotals="1" fieldPosition="0">
        <references count="2">
          <reference field="0" count="1" selected="0">
            <x v="8"/>
          </reference>
          <reference field="6" count="3">
            <x v="3"/>
            <x v="4"/>
            <x v="18"/>
          </reference>
        </references>
      </pivotArea>
    </format>
    <format dxfId="622">
      <pivotArea collapsedLevelsAreSubtotals="1" fieldPosition="0">
        <references count="1">
          <reference field="0" count="1">
            <x v="9"/>
          </reference>
        </references>
      </pivotArea>
    </format>
    <format dxfId="621">
      <pivotArea collapsedLevelsAreSubtotals="1" fieldPosition="0">
        <references count="2">
          <reference field="0" count="1" selected="0">
            <x v="9"/>
          </reference>
          <reference field="6" count="5">
            <x v="3"/>
            <x v="4"/>
            <x v="9"/>
            <x v="17"/>
            <x v="18"/>
          </reference>
        </references>
      </pivotArea>
    </format>
    <format dxfId="620">
      <pivotArea collapsedLevelsAreSubtotals="1" fieldPosition="0">
        <references count="1">
          <reference field="0" count="1">
            <x v="10"/>
          </reference>
        </references>
      </pivotArea>
    </format>
    <format dxfId="619">
      <pivotArea collapsedLevelsAreSubtotals="1" fieldPosition="0">
        <references count="2">
          <reference field="0" count="1" selected="0">
            <x v="10"/>
          </reference>
          <reference field="6" count="6">
            <x v="3"/>
            <x v="4"/>
            <x v="6"/>
            <x v="9"/>
            <x v="17"/>
            <x v="18"/>
          </reference>
        </references>
      </pivotArea>
    </format>
    <format dxfId="618">
      <pivotArea collapsedLevelsAreSubtotals="1" fieldPosition="0">
        <references count="1">
          <reference field="0" count="1">
            <x v="11"/>
          </reference>
        </references>
      </pivotArea>
    </format>
    <format dxfId="617">
      <pivotArea collapsedLevelsAreSubtotals="1" fieldPosition="0">
        <references count="2">
          <reference field="0" count="1" selected="0">
            <x v="11"/>
          </reference>
          <reference field="6" count="4">
            <x v="3"/>
            <x v="4"/>
            <x v="9"/>
            <x v="17"/>
          </reference>
        </references>
      </pivotArea>
    </format>
    <format dxfId="616">
      <pivotArea collapsedLevelsAreSubtotals="1" fieldPosition="0">
        <references count="1">
          <reference field="0" count="1">
            <x v="0"/>
          </reference>
        </references>
      </pivotArea>
    </format>
    <format dxfId="615">
      <pivotArea collapsedLevelsAreSubtotals="1" fieldPosition="0">
        <references count="2">
          <reference field="0" count="1" selected="0">
            <x v="0"/>
          </reference>
          <reference field="6" count="4">
            <x v="3"/>
            <x v="4"/>
            <x v="17"/>
            <x v="18"/>
          </reference>
        </references>
      </pivotArea>
    </format>
    <format dxfId="614">
      <pivotArea collapsedLevelsAreSubtotals="1" fieldPosition="0">
        <references count="1">
          <reference field="0" count="1">
            <x v="1"/>
          </reference>
        </references>
      </pivotArea>
    </format>
    <format dxfId="613">
      <pivotArea collapsedLevelsAreSubtotals="1" fieldPosition="0">
        <references count="2">
          <reference field="0" count="1" selected="0">
            <x v="1"/>
          </reference>
          <reference field="6" count="3">
            <x v="3"/>
            <x v="9"/>
            <x v="17"/>
          </reference>
        </references>
      </pivotArea>
    </format>
    <format dxfId="612">
      <pivotArea collapsedLevelsAreSubtotals="1" fieldPosition="0">
        <references count="1">
          <reference field="0" count="1">
            <x v="2"/>
          </reference>
        </references>
      </pivotArea>
    </format>
    <format dxfId="611">
      <pivotArea collapsedLevelsAreSubtotals="1" fieldPosition="0">
        <references count="2">
          <reference field="0" count="1" selected="0">
            <x v="2"/>
          </reference>
          <reference field="6" count="2">
            <x v="3"/>
            <x v="17"/>
          </reference>
        </references>
      </pivotArea>
    </format>
    <format dxfId="610">
      <pivotArea collapsedLevelsAreSubtotals="1" fieldPosition="0">
        <references count="1">
          <reference field="0" count="1">
            <x v="3"/>
          </reference>
        </references>
      </pivotArea>
    </format>
    <format dxfId="609">
      <pivotArea collapsedLevelsAreSubtotals="1" fieldPosition="0">
        <references count="2">
          <reference field="0" count="1" selected="0">
            <x v="3"/>
          </reference>
          <reference field="6" count="7">
            <x v="3"/>
            <x v="4"/>
            <x v="7"/>
            <x v="9"/>
            <x v="17"/>
            <x v="18"/>
            <x v="21"/>
          </reference>
        </references>
      </pivotArea>
    </format>
    <format dxfId="608">
      <pivotArea collapsedLevelsAreSubtotals="1" fieldPosition="0">
        <references count="1">
          <reference field="0" count="1">
            <x v="4"/>
          </reference>
        </references>
      </pivotArea>
    </format>
    <format dxfId="607">
      <pivotArea collapsedLevelsAreSubtotals="1" fieldPosition="0">
        <references count="2">
          <reference field="0" count="1" selected="0">
            <x v="4"/>
          </reference>
          <reference field="6" count="4">
            <x v="3"/>
            <x v="4"/>
            <x v="17"/>
            <x v="18"/>
          </reference>
        </references>
      </pivotArea>
    </format>
    <format dxfId="606">
      <pivotArea collapsedLevelsAreSubtotals="1" fieldPosition="0">
        <references count="1">
          <reference field="0" count="1">
            <x v="5"/>
          </reference>
        </references>
      </pivotArea>
    </format>
    <format dxfId="605">
      <pivotArea collapsedLevelsAreSubtotals="1" fieldPosition="0">
        <references count="2">
          <reference field="0" count="1" selected="0">
            <x v="5"/>
          </reference>
          <reference field="6" count="5">
            <x v="3"/>
            <x v="4"/>
            <x v="9"/>
            <x v="17"/>
            <x v="18"/>
          </reference>
        </references>
      </pivotArea>
    </format>
    <format dxfId="604">
      <pivotArea collapsedLevelsAreSubtotals="1" fieldPosition="0">
        <references count="1">
          <reference field="0" count="1">
            <x v="6"/>
          </reference>
        </references>
      </pivotArea>
    </format>
    <format dxfId="603">
      <pivotArea collapsedLevelsAreSubtotals="1" fieldPosition="0">
        <references count="2">
          <reference field="0" count="1" selected="0">
            <x v="6"/>
          </reference>
          <reference field="6" count="5">
            <x v="3"/>
            <x v="4"/>
            <x v="9"/>
            <x v="17"/>
            <x v="18"/>
          </reference>
        </references>
      </pivotArea>
    </format>
    <format dxfId="602">
      <pivotArea collapsedLevelsAreSubtotals="1" fieldPosition="0">
        <references count="1">
          <reference field="0" count="1">
            <x v="7"/>
          </reference>
        </references>
      </pivotArea>
    </format>
    <format dxfId="601">
      <pivotArea collapsedLevelsAreSubtotals="1" fieldPosition="0">
        <references count="2">
          <reference field="0" count="1" selected="0">
            <x v="7"/>
          </reference>
          <reference field="6" count="5">
            <x v="3"/>
            <x v="4"/>
            <x v="9"/>
            <x v="17"/>
            <x v="18"/>
          </reference>
        </references>
      </pivotArea>
    </format>
    <format dxfId="600">
      <pivotArea collapsedLevelsAreSubtotals="1" fieldPosition="0">
        <references count="1">
          <reference field="0" count="1">
            <x v="8"/>
          </reference>
        </references>
      </pivotArea>
    </format>
    <format dxfId="599">
      <pivotArea collapsedLevelsAreSubtotals="1" fieldPosition="0">
        <references count="2">
          <reference field="0" count="1" selected="0">
            <x v="8"/>
          </reference>
          <reference field="6" count="3">
            <x v="3"/>
            <x v="4"/>
            <x v="18"/>
          </reference>
        </references>
      </pivotArea>
    </format>
    <format dxfId="598">
      <pivotArea collapsedLevelsAreSubtotals="1" fieldPosition="0">
        <references count="1">
          <reference field="0" count="1">
            <x v="9"/>
          </reference>
        </references>
      </pivotArea>
    </format>
    <format dxfId="597">
      <pivotArea collapsedLevelsAreSubtotals="1" fieldPosition="0">
        <references count="2">
          <reference field="0" count="1" selected="0">
            <x v="9"/>
          </reference>
          <reference field="6" count="5">
            <x v="3"/>
            <x v="4"/>
            <x v="9"/>
            <x v="17"/>
            <x v="18"/>
          </reference>
        </references>
      </pivotArea>
    </format>
    <format dxfId="596">
      <pivotArea collapsedLevelsAreSubtotals="1" fieldPosition="0">
        <references count="1">
          <reference field="0" count="1">
            <x v="10"/>
          </reference>
        </references>
      </pivotArea>
    </format>
    <format dxfId="595">
      <pivotArea collapsedLevelsAreSubtotals="1" fieldPosition="0">
        <references count="2">
          <reference field="0" count="1" selected="0">
            <x v="10"/>
          </reference>
          <reference field="6" count="6">
            <x v="3"/>
            <x v="4"/>
            <x v="6"/>
            <x v="9"/>
            <x v="17"/>
            <x v="18"/>
          </reference>
        </references>
      </pivotArea>
    </format>
    <format dxfId="594">
      <pivotArea collapsedLevelsAreSubtotals="1" fieldPosition="0">
        <references count="1">
          <reference field="0" count="1">
            <x v="11"/>
          </reference>
        </references>
      </pivotArea>
    </format>
    <format dxfId="593">
      <pivotArea collapsedLevelsAreSubtotals="1" fieldPosition="0">
        <references count="2">
          <reference field="0" count="1" selected="0">
            <x v="11"/>
          </reference>
          <reference field="6" count="4">
            <x v="3"/>
            <x v="4"/>
            <x v="9"/>
            <x v="17"/>
          </reference>
        </references>
      </pivotArea>
    </format>
    <format dxfId="592">
      <pivotArea dataOnly="0" labelOnly="1" fieldPosition="0">
        <references count="1">
          <reference field="0" count="0"/>
        </references>
      </pivotArea>
    </format>
    <format dxfId="591">
      <pivotArea dataOnly="0" labelOnly="1" fieldPosition="0">
        <references count="2">
          <reference field="0" count="1" selected="0">
            <x v="0"/>
          </reference>
          <reference field="6" count="4">
            <x v="3"/>
            <x v="4"/>
            <x v="17"/>
            <x v="18"/>
          </reference>
        </references>
      </pivotArea>
    </format>
    <format dxfId="590">
      <pivotArea dataOnly="0" labelOnly="1" fieldPosition="0">
        <references count="2">
          <reference field="0" count="1" selected="0">
            <x v="1"/>
          </reference>
          <reference field="6" count="3">
            <x v="3"/>
            <x v="9"/>
            <x v="17"/>
          </reference>
        </references>
      </pivotArea>
    </format>
    <format dxfId="589">
      <pivotArea dataOnly="0" labelOnly="1" fieldPosition="0">
        <references count="2">
          <reference field="0" count="1" selected="0">
            <x v="2"/>
          </reference>
          <reference field="6" count="2">
            <x v="3"/>
            <x v="17"/>
          </reference>
        </references>
      </pivotArea>
    </format>
    <format dxfId="588">
      <pivotArea dataOnly="0" labelOnly="1" fieldPosition="0">
        <references count="2">
          <reference field="0" count="1" selected="0">
            <x v="3"/>
          </reference>
          <reference field="6" count="7">
            <x v="3"/>
            <x v="4"/>
            <x v="7"/>
            <x v="9"/>
            <x v="17"/>
            <x v="18"/>
            <x v="21"/>
          </reference>
        </references>
      </pivotArea>
    </format>
    <format dxfId="587">
      <pivotArea dataOnly="0" labelOnly="1" fieldPosition="0">
        <references count="2">
          <reference field="0" count="1" selected="0">
            <x v="4"/>
          </reference>
          <reference field="6" count="4">
            <x v="3"/>
            <x v="4"/>
            <x v="17"/>
            <x v="18"/>
          </reference>
        </references>
      </pivotArea>
    </format>
    <format dxfId="586">
      <pivotArea dataOnly="0" labelOnly="1" fieldPosition="0">
        <references count="2">
          <reference field="0" count="1" selected="0">
            <x v="5"/>
          </reference>
          <reference field="6" count="5">
            <x v="3"/>
            <x v="4"/>
            <x v="9"/>
            <x v="17"/>
            <x v="18"/>
          </reference>
        </references>
      </pivotArea>
    </format>
    <format dxfId="585">
      <pivotArea dataOnly="0" labelOnly="1" fieldPosition="0">
        <references count="2">
          <reference field="0" count="1" selected="0">
            <x v="6"/>
          </reference>
          <reference field="6" count="5">
            <x v="3"/>
            <x v="4"/>
            <x v="9"/>
            <x v="17"/>
            <x v="18"/>
          </reference>
        </references>
      </pivotArea>
    </format>
    <format dxfId="584">
      <pivotArea dataOnly="0" labelOnly="1" fieldPosition="0">
        <references count="2">
          <reference field="0" count="1" selected="0">
            <x v="7"/>
          </reference>
          <reference field="6" count="5">
            <x v="3"/>
            <x v="4"/>
            <x v="9"/>
            <x v="17"/>
            <x v="18"/>
          </reference>
        </references>
      </pivotArea>
    </format>
    <format dxfId="583">
      <pivotArea dataOnly="0" labelOnly="1" fieldPosition="0">
        <references count="2">
          <reference field="0" count="1" selected="0">
            <x v="8"/>
          </reference>
          <reference field="6" count="3">
            <x v="3"/>
            <x v="4"/>
            <x v="18"/>
          </reference>
        </references>
      </pivotArea>
    </format>
    <format dxfId="582">
      <pivotArea dataOnly="0" labelOnly="1" fieldPosition="0">
        <references count="2">
          <reference field="0" count="1" selected="0">
            <x v="9"/>
          </reference>
          <reference field="6" count="5">
            <x v="3"/>
            <x v="4"/>
            <x v="9"/>
            <x v="17"/>
            <x v="18"/>
          </reference>
        </references>
      </pivotArea>
    </format>
    <format dxfId="581">
      <pivotArea dataOnly="0" labelOnly="1" fieldPosition="0">
        <references count="2">
          <reference field="0" count="1" selected="0">
            <x v="10"/>
          </reference>
          <reference field="6" count="6">
            <x v="3"/>
            <x v="4"/>
            <x v="6"/>
            <x v="9"/>
            <x v="17"/>
            <x v="18"/>
          </reference>
        </references>
      </pivotArea>
    </format>
    <format dxfId="580">
      <pivotArea dataOnly="0" labelOnly="1" fieldPosition="0">
        <references count="2">
          <reference field="0" count="1" selected="0">
            <x v="11"/>
          </reference>
          <reference field="6" count="4">
            <x v="3"/>
            <x v="4"/>
            <x v="9"/>
            <x v="17"/>
          </reference>
        </references>
      </pivotArea>
    </format>
    <format dxfId="579">
      <pivotArea collapsedLevelsAreSubtotals="1" fieldPosition="0">
        <references count="1">
          <reference field="0" count="1">
            <x v="0"/>
          </reference>
        </references>
      </pivotArea>
    </format>
    <format dxfId="578">
      <pivotArea collapsedLevelsAreSubtotals="1" fieldPosition="0">
        <references count="2">
          <reference field="0" count="1" selected="0">
            <x v="0"/>
          </reference>
          <reference field="6" count="4">
            <x v="3"/>
            <x v="4"/>
            <x v="17"/>
            <x v="18"/>
          </reference>
        </references>
      </pivotArea>
    </format>
    <format dxfId="577">
      <pivotArea collapsedLevelsAreSubtotals="1" fieldPosition="0">
        <references count="1">
          <reference field="0" count="1">
            <x v="1"/>
          </reference>
        </references>
      </pivotArea>
    </format>
    <format dxfId="576">
      <pivotArea collapsedLevelsAreSubtotals="1" fieldPosition="0">
        <references count="2">
          <reference field="0" count="1" selected="0">
            <x v="1"/>
          </reference>
          <reference field="6" count="3">
            <x v="3"/>
            <x v="9"/>
            <x v="17"/>
          </reference>
        </references>
      </pivotArea>
    </format>
    <format dxfId="575">
      <pivotArea collapsedLevelsAreSubtotals="1" fieldPosition="0">
        <references count="1">
          <reference field="0" count="1">
            <x v="2"/>
          </reference>
        </references>
      </pivotArea>
    </format>
    <format dxfId="574">
      <pivotArea collapsedLevelsAreSubtotals="1" fieldPosition="0">
        <references count="2">
          <reference field="0" count="1" selected="0">
            <x v="2"/>
          </reference>
          <reference field="6" count="2">
            <x v="3"/>
            <x v="17"/>
          </reference>
        </references>
      </pivotArea>
    </format>
    <format dxfId="573">
      <pivotArea collapsedLevelsAreSubtotals="1" fieldPosition="0">
        <references count="1">
          <reference field="0" count="1">
            <x v="3"/>
          </reference>
        </references>
      </pivotArea>
    </format>
    <format dxfId="572">
      <pivotArea collapsedLevelsAreSubtotals="1" fieldPosition="0">
        <references count="2">
          <reference field="0" count="1" selected="0">
            <x v="3"/>
          </reference>
          <reference field="6" count="7">
            <x v="3"/>
            <x v="4"/>
            <x v="7"/>
            <x v="9"/>
            <x v="17"/>
            <x v="18"/>
            <x v="21"/>
          </reference>
        </references>
      </pivotArea>
    </format>
    <format dxfId="571">
      <pivotArea collapsedLevelsAreSubtotals="1" fieldPosition="0">
        <references count="1">
          <reference field="0" count="1">
            <x v="4"/>
          </reference>
        </references>
      </pivotArea>
    </format>
    <format dxfId="570">
      <pivotArea collapsedLevelsAreSubtotals="1" fieldPosition="0">
        <references count="2">
          <reference field="0" count="1" selected="0">
            <x v="4"/>
          </reference>
          <reference field="6" count="4">
            <x v="3"/>
            <x v="4"/>
            <x v="17"/>
            <x v="18"/>
          </reference>
        </references>
      </pivotArea>
    </format>
    <format dxfId="569">
      <pivotArea collapsedLevelsAreSubtotals="1" fieldPosition="0">
        <references count="1">
          <reference field="0" count="1">
            <x v="5"/>
          </reference>
        </references>
      </pivotArea>
    </format>
    <format dxfId="568">
      <pivotArea collapsedLevelsAreSubtotals="1" fieldPosition="0">
        <references count="2">
          <reference field="0" count="1" selected="0">
            <x v="5"/>
          </reference>
          <reference field="6" count="5">
            <x v="3"/>
            <x v="4"/>
            <x v="9"/>
            <x v="17"/>
            <x v="18"/>
          </reference>
        </references>
      </pivotArea>
    </format>
    <format dxfId="567">
      <pivotArea collapsedLevelsAreSubtotals="1" fieldPosition="0">
        <references count="1">
          <reference field="0" count="1">
            <x v="6"/>
          </reference>
        </references>
      </pivotArea>
    </format>
    <format dxfId="566">
      <pivotArea collapsedLevelsAreSubtotals="1" fieldPosition="0">
        <references count="2">
          <reference field="0" count="1" selected="0">
            <x v="6"/>
          </reference>
          <reference field="6" count="5">
            <x v="3"/>
            <x v="4"/>
            <x v="9"/>
            <x v="17"/>
            <x v="18"/>
          </reference>
        </references>
      </pivotArea>
    </format>
    <format dxfId="565">
      <pivotArea collapsedLevelsAreSubtotals="1" fieldPosition="0">
        <references count="1">
          <reference field="0" count="1">
            <x v="7"/>
          </reference>
        </references>
      </pivotArea>
    </format>
    <format dxfId="564">
      <pivotArea collapsedLevelsAreSubtotals="1" fieldPosition="0">
        <references count="2">
          <reference field="0" count="1" selected="0">
            <x v="7"/>
          </reference>
          <reference field="6" count="5">
            <x v="3"/>
            <x v="4"/>
            <x v="9"/>
            <x v="17"/>
            <x v="18"/>
          </reference>
        </references>
      </pivotArea>
    </format>
    <format dxfId="563">
      <pivotArea collapsedLevelsAreSubtotals="1" fieldPosition="0">
        <references count="1">
          <reference field="0" count="1">
            <x v="8"/>
          </reference>
        </references>
      </pivotArea>
    </format>
    <format dxfId="562">
      <pivotArea collapsedLevelsAreSubtotals="1" fieldPosition="0">
        <references count="2">
          <reference field="0" count="1" selected="0">
            <x v="8"/>
          </reference>
          <reference field="6" count="3">
            <x v="3"/>
            <x v="4"/>
            <x v="18"/>
          </reference>
        </references>
      </pivotArea>
    </format>
    <format dxfId="561">
      <pivotArea collapsedLevelsAreSubtotals="1" fieldPosition="0">
        <references count="1">
          <reference field="0" count="1">
            <x v="9"/>
          </reference>
        </references>
      </pivotArea>
    </format>
    <format dxfId="560">
      <pivotArea collapsedLevelsAreSubtotals="1" fieldPosition="0">
        <references count="2">
          <reference field="0" count="1" selected="0">
            <x v="9"/>
          </reference>
          <reference field="6" count="5">
            <x v="3"/>
            <x v="4"/>
            <x v="9"/>
            <x v="17"/>
            <x v="18"/>
          </reference>
        </references>
      </pivotArea>
    </format>
    <format dxfId="559">
      <pivotArea collapsedLevelsAreSubtotals="1" fieldPosition="0">
        <references count="1">
          <reference field="0" count="1">
            <x v="10"/>
          </reference>
        </references>
      </pivotArea>
    </format>
    <format dxfId="558">
      <pivotArea collapsedLevelsAreSubtotals="1" fieldPosition="0">
        <references count="2">
          <reference field="0" count="1" selected="0">
            <x v="10"/>
          </reference>
          <reference field="6" count="6">
            <x v="3"/>
            <x v="4"/>
            <x v="6"/>
            <x v="9"/>
            <x v="17"/>
            <x v="18"/>
          </reference>
        </references>
      </pivotArea>
    </format>
    <format dxfId="557">
      <pivotArea collapsedLevelsAreSubtotals="1" fieldPosition="0">
        <references count="1">
          <reference field="0" count="1">
            <x v="11"/>
          </reference>
        </references>
      </pivotArea>
    </format>
    <format dxfId="556">
      <pivotArea collapsedLevelsAreSubtotals="1" fieldPosition="0">
        <references count="2">
          <reference field="0" count="1" selected="0">
            <x v="11"/>
          </reference>
          <reference field="6" count="4">
            <x v="3"/>
            <x v="4"/>
            <x v="9"/>
            <x v="17"/>
          </reference>
        </references>
      </pivotArea>
    </format>
    <format dxfId="555">
      <pivotArea dataOnly="0" labelOnly="1" fieldPosition="0">
        <references count="1">
          <reference field="0" count="0"/>
        </references>
      </pivotArea>
    </format>
    <format dxfId="554">
      <pivotArea dataOnly="0" labelOnly="1" fieldPosition="0">
        <references count="2">
          <reference field="0" count="1" selected="0">
            <x v="0"/>
          </reference>
          <reference field="6" count="4">
            <x v="3"/>
            <x v="4"/>
            <x v="17"/>
            <x v="18"/>
          </reference>
        </references>
      </pivotArea>
    </format>
    <format dxfId="553">
      <pivotArea dataOnly="0" labelOnly="1" fieldPosition="0">
        <references count="2">
          <reference field="0" count="1" selected="0">
            <x v="1"/>
          </reference>
          <reference field="6" count="3">
            <x v="3"/>
            <x v="9"/>
            <x v="17"/>
          </reference>
        </references>
      </pivotArea>
    </format>
    <format dxfId="552">
      <pivotArea dataOnly="0" labelOnly="1" fieldPosition="0">
        <references count="2">
          <reference field="0" count="1" selected="0">
            <x v="2"/>
          </reference>
          <reference field="6" count="2">
            <x v="3"/>
            <x v="17"/>
          </reference>
        </references>
      </pivotArea>
    </format>
    <format dxfId="551">
      <pivotArea dataOnly="0" labelOnly="1" fieldPosition="0">
        <references count="2">
          <reference field="0" count="1" selected="0">
            <x v="3"/>
          </reference>
          <reference field="6" count="7">
            <x v="3"/>
            <x v="4"/>
            <x v="7"/>
            <x v="9"/>
            <x v="17"/>
            <x v="18"/>
            <x v="21"/>
          </reference>
        </references>
      </pivotArea>
    </format>
    <format dxfId="550">
      <pivotArea dataOnly="0" labelOnly="1" fieldPosition="0">
        <references count="2">
          <reference field="0" count="1" selected="0">
            <x v="4"/>
          </reference>
          <reference field="6" count="4">
            <x v="3"/>
            <x v="4"/>
            <x v="17"/>
            <x v="18"/>
          </reference>
        </references>
      </pivotArea>
    </format>
    <format dxfId="549">
      <pivotArea dataOnly="0" labelOnly="1" fieldPosition="0">
        <references count="2">
          <reference field="0" count="1" selected="0">
            <x v="5"/>
          </reference>
          <reference field="6" count="5">
            <x v="3"/>
            <x v="4"/>
            <x v="9"/>
            <x v="17"/>
            <x v="18"/>
          </reference>
        </references>
      </pivotArea>
    </format>
    <format dxfId="548">
      <pivotArea dataOnly="0" labelOnly="1" fieldPosition="0">
        <references count="2">
          <reference field="0" count="1" selected="0">
            <x v="6"/>
          </reference>
          <reference field="6" count="5">
            <x v="3"/>
            <x v="4"/>
            <x v="9"/>
            <x v="17"/>
            <x v="18"/>
          </reference>
        </references>
      </pivotArea>
    </format>
    <format dxfId="547">
      <pivotArea dataOnly="0" labelOnly="1" fieldPosition="0">
        <references count="2">
          <reference field="0" count="1" selected="0">
            <x v="7"/>
          </reference>
          <reference field="6" count="5">
            <x v="3"/>
            <x v="4"/>
            <x v="9"/>
            <x v="17"/>
            <x v="18"/>
          </reference>
        </references>
      </pivotArea>
    </format>
    <format dxfId="546">
      <pivotArea dataOnly="0" labelOnly="1" fieldPosition="0">
        <references count="2">
          <reference field="0" count="1" selected="0">
            <x v="8"/>
          </reference>
          <reference field="6" count="3">
            <x v="3"/>
            <x v="4"/>
            <x v="18"/>
          </reference>
        </references>
      </pivotArea>
    </format>
    <format dxfId="545">
      <pivotArea dataOnly="0" labelOnly="1" fieldPosition="0">
        <references count="2">
          <reference field="0" count="1" selected="0">
            <x v="9"/>
          </reference>
          <reference field="6" count="5">
            <x v="3"/>
            <x v="4"/>
            <x v="9"/>
            <x v="17"/>
            <x v="18"/>
          </reference>
        </references>
      </pivotArea>
    </format>
    <format dxfId="544">
      <pivotArea dataOnly="0" labelOnly="1" fieldPosition="0">
        <references count="2">
          <reference field="0" count="1" selected="0">
            <x v="10"/>
          </reference>
          <reference field="6" count="6">
            <x v="3"/>
            <x v="4"/>
            <x v="6"/>
            <x v="9"/>
            <x v="17"/>
            <x v="18"/>
          </reference>
        </references>
      </pivotArea>
    </format>
    <format dxfId="543">
      <pivotArea dataOnly="0" labelOnly="1" fieldPosition="0">
        <references count="2">
          <reference field="0" count="1" selected="0">
            <x v="11"/>
          </reference>
          <reference field="6" count="4">
            <x v="3"/>
            <x v="4"/>
            <x v="9"/>
            <x v="17"/>
          </reference>
        </references>
      </pivotArea>
    </format>
    <format dxfId="542">
      <pivotArea field="0" grandCol="1" collapsedLevelsAreSubtotals="1" axis="axisRow" fieldPosition="0">
        <references count="1">
          <reference field="0" count="1">
            <x v="0"/>
          </reference>
        </references>
      </pivotArea>
    </format>
    <format dxfId="541">
      <pivotArea field="0" grandCol="1" collapsedLevelsAreSubtotals="1" axis="axisRow" fieldPosition="0">
        <references count="1">
          <reference field="0" count="1">
            <x v="1"/>
          </reference>
        </references>
      </pivotArea>
    </format>
    <format dxfId="540">
      <pivotArea collapsedLevelsAreSubtotals="1" fieldPosition="0">
        <references count="1">
          <reference field="0" count="1">
            <x v="0"/>
          </reference>
        </references>
      </pivotArea>
    </format>
    <format dxfId="539">
      <pivotArea dataOnly="0" labelOnly="1" fieldPosition="0">
        <references count="1">
          <reference field="0" count="1">
            <x v="0"/>
          </reference>
        </references>
      </pivotArea>
    </format>
    <format dxfId="538">
      <pivotArea collapsedLevelsAreSubtotals="1" fieldPosition="0">
        <references count="1">
          <reference field="0" count="1">
            <x v="1"/>
          </reference>
        </references>
      </pivotArea>
    </format>
    <format dxfId="537">
      <pivotArea dataOnly="0" labelOnly="1" fieldPosition="0">
        <references count="1">
          <reference field="0" count="1">
            <x v="1"/>
          </reference>
        </references>
      </pivotArea>
    </format>
    <format dxfId="536">
      <pivotArea collapsedLevelsAreSubtotals="1" fieldPosition="0">
        <references count="1">
          <reference field="0" count="1">
            <x v="2"/>
          </reference>
        </references>
      </pivotArea>
    </format>
    <format dxfId="535">
      <pivotArea dataOnly="0" labelOnly="1" fieldPosition="0">
        <references count="1">
          <reference field="0" count="1">
            <x v="2"/>
          </reference>
        </references>
      </pivotArea>
    </format>
    <format dxfId="534">
      <pivotArea collapsedLevelsAreSubtotals="1" fieldPosition="0">
        <references count="1">
          <reference field="0" count="1">
            <x v="3"/>
          </reference>
        </references>
      </pivotArea>
    </format>
    <format dxfId="533">
      <pivotArea dataOnly="0" labelOnly="1" fieldPosition="0">
        <references count="1">
          <reference field="0" count="1">
            <x v="3"/>
          </reference>
        </references>
      </pivotArea>
    </format>
    <format dxfId="532">
      <pivotArea collapsedLevelsAreSubtotals="1" fieldPosition="0">
        <references count="1">
          <reference field="0" count="1">
            <x v="4"/>
          </reference>
        </references>
      </pivotArea>
    </format>
    <format dxfId="531">
      <pivotArea dataOnly="0" labelOnly="1" fieldPosition="0">
        <references count="1">
          <reference field="0" count="1">
            <x v="4"/>
          </reference>
        </references>
      </pivotArea>
    </format>
    <format dxfId="530">
      <pivotArea collapsedLevelsAreSubtotals="1" fieldPosition="0">
        <references count="1">
          <reference field="0" count="1">
            <x v="5"/>
          </reference>
        </references>
      </pivotArea>
    </format>
    <format dxfId="529">
      <pivotArea dataOnly="0" labelOnly="1" fieldPosition="0">
        <references count="1">
          <reference field="0" count="1">
            <x v="5"/>
          </reference>
        </references>
      </pivotArea>
    </format>
    <format dxfId="528">
      <pivotArea collapsedLevelsAreSubtotals="1" fieldPosition="0">
        <references count="1">
          <reference field="0" count="1">
            <x v="6"/>
          </reference>
        </references>
      </pivotArea>
    </format>
    <format dxfId="527">
      <pivotArea dataOnly="0" labelOnly="1" fieldPosition="0">
        <references count="1">
          <reference field="0" count="1">
            <x v="6"/>
          </reference>
        </references>
      </pivotArea>
    </format>
    <format dxfId="526">
      <pivotArea collapsedLevelsAreSubtotals="1" fieldPosition="0">
        <references count="1">
          <reference field="0" count="1">
            <x v="7"/>
          </reference>
        </references>
      </pivotArea>
    </format>
    <format dxfId="525">
      <pivotArea dataOnly="0" labelOnly="1" fieldPosition="0">
        <references count="1">
          <reference field="0" count="1">
            <x v="7"/>
          </reference>
        </references>
      </pivotArea>
    </format>
    <format dxfId="524">
      <pivotArea collapsedLevelsAreSubtotals="1" fieldPosition="0">
        <references count="1">
          <reference field="0" count="1">
            <x v="8"/>
          </reference>
        </references>
      </pivotArea>
    </format>
    <format dxfId="523">
      <pivotArea dataOnly="0" labelOnly="1" fieldPosition="0">
        <references count="1">
          <reference field="0" count="1">
            <x v="8"/>
          </reference>
        </references>
      </pivotArea>
    </format>
    <format dxfId="522">
      <pivotArea collapsedLevelsAreSubtotals="1" fieldPosition="0">
        <references count="1">
          <reference field="0" count="1">
            <x v="9"/>
          </reference>
        </references>
      </pivotArea>
    </format>
    <format dxfId="521">
      <pivotArea dataOnly="0" labelOnly="1" fieldPosition="0">
        <references count="1">
          <reference field="0" count="1">
            <x v="9"/>
          </reference>
        </references>
      </pivotArea>
    </format>
    <format dxfId="520">
      <pivotArea collapsedLevelsAreSubtotals="1" fieldPosition="0">
        <references count="1">
          <reference field="0" count="1">
            <x v="10"/>
          </reference>
        </references>
      </pivotArea>
    </format>
    <format dxfId="519">
      <pivotArea dataOnly="0" labelOnly="1" fieldPosition="0">
        <references count="1">
          <reference field="0" count="1">
            <x v="10"/>
          </reference>
        </references>
      </pivotArea>
    </format>
    <format dxfId="518">
      <pivotArea collapsedLevelsAreSubtotals="1" fieldPosition="0">
        <references count="1">
          <reference field="0" count="1">
            <x v="11"/>
          </reference>
        </references>
      </pivotArea>
    </format>
    <format dxfId="517">
      <pivotArea dataOnly="0" labelOnly="1" fieldPosition="0">
        <references count="1">
          <reference field="0" count="1">
            <x v="11"/>
          </reference>
        </references>
      </pivotArea>
    </format>
    <format dxfId="516">
      <pivotArea collapsedLevelsAreSubtotals="1" fieldPosition="0">
        <references count="2">
          <reference field="0" count="1" selected="0">
            <x v="4"/>
          </reference>
          <reference field="6" count="1">
            <x v="9"/>
          </reference>
        </references>
      </pivotArea>
    </format>
    <format dxfId="515">
      <pivotArea dataOnly="0" labelOnly="1" fieldPosition="0">
        <references count="2">
          <reference field="0" count="1" selected="0">
            <x v="4"/>
          </reference>
          <reference field="6" count="1">
            <x v="9"/>
          </reference>
        </references>
      </pivotArea>
    </format>
    <format dxfId="514">
      <pivotArea collapsedLevelsAreSubtotals="1" fieldPosition="0">
        <references count="2">
          <reference field="0" count="1" selected="0">
            <x v="4"/>
          </reference>
          <reference field="6" count="1">
            <x v="9"/>
          </reference>
        </references>
      </pivotArea>
    </format>
    <format dxfId="513">
      <pivotArea dataOnly="0" labelOnly="1" fieldPosition="0">
        <references count="2">
          <reference field="0" count="1" selected="0">
            <x v="4"/>
          </reference>
          <reference field="6" count="1">
            <x v="9"/>
          </reference>
        </references>
      </pivotArea>
    </format>
    <format dxfId="512">
      <pivotArea collapsedLevelsAreSubtotals="1" fieldPosition="0">
        <references count="2">
          <reference field="0" count="1" selected="0">
            <x v="4"/>
          </reference>
          <reference field="6" count="1">
            <x v="9"/>
          </reference>
        </references>
      </pivotArea>
    </format>
    <format dxfId="511">
      <pivotArea dataOnly="0" labelOnly="1" fieldPosition="0">
        <references count="2">
          <reference field="0" count="1" selected="0">
            <x v="4"/>
          </reference>
          <reference field="6" count="1">
            <x v="9"/>
          </reference>
        </references>
      </pivotArea>
    </format>
    <format dxfId="510">
      <pivotArea collapsedLevelsAreSubtotals="1" fieldPosition="0">
        <references count="2">
          <reference field="0" count="1" selected="0">
            <x v="4"/>
          </reference>
          <reference field="6" count="1">
            <x v="9"/>
          </reference>
        </references>
      </pivotArea>
    </format>
    <format dxfId="509">
      <pivotArea dataOnly="0" labelOnly="1" fieldPosition="0">
        <references count="2">
          <reference field="0" count="1" selected="0">
            <x v="4"/>
          </reference>
          <reference field="6" count="1">
            <x v="9"/>
          </reference>
        </references>
      </pivotArea>
    </format>
    <format dxfId="508">
      <pivotArea collapsedLevelsAreSubtotals="1" fieldPosition="0">
        <references count="3">
          <reference field="0" count="1" selected="0">
            <x v="4"/>
          </reference>
          <reference field="6" count="1">
            <x v="9"/>
          </reference>
          <reference field="7" count="1" selected="0">
            <x v="5"/>
          </reference>
        </references>
      </pivotArea>
    </format>
    <format dxfId="507">
      <pivotArea field="6" grandCol="1" collapsedLevelsAreSubtotals="1" axis="axisRow" fieldPosition="1">
        <references count="2">
          <reference field="0" count="1" selected="0">
            <x v="4"/>
          </reference>
          <reference field="6" count="1">
            <x v="9"/>
          </reference>
        </references>
      </pivotArea>
    </format>
    <format dxfId="506">
      <pivotArea collapsedLevelsAreSubtotals="1" fieldPosition="0">
        <references count="1">
          <reference field="0" count="1">
            <x v="0"/>
          </reference>
        </references>
      </pivotArea>
    </format>
    <format dxfId="505">
      <pivotArea collapsedLevelsAreSubtotals="1" fieldPosition="0">
        <references count="1">
          <reference field="0" count="1">
            <x v="0"/>
          </reference>
        </references>
      </pivotArea>
    </format>
    <format dxfId="504">
      <pivotArea collapsedLevelsAreSubtotals="1" fieldPosition="0">
        <references count="1">
          <reference field="0" count="1">
            <x v="1"/>
          </reference>
        </references>
      </pivotArea>
    </format>
    <format dxfId="503">
      <pivotArea collapsedLevelsAreSubtotals="1" fieldPosition="0">
        <references count="1">
          <reference field="0" count="1">
            <x v="2"/>
          </reference>
        </references>
      </pivotArea>
    </format>
    <format dxfId="502">
      <pivotArea collapsedLevelsAreSubtotals="1" fieldPosition="0">
        <references count="1">
          <reference field="0" count="1">
            <x v="3"/>
          </reference>
        </references>
      </pivotArea>
    </format>
    <format dxfId="501">
      <pivotArea collapsedLevelsAreSubtotals="1" fieldPosition="0">
        <references count="1">
          <reference field="0" count="1">
            <x v="4"/>
          </reference>
        </references>
      </pivotArea>
    </format>
    <format dxfId="500">
      <pivotArea collapsedLevelsAreSubtotals="1" fieldPosition="0">
        <references count="1">
          <reference field="0" count="1">
            <x v="5"/>
          </reference>
        </references>
      </pivotArea>
    </format>
    <format dxfId="499">
      <pivotArea collapsedLevelsAreSubtotals="1" fieldPosition="0">
        <references count="1">
          <reference field="0" count="1">
            <x v="6"/>
          </reference>
        </references>
      </pivotArea>
    </format>
    <format dxfId="498">
      <pivotArea collapsedLevelsAreSubtotals="1" fieldPosition="0">
        <references count="1">
          <reference field="0" count="1">
            <x v="7"/>
          </reference>
        </references>
      </pivotArea>
    </format>
    <format dxfId="497">
      <pivotArea collapsedLevelsAreSubtotals="1" fieldPosition="0">
        <references count="1">
          <reference field="0" count="1">
            <x v="8"/>
          </reference>
        </references>
      </pivotArea>
    </format>
    <format dxfId="496">
      <pivotArea collapsedLevelsAreSubtotals="1" fieldPosition="0">
        <references count="1">
          <reference field="0" count="1">
            <x v="9"/>
          </reference>
        </references>
      </pivotArea>
    </format>
    <format dxfId="495">
      <pivotArea collapsedLevelsAreSubtotals="1" fieldPosition="0">
        <references count="1">
          <reference field="0" count="1">
            <x v="10"/>
          </reference>
        </references>
      </pivotArea>
    </format>
    <format dxfId="494">
      <pivotArea collapsedLevelsAreSubtotals="1" fieldPosition="0">
        <references count="1">
          <reference field="0" count="1">
            <x v="11"/>
          </reference>
        </references>
      </pivotArea>
    </format>
    <format dxfId="493">
      <pivotArea collapsedLevelsAreSubtotals="1" fieldPosition="0">
        <references count="2">
          <reference field="0" count="1" selected="0">
            <x v="11"/>
          </reference>
          <reference field="6" count="1">
            <x v="18"/>
          </reference>
        </references>
      </pivotArea>
    </format>
    <format dxfId="492">
      <pivotArea collapsedLevelsAreSubtotals="1" fieldPosition="0">
        <references count="1">
          <reference field="0" count="1">
            <x v="12"/>
          </reference>
        </references>
      </pivotArea>
    </format>
    <format dxfId="491">
      <pivotArea collapsedLevelsAreSubtotals="1" fieldPosition="0">
        <references count="2">
          <reference field="0" count="1" selected="0">
            <x v="12"/>
          </reference>
          <reference field="6" count="2">
            <x v="3"/>
            <x v="17"/>
          </reference>
        </references>
      </pivotArea>
    </format>
    <format dxfId="490">
      <pivotArea collapsedLevelsAreSubtotals="1" fieldPosition="0">
        <references count="1">
          <reference field="0" count="1">
            <x v="13"/>
          </reference>
        </references>
      </pivotArea>
    </format>
    <format dxfId="489">
      <pivotArea collapsedLevelsAreSubtotals="1" fieldPosition="0">
        <references count="2">
          <reference field="0" count="1" selected="0">
            <x v="13"/>
          </reference>
          <reference field="6" count="3">
            <x v="3"/>
            <x v="9"/>
            <x v="17"/>
          </reference>
        </references>
      </pivotArea>
    </format>
    <format dxfId="488">
      <pivotArea dataOnly="0" labelOnly="1" fieldPosition="0">
        <references count="1">
          <reference field="0" count="2">
            <x v="12"/>
            <x v="13"/>
          </reference>
        </references>
      </pivotArea>
    </format>
    <format dxfId="487">
      <pivotArea dataOnly="0" labelOnly="1" fieldPosition="0">
        <references count="2">
          <reference field="0" count="1" selected="0">
            <x v="11"/>
          </reference>
          <reference field="6" count="1">
            <x v="18"/>
          </reference>
        </references>
      </pivotArea>
    </format>
    <format dxfId="486">
      <pivotArea dataOnly="0" labelOnly="1" fieldPosition="0">
        <references count="2">
          <reference field="0" count="1" selected="0">
            <x v="12"/>
          </reference>
          <reference field="6" count="2">
            <x v="3"/>
            <x v="17"/>
          </reference>
        </references>
      </pivotArea>
    </format>
    <format dxfId="485">
      <pivotArea dataOnly="0" labelOnly="1" fieldPosition="0">
        <references count="2">
          <reference field="0" count="1" selected="0">
            <x v="13"/>
          </reference>
          <reference field="6" count="3">
            <x v="3"/>
            <x v="9"/>
            <x v="17"/>
          </reference>
        </references>
      </pivotArea>
    </format>
    <format dxfId="484">
      <pivotArea dataOnly="0" fieldPosition="0">
        <references count="1">
          <reference field="0" count="1">
            <x v="12"/>
          </reference>
        </references>
      </pivotArea>
    </format>
    <format dxfId="483">
      <pivotArea dataOnly="0" fieldPosition="0">
        <references count="1">
          <reference field="0" count="1">
            <x v="12"/>
          </reference>
        </references>
      </pivotArea>
    </format>
    <format dxfId="482">
      <pivotArea collapsedLevelsAreSubtotals="1" fieldPosition="0">
        <references count="1">
          <reference field="0" count="1">
            <x v="13"/>
          </reference>
        </references>
      </pivotArea>
    </format>
    <format dxfId="481">
      <pivotArea dataOnly="0" labelOnly="1" fieldPosition="0">
        <references count="1">
          <reference field="0" count="1">
            <x v="13"/>
          </reference>
        </references>
      </pivotArea>
    </format>
    <format dxfId="480">
      <pivotArea collapsedLevelsAreSubtotals="1" fieldPosition="0">
        <references count="1">
          <reference field="0" count="1">
            <x v="13"/>
          </reference>
        </references>
      </pivotArea>
    </format>
    <format dxfId="479">
      <pivotArea dataOnly="0" labelOnly="1" fieldPosition="0">
        <references count="1">
          <reference field="0" count="1">
            <x v="13"/>
          </reference>
        </references>
      </pivotArea>
    </format>
    <format dxfId="478">
      <pivotArea collapsedLevelsAreSubtotals="1" fieldPosition="0">
        <references count="3">
          <reference field="0" count="1" selected="0">
            <x v="11"/>
          </reference>
          <reference field="6" count="1">
            <x v="18"/>
          </reference>
          <reference field="7" count="1" selected="0">
            <x v="6"/>
          </reference>
        </references>
      </pivotArea>
    </format>
    <format dxfId="477">
      <pivotArea field="6" grandCol="1" collapsedLevelsAreSubtotals="1" axis="axisRow" fieldPosition="1">
        <references count="2">
          <reference field="0" count="1" selected="0">
            <x v="11"/>
          </reference>
          <reference field="6" count="1">
            <x v="18"/>
          </reference>
        </references>
      </pivotArea>
    </format>
    <format dxfId="476">
      <pivotArea collapsedLevelsAreSubtotals="1" fieldPosition="0">
        <references count="2">
          <reference field="0" count="1">
            <x v="12"/>
          </reference>
          <reference field="7" count="1" selected="0">
            <x v="6"/>
          </reference>
        </references>
      </pivotArea>
    </format>
    <format dxfId="475">
      <pivotArea field="0" grandCol="1" collapsedLevelsAreSubtotals="1" axis="axisRow" fieldPosition="0">
        <references count="1">
          <reference field="0" count="1">
            <x v="12"/>
          </reference>
        </references>
      </pivotArea>
    </format>
    <format dxfId="474">
      <pivotArea collapsedLevelsAreSubtotals="1" fieldPosition="0">
        <references count="3">
          <reference field="0" count="1" selected="0">
            <x v="12"/>
          </reference>
          <reference field="6" count="2">
            <x v="3"/>
            <x v="17"/>
          </reference>
          <reference field="7" count="1" selected="0">
            <x v="6"/>
          </reference>
        </references>
      </pivotArea>
    </format>
    <format dxfId="473">
      <pivotArea field="6" grandCol="1" collapsedLevelsAreSubtotals="1" axis="axisRow" fieldPosition="1">
        <references count="2">
          <reference field="0" count="1" selected="0">
            <x v="12"/>
          </reference>
          <reference field="6" count="2">
            <x v="3"/>
            <x v="17"/>
          </reference>
        </references>
      </pivotArea>
    </format>
    <format dxfId="472">
      <pivotArea collapsedLevelsAreSubtotals="1" fieldPosition="0">
        <references count="2">
          <reference field="0" count="1">
            <x v="13"/>
          </reference>
          <reference field="7" count="1" selected="0">
            <x v="6"/>
          </reference>
        </references>
      </pivotArea>
    </format>
    <format dxfId="471">
      <pivotArea field="0" grandCol="1" collapsedLevelsAreSubtotals="1" axis="axisRow" fieldPosition="0">
        <references count="1">
          <reference field="0" count="1">
            <x v="13"/>
          </reference>
        </references>
      </pivotArea>
    </format>
    <format dxfId="470">
      <pivotArea collapsedLevelsAreSubtotals="1" fieldPosition="0">
        <references count="3">
          <reference field="0" count="1" selected="0">
            <x v="13"/>
          </reference>
          <reference field="6" count="3">
            <x v="3"/>
            <x v="9"/>
            <x v="17"/>
          </reference>
          <reference field="7" count="1" selected="0">
            <x v="6"/>
          </reference>
        </references>
      </pivotArea>
    </format>
    <format dxfId="469">
      <pivotArea field="6" grandCol="1" collapsedLevelsAreSubtotals="1" axis="axisRow" fieldPosition="1">
        <references count="2">
          <reference field="0" count="1" selected="0">
            <x v="13"/>
          </reference>
          <reference field="6" count="3">
            <x v="3"/>
            <x v="9"/>
            <x v="17"/>
          </reference>
        </references>
      </pivotArea>
    </format>
    <format dxfId="468">
      <pivotArea collapsedLevelsAreSubtotals="1" fieldPosition="0">
        <references count="2">
          <reference field="0" count="1" selected="0">
            <x v="4"/>
          </reference>
          <reference field="6" count="1">
            <x v="21"/>
          </reference>
        </references>
      </pivotArea>
    </format>
    <format dxfId="467">
      <pivotArea dataOnly="0" labelOnly="1" fieldPosition="0">
        <references count="2">
          <reference field="0" count="1" selected="0">
            <x v="4"/>
          </reference>
          <reference field="6" count="1">
            <x v="21"/>
          </reference>
        </references>
      </pivotArea>
    </format>
    <format dxfId="466">
      <pivotArea collapsedLevelsAreSubtotals="1" fieldPosition="0">
        <references count="2">
          <reference field="0" count="1" selected="0">
            <x v="4"/>
          </reference>
          <reference field="6" count="1">
            <x v="21"/>
          </reference>
        </references>
      </pivotArea>
    </format>
    <format dxfId="465">
      <pivotArea dataOnly="0" labelOnly="1" fieldPosition="0">
        <references count="2">
          <reference field="0" count="1" selected="0">
            <x v="4"/>
          </reference>
          <reference field="6" count="1">
            <x v="21"/>
          </reference>
        </references>
      </pivotArea>
    </format>
    <format dxfId="464">
      <pivotArea dataOnly="0" labelOnly="1" fieldPosition="0">
        <references count="2">
          <reference field="0" count="1" selected="0">
            <x v="4"/>
          </reference>
          <reference field="6" count="1">
            <x v="21"/>
          </reference>
        </references>
      </pivotArea>
    </format>
    <format dxfId="463">
      <pivotArea collapsedLevelsAreSubtotals="1" fieldPosition="0">
        <references count="3">
          <reference field="0" count="1" selected="0">
            <x v="11"/>
          </reference>
          <reference field="6" count="1">
            <x v="18"/>
          </reference>
          <reference field="7" count="1" selected="0">
            <x v="0"/>
          </reference>
        </references>
      </pivotArea>
    </format>
  </formats>
  <chartFormats count="6">
    <chartFormat chart="3" format="114" series="1">
      <pivotArea type="data" outline="0" fieldPosition="0">
        <references count="1">
          <reference field="7" count="1" selected="0">
            <x v="0"/>
          </reference>
        </references>
      </pivotArea>
    </chartFormat>
    <chartFormat chart="3" format="115" series="1">
      <pivotArea type="data" outline="0" fieldPosition="0">
        <references count="1">
          <reference field="7" count="1" selected="0">
            <x v="1"/>
          </reference>
        </references>
      </pivotArea>
    </chartFormat>
    <chartFormat chart="3" format="116" series="1">
      <pivotArea type="data" outline="0" fieldPosition="0">
        <references count="1">
          <reference field="7" count="1" selected="0">
            <x v="3"/>
          </reference>
        </references>
      </pivotArea>
    </chartFormat>
    <chartFormat chart="3" format="117" series="1">
      <pivotArea type="data" outline="0" fieldPosition="0">
        <references count="1">
          <reference field="7" count="1" selected="0">
            <x v="4"/>
          </reference>
        </references>
      </pivotArea>
    </chartFormat>
    <chartFormat chart="3" format="118" series="1">
      <pivotArea type="data" outline="0" fieldPosition="0">
        <references count="1">
          <reference field="7" count="1" selected="0">
            <x v="5"/>
          </reference>
        </references>
      </pivotArea>
    </chartFormat>
    <chartFormat chart="3" format="119" series="1">
      <pivotArea type="data" outline="0" fieldPosition="0">
        <references count="1">
          <reference field="7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4.xml><?xml version="1.0" encoding="utf-8"?>
<pivotTableDefinition xmlns="http://schemas.openxmlformats.org/spreadsheetml/2006/main" name="TablaDinámica1" cacheId="6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4" rowHeaderCaption="Técnico Básico" colHeaderCaption="">
  <location ref="A3:M80" firstHeaderRow="1" firstDataRow="2" firstDataCol="1"/>
  <pivotFields count="21">
    <pivotField axis="axisRow" showAll="0">
      <items count="17">
        <item x="0"/>
        <item x="1"/>
        <item x="2"/>
        <item x="3"/>
        <item x="5"/>
        <item x="6"/>
        <item x="7"/>
        <item x="9"/>
        <item x="11"/>
        <item x="12"/>
        <item x="13"/>
        <item x="4"/>
        <item x="8"/>
        <item x="10"/>
        <item m="1" x="14"/>
        <item m="1" x="15"/>
        <item t="default"/>
      </items>
    </pivotField>
    <pivotField showAll="0" defaultSubtotal="0"/>
    <pivotField showAll="0" defaultSubtotal="0"/>
    <pivotField showAll="0" defaultSubtotal="0"/>
    <pivotField showAll="0"/>
    <pivotField showAll="0"/>
    <pivotField axis="axisRow" showAll="0">
      <items count="30">
        <item x="2"/>
        <item m="1" x="22"/>
        <item x="1"/>
        <item m="1" x="15"/>
        <item m="1" x="19"/>
        <item m="1" x="11"/>
        <item m="1" x="27"/>
        <item m="1" x="17"/>
        <item m="1" x="18"/>
        <item x="3"/>
        <item m="1" x="14"/>
        <item m="1" x="24"/>
        <item m="1" x="25"/>
        <item m="1" x="10"/>
        <item x="0"/>
        <item m="1" x="20"/>
        <item m="1" x="12"/>
        <item m="1" x="26"/>
        <item m="1" x="6"/>
        <item m="1" x="8"/>
        <item m="1" x="21"/>
        <item m="1" x="16"/>
        <item m="1" x="9"/>
        <item m="1" x="13"/>
        <item m="1" x="28"/>
        <item m="1" x="7"/>
        <item m="1" x="23"/>
        <item x="4"/>
        <item x="5"/>
        <item t="default"/>
      </items>
    </pivotField>
    <pivotField axis="axisCol" showAll="0">
      <items count="14">
        <item x="1"/>
        <item x="7"/>
        <item m="1" x="12"/>
        <item x="6"/>
        <item x="2"/>
        <item n="NVOS PROY." x="8"/>
        <item x="0"/>
        <item m="1" x="11"/>
        <item x="3"/>
        <item x="4"/>
        <item x="5"/>
        <item x="9"/>
        <item x="10"/>
        <item t="default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2">
    <field x="0"/>
    <field x="6"/>
  </rowFields>
  <rowItems count="76">
    <i>
      <x/>
    </i>
    <i r="1">
      <x/>
    </i>
    <i r="1">
      <x v="2"/>
    </i>
    <i r="1">
      <x v="9"/>
    </i>
    <i r="1">
      <x v="14"/>
    </i>
    <i r="1">
      <x v="27"/>
    </i>
    <i>
      <x v="1"/>
    </i>
    <i r="1">
      <x v="2"/>
    </i>
    <i r="1">
      <x v="9"/>
    </i>
    <i r="1">
      <x v="14"/>
    </i>
    <i>
      <x v="2"/>
    </i>
    <i r="1">
      <x/>
    </i>
    <i r="1">
      <x v="2"/>
    </i>
    <i r="1">
      <x v="9"/>
    </i>
    <i r="1">
      <x v="14"/>
    </i>
    <i r="1">
      <x v="27"/>
    </i>
    <i>
      <x v="3"/>
    </i>
    <i r="1">
      <x/>
    </i>
    <i r="1">
      <x v="2"/>
    </i>
    <i r="1">
      <x v="9"/>
    </i>
    <i r="1">
      <x v="14"/>
    </i>
    <i r="1">
      <x v="27"/>
    </i>
    <i>
      <x v="4"/>
    </i>
    <i r="1">
      <x/>
    </i>
    <i r="1">
      <x v="2"/>
    </i>
    <i r="1">
      <x v="9"/>
    </i>
    <i r="1">
      <x v="14"/>
    </i>
    <i r="1">
      <x v="27"/>
    </i>
    <i r="1">
      <x v="28"/>
    </i>
    <i>
      <x v="5"/>
    </i>
    <i r="1">
      <x/>
    </i>
    <i r="1">
      <x v="2"/>
    </i>
    <i r="1">
      <x v="9"/>
    </i>
    <i r="1">
      <x v="14"/>
    </i>
    <i r="1">
      <x v="27"/>
    </i>
    <i>
      <x v="6"/>
    </i>
    <i r="1">
      <x/>
    </i>
    <i r="1">
      <x v="2"/>
    </i>
    <i r="1">
      <x v="9"/>
    </i>
    <i r="1">
      <x v="14"/>
    </i>
    <i r="1">
      <x v="27"/>
    </i>
    <i>
      <x v="7"/>
    </i>
    <i r="1">
      <x/>
    </i>
    <i r="1">
      <x v="2"/>
    </i>
    <i r="1">
      <x v="9"/>
    </i>
    <i r="1">
      <x v="14"/>
    </i>
    <i r="1">
      <x v="27"/>
    </i>
    <i>
      <x v="8"/>
    </i>
    <i r="1">
      <x v="2"/>
    </i>
    <i r="1">
      <x v="14"/>
    </i>
    <i>
      <x v="9"/>
    </i>
    <i r="1">
      <x/>
    </i>
    <i r="1">
      <x v="2"/>
    </i>
    <i r="1">
      <x v="9"/>
    </i>
    <i r="1">
      <x v="14"/>
    </i>
    <i r="1">
      <x v="27"/>
    </i>
    <i>
      <x v="10"/>
    </i>
    <i r="1">
      <x/>
    </i>
    <i r="1">
      <x v="2"/>
    </i>
    <i r="1">
      <x v="9"/>
    </i>
    <i r="1">
      <x v="14"/>
    </i>
    <i r="1">
      <x v="27"/>
    </i>
    <i>
      <x v="11"/>
    </i>
    <i r="1">
      <x/>
    </i>
    <i r="1">
      <x v="2"/>
    </i>
    <i r="1">
      <x v="9"/>
    </i>
    <i r="1">
      <x v="14"/>
    </i>
    <i r="1">
      <x v="27"/>
    </i>
    <i>
      <x v="12"/>
    </i>
    <i r="1">
      <x v="2"/>
    </i>
    <i r="1">
      <x v="14"/>
    </i>
    <i>
      <x v="13"/>
    </i>
    <i r="1">
      <x v="2"/>
    </i>
    <i r="1">
      <x v="9"/>
    </i>
    <i r="1">
      <x v="14"/>
    </i>
    <i t="grand">
      <x/>
    </i>
  </rowItems>
  <colFields count="1">
    <field x="7"/>
  </colFields>
  <colItems count="12">
    <i>
      <x/>
    </i>
    <i>
      <x v="1"/>
    </i>
    <i>
      <x v="3"/>
    </i>
    <i>
      <x v="4"/>
    </i>
    <i>
      <x v="5"/>
    </i>
    <i>
      <x v="6"/>
    </i>
    <i>
      <x v="8"/>
    </i>
    <i>
      <x v="9"/>
    </i>
    <i>
      <x v="10"/>
    </i>
    <i>
      <x v="11"/>
    </i>
    <i>
      <x v="12"/>
    </i>
    <i t="grand">
      <x/>
    </i>
  </colItems>
  <formats count="235">
    <format dxfId="462">
      <pivotArea type="origin" dataOnly="0" labelOnly="1" outline="0" fieldPosition="0"/>
    </format>
    <format dxfId="461">
      <pivotArea field="7" type="button" dataOnly="0" labelOnly="1" outline="0" axis="axisCol" fieldPosition="0"/>
    </format>
    <format dxfId="460">
      <pivotArea type="origin" dataOnly="0" labelOnly="1" outline="0" fieldPosition="0"/>
    </format>
    <format dxfId="459">
      <pivotArea field="7" type="button" dataOnly="0" labelOnly="1" outline="0" axis="axisCol" fieldPosition="0"/>
    </format>
    <format dxfId="458">
      <pivotArea field="0" type="button" dataOnly="0" labelOnly="1" outline="0" axis="axisRow" fieldPosition="0"/>
    </format>
    <format dxfId="457">
      <pivotArea field="0" type="button" dataOnly="0" labelOnly="1" outline="0" axis="axisRow" fieldPosition="0"/>
    </format>
    <format dxfId="456">
      <pivotArea grandRow="1" outline="0" collapsedLevelsAreSubtotals="1" fieldPosition="0"/>
    </format>
    <format dxfId="455">
      <pivotArea collapsedLevelsAreSubtotals="1" fieldPosition="0">
        <references count="1">
          <reference field="0" count="0"/>
        </references>
      </pivotArea>
    </format>
    <format dxfId="454">
      <pivotArea collapsedLevelsAreSubtotals="1" fieldPosition="0">
        <references count="1">
          <reference field="0" count="0"/>
        </references>
      </pivotArea>
    </format>
    <format dxfId="453">
      <pivotArea collapsedLevelsAreSubtotals="1" fieldPosition="0">
        <references count="1">
          <reference field="0" count="1">
            <x v="0"/>
          </reference>
        </references>
      </pivotArea>
    </format>
    <format dxfId="452">
      <pivotArea collapsedLevelsAreSubtotals="1" fieldPosition="0">
        <references count="2">
          <reference field="0" count="1" selected="0">
            <x v="0"/>
          </reference>
          <reference field="6" count="4">
            <x v="3"/>
            <x v="4"/>
            <x v="17"/>
            <x v="18"/>
          </reference>
        </references>
      </pivotArea>
    </format>
    <format dxfId="451">
      <pivotArea collapsedLevelsAreSubtotals="1" fieldPosition="0">
        <references count="1">
          <reference field="0" count="1">
            <x v="1"/>
          </reference>
        </references>
      </pivotArea>
    </format>
    <format dxfId="450">
      <pivotArea collapsedLevelsAreSubtotals="1" fieldPosition="0">
        <references count="2">
          <reference field="0" count="1" selected="0">
            <x v="1"/>
          </reference>
          <reference field="6" count="3">
            <x v="3"/>
            <x v="9"/>
            <x v="17"/>
          </reference>
        </references>
      </pivotArea>
    </format>
    <format dxfId="449">
      <pivotArea collapsedLevelsAreSubtotals="1" fieldPosition="0">
        <references count="1">
          <reference field="0" count="1">
            <x v="2"/>
          </reference>
        </references>
      </pivotArea>
    </format>
    <format dxfId="448">
      <pivotArea collapsedLevelsAreSubtotals="1" fieldPosition="0">
        <references count="2">
          <reference field="0" count="1" selected="0">
            <x v="2"/>
          </reference>
          <reference field="6" count="2">
            <x v="3"/>
            <x v="17"/>
          </reference>
        </references>
      </pivotArea>
    </format>
    <format dxfId="447">
      <pivotArea collapsedLevelsAreSubtotals="1" fieldPosition="0">
        <references count="1">
          <reference field="0" count="1">
            <x v="3"/>
          </reference>
        </references>
      </pivotArea>
    </format>
    <format dxfId="446">
      <pivotArea collapsedLevelsAreSubtotals="1" fieldPosition="0">
        <references count="2">
          <reference field="0" count="1" selected="0">
            <x v="3"/>
          </reference>
          <reference field="6" count="7">
            <x v="3"/>
            <x v="4"/>
            <x v="7"/>
            <x v="9"/>
            <x v="17"/>
            <x v="18"/>
            <x v="21"/>
          </reference>
        </references>
      </pivotArea>
    </format>
    <format dxfId="445">
      <pivotArea collapsedLevelsAreSubtotals="1" fieldPosition="0">
        <references count="1">
          <reference field="0" count="1">
            <x v="4"/>
          </reference>
        </references>
      </pivotArea>
    </format>
    <format dxfId="444">
      <pivotArea collapsedLevelsAreSubtotals="1" fieldPosition="0">
        <references count="2">
          <reference field="0" count="1" selected="0">
            <x v="4"/>
          </reference>
          <reference field="6" count="4">
            <x v="3"/>
            <x v="4"/>
            <x v="17"/>
            <x v="18"/>
          </reference>
        </references>
      </pivotArea>
    </format>
    <format dxfId="443">
      <pivotArea collapsedLevelsAreSubtotals="1" fieldPosition="0">
        <references count="1">
          <reference field="0" count="1">
            <x v="5"/>
          </reference>
        </references>
      </pivotArea>
    </format>
    <format dxfId="442">
      <pivotArea collapsedLevelsAreSubtotals="1" fieldPosition="0">
        <references count="2">
          <reference field="0" count="1" selected="0">
            <x v="5"/>
          </reference>
          <reference field="6" count="5">
            <x v="3"/>
            <x v="4"/>
            <x v="9"/>
            <x v="17"/>
            <x v="18"/>
          </reference>
        </references>
      </pivotArea>
    </format>
    <format dxfId="441">
      <pivotArea collapsedLevelsAreSubtotals="1" fieldPosition="0">
        <references count="1">
          <reference field="0" count="1">
            <x v="6"/>
          </reference>
        </references>
      </pivotArea>
    </format>
    <format dxfId="440">
      <pivotArea collapsedLevelsAreSubtotals="1" fieldPosition="0">
        <references count="2">
          <reference field="0" count="1" selected="0">
            <x v="6"/>
          </reference>
          <reference field="6" count="5">
            <x v="3"/>
            <x v="4"/>
            <x v="9"/>
            <x v="17"/>
            <x v="18"/>
          </reference>
        </references>
      </pivotArea>
    </format>
    <format dxfId="439">
      <pivotArea collapsedLevelsAreSubtotals="1" fieldPosition="0">
        <references count="1">
          <reference field="0" count="1">
            <x v="7"/>
          </reference>
        </references>
      </pivotArea>
    </format>
    <format dxfId="438">
      <pivotArea collapsedLevelsAreSubtotals="1" fieldPosition="0">
        <references count="2">
          <reference field="0" count="1" selected="0">
            <x v="7"/>
          </reference>
          <reference field="6" count="5">
            <x v="3"/>
            <x v="4"/>
            <x v="9"/>
            <x v="17"/>
            <x v="18"/>
          </reference>
        </references>
      </pivotArea>
    </format>
    <format dxfId="437">
      <pivotArea collapsedLevelsAreSubtotals="1" fieldPosition="0">
        <references count="1">
          <reference field="0" count="1">
            <x v="8"/>
          </reference>
        </references>
      </pivotArea>
    </format>
    <format dxfId="436">
      <pivotArea collapsedLevelsAreSubtotals="1" fieldPosition="0">
        <references count="2">
          <reference field="0" count="1" selected="0">
            <x v="8"/>
          </reference>
          <reference field="6" count="3">
            <x v="3"/>
            <x v="4"/>
            <x v="18"/>
          </reference>
        </references>
      </pivotArea>
    </format>
    <format dxfId="435">
      <pivotArea collapsedLevelsAreSubtotals="1" fieldPosition="0">
        <references count="1">
          <reference field="0" count="1">
            <x v="9"/>
          </reference>
        </references>
      </pivotArea>
    </format>
    <format dxfId="434">
      <pivotArea collapsedLevelsAreSubtotals="1" fieldPosition="0">
        <references count="2">
          <reference field="0" count="1" selected="0">
            <x v="9"/>
          </reference>
          <reference field="6" count="5">
            <x v="3"/>
            <x v="4"/>
            <x v="9"/>
            <x v="17"/>
            <x v="18"/>
          </reference>
        </references>
      </pivotArea>
    </format>
    <format dxfId="433">
      <pivotArea collapsedLevelsAreSubtotals="1" fieldPosition="0">
        <references count="1">
          <reference field="0" count="1">
            <x v="10"/>
          </reference>
        </references>
      </pivotArea>
    </format>
    <format dxfId="432">
      <pivotArea collapsedLevelsAreSubtotals="1" fieldPosition="0">
        <references count="2">
          <reference field="0" count="1" selected="0">
            <x v="10"/>
          </reference>
          <reference field="6" count="6">
            <x v="3"/>
            <x v="4"/>
            <x v="6"/>
            <x v="9"/>
            <x v="17"/>
            <x v="18"/>
          </reference>
        </references>
      </pivotArea>
    </format>
    <format dxfId="431">
      <pivotArea collapsedLevelsAreSubtotals="1" fieldPosition="0">
        <references count="1">
          <reference field="0" count="1">
            <x v="11"/>
          </reference>
        </references>
      </pivotArea>
    </format>
    <format dxfId="430">
      <pivotArea collapsedLevelsAreSubtotals="1" fieldPosition="0">
        <references count="2">
          <reference field="0" count="1" selected="0">
            <x v="11"/>
          </reference>
          <reference field="6" count="4">
            <x v="3"/>
            <x v="4"/>
            <x v="9"/>
            <x v="17"/>
          </reference>
        </references>
      </pivotArea>
    </format>
    <format dxfId="429">
      <pivotArea collapsedLevelsAreSubtotals="1" fieldPosition="0">
        <references count="1">
          <reference field="0" count="1">
            <x v="0"/>
          </reference>
        </references>
      </pivotArea>
    </format>
    <format dxfId="428">
      <pivotArea collapsedLevelsAreSubtotals="1" fieldPosition="0">
        <references count="2">
          <reference field="0" count="1" selected="0">
            <x v="0"/>
          </reference>
          <reference field="6" count="4">
            <x v="3"/>
            <x v="4"/>
            <x v="17"/>
            <x v="18"/>
          </reference>
        </references>
      </pivotArea>
    </format>
    <format dxfId="427">
      <pivotArea collapsedLevelsAreSubtotals="1" fieldPosition="0">
        <references count="1">
          <reference field="0" count="1">
            <x v="1"/>
          </reference>
        </references>
      </pivotArea>
    </format>
    <format dxfId="426">
      <pivotArea collapsedLevelsAreSubtotals="1" fieldPosition="0">
        <references count="2">
          <reference field="0" count="1" selected="0">
            <x v="1"/>
          </reference>
          <reference field="6" count="3">
            <x v="3"/>
            <x v="9"/>
            <x v="17"/>
          </reference>
        </references>
      </pivotArea>
    </format>
    <format dxfId="425">
      <pivotArea collapsedLevelsAreSubtotals="1" fieldPosition="0">
        <references count="1">
          <reference field="0" count="1">
            <x v="2"/>
          </reference>
        </references>
      </pivotArea>
    </format>
    <format dxfId="424">
      <pivotArea collapsedLevelsAreSubtotals="1" fieldPosition="0">
        <references count="2">
          <reference field="0" count="1" selected="0">
            <x v="2"/>
          </reference>
          <reference field="6" count="2">
            <x v="3"/>
            <x v="17"/>
          </reference>
        </references>
      </pivotArea>
    </format>
    <format dxfId="423">
      <pivotArea collapsedLevelsAreSubtotals="1" fieldPosition="0">
        <references count="1">
          <reference field="0" count="1">
            <x v="3"/>
          </reference>
        </references>
      </pivotArea>
    </format>
    <format dxfId="422">
      <pivotArea collapsedLevelsAreSubtotals="1" fieldPosition="0">
        <references count="2">
          <reference field="0" count="1" selected="0">
            <x v="3"/>
          </reference>
          <reference field="6" count="7">
            <x v="3"/>
            <x v="4"/>
            <x v="7"/>
            <x v="9"/>
            <x v="17"/>
            <x v="18"/>
            <x v="21"/>
          </reference>
        </references>
      </pivotArea>
    </format>
    <format dxfId="421">
      <pivotArea collapsedLevelsAreSubtotals="1" fieldPosition="0">
        <references count="1">
          <reference field="0" count="1">
            <x v="4"/>
          </reference>
        </references>
      </pivotArea>
    </format>
    <format dxfId="420">
      <pivotArea collapsedLevelsAreSubtotals="1" fieldPosition="0">
        <references count="2">
          <reference field="0" count="1" selected="0">
            <x v="4"/>
          </reference>
          <reference field="6" count="4">
            <x v="3"/>
            <x v="4"/>
            <x v="17"/>
            <x v="18"/>
          </reference>
        </references>
      </pivotArea>
    </format>
    <format dxfId="419">
      <pivotArea collapsedLevelsAreSubtotals="1" fieldPosition="0">
        <references count="1">
          <reference field="0" count="1">
            <x v="5"/>
          </reference>
        </references>
      </pivotArea>
    </format>
    <format dxfId="418">
      <pivotArea collapsedLevelsAreSubtotals="1" fieldPosition="0">
        <references count="2">
          <reference field="0" count="1" selected="0">
            <x v="5"/>
          </reference>
          <reference field="6" count="5">
            <x v="3"/>
            <x v="4"/>
            <x v="9"/>
            <x v="17"/>
            <x v="18"/>
          </reference>
        </references>
      </pivotArea>
    </format>
    <format dxfId="417">
      <pivotArea collapsedLevelsAreSubtotals="1" fieldPosition="0">
        <references count="1">
          <reference field="0" count="1">
            <x v="6"/>
          </reference>
        </references>
      </pivotArea>
    </format>
    <format dxfId="416">
      <pivotArea collapsedLevelsAreSubtotals="1" fieldPosition="0">
        <references count="2">
          <reference field="0" count="1" selected="0">
            <x v="6"/>
          </reference>
          <reference field="6" count="5">
            <x v="3"/>
            <x v="4"/>
            <x v="9"/>
            <x v="17"/>
            <x v="18"/>
          </reference>
        </references>
      </pivotArea>
    </format>
    <format dxfId="415">
      <pivotArea collapsedLevelsAreSubtotals="1" fieldPosition="0">
        <references count="1">
          <reference field="0" count="1">
            <x v="7"/>
          </reference>
        </references>
      </pivotArea>
    </format>
    <format dxfId="414">
      <pivotArea collapsedLevelsAreSubtotals="1" fieldPosition="0">
        <references count="2">
          <reference field="0" count="1" selected="0">
            <x v="7"/>
          </reference>
          <reference field="6" count="5">
            <x v="3"/>
            <x v="4"/>
            <x v="9"/>
            <x v="17"/>
            <x v="18"/>
          </reference>
        </references>
      </pivotArea>
    </format>
    <format dxfId="413">
      <pivotArea collapsedLevelsAreSubtotals="1" fieldPosition="0">
        <references count="1">
          <reference field="0" count="1">
            <x v="8"/>
          </reference>
        </references>
      </pivotArea>
    </format>
    <format dxfId="412">
      <pivotArea collapsedLevelsAreSubtotals="1" fieldPosition="0">
        <references count="2">
          <reference field="0" count="1" selected="0">
            <x v="8"/>
          </reference>
          <reference field="6" count="3">
            <x v="3"/>
            <x v="4"/>
            <x v="18"/>
          </reference>
        </references>
      </pivotArea>
    </format>
    <format dxfId="411">
      <pivotArea collapsedLevelsAreSubtotals="1" fieldPosition="0">
        <references count="1">
          <reference field="0" count="1">
            <x v="9"/>
          </reference>
        </references>
      </pivotArea>
    </format>
    <format dxfId="410">
      <pivotArea collapsedLevelsAreSubtotals="1" fieldPosition="0">
        <references count="2">
          <reference field="0" count="1" selected="0">
            <x v="9"/>
          </reference>
          <reference field="6" count="5">
            <x v="3"/>
            <x v="4"/>
            <x v="9"/>
            <x v="17"/>
            <x v="18"/>
          </reference>
        </references>
      </pivotArea>
    </format>
    <format dxfId="409">
      <pivotArea collapsedLevelsAreSubtotals="1" fieldPosition="0">
        <references count="1">
          <reference field="0" count="1">
            <x v="10"/>
          </reference>
        </references>
      </pivotArea>
    </format>
    <format dxfId="408">
      <pivotArea collapsedLevelsAreSubtotals="1" fieldPosition="0">
        <references count="2">
          <reference field="0" count="1" selected="0">
            <x v="10"/>
          </reference>
          <reference field="6" count="6">
            <x v="3"/>
            <x v="4"/>
            <x v="6"/>
            <x v="9"/>
            <x v="17"/>
            <x v="18"/>
          </reference>
        </references>
      </pivotArea>
    </format>
    <format dxfId="407">
      <pivotArea collapsedLevelsAreSubtotals="1" fieldPosition="0">
        <references count="1">
          <reference field="0" count="1">
            <x v="11"/>
          </reference>
        </references>
      </pivotArea>
    </format>
    <format dxfId="406">
      <pivotArea collapsedLevelsAreSubtotals="1" fieldPosition="0">
        <references count="2">
          <reference field="0" count="1" selected="0">
            <x v="11"/>
          </reference>
          <reference field="6" count="4">
            <x v="3"/>
            <x v="4"/>
            <x v="9"/>
            <x v="17"/>
          </reference>
        </references>
      </pivotArea>
    </format>
    <format dxfId="405">
      <pivotArea collapsedLevelsAreSubtotals="1" fieldPosition="0">
        <references count="1">
          <reference field="0" count="1">
            <x v="0"/>
          </reference>
        </references>
      </pivotArea>
    </format>
    <format dxfId="404">
      <pivotArea collapsedLevelsAreSubtotals="1" fieldPosition="0">
        <references count="2">
          <reference field="0" count="1" selected="0">
            <x v="0"/>
          </reference>
          <reference field="6" count="4">
            <x v="3"/>
            <x v="4"/>
            <x v="17"/>
            <x v="18"/>
          </reference>
        </references>
      </pivotArea>
    </format>
    <format dxfId="403">
      <pivotArea collapsedLevelsAreSubtotals="1" fieldPosition="0">
        <references count="1">
          <reference field="0" count="1">
            <x v="1"/>
          </reference>
        </references>
      </pivotArea>
    </format>
    <format dxfId="402">
      <pivotArea collapsedLevelsAreSubtotals="1" fieldPosition="0">
        <references count="2">
          <reference field="0" count="1" selected="0">
            <x v="1"/>
          </reference>
          <reference field="6" count="3">
            <x v="3"/>
            <x v="9"/>
            <x v="17"/>
          </reference>
        </references>
      </pivotArea>
    </format>
    <format dxfId="401">
      <pivotArea collapsedLevelsAreSubtotals="1" fieldPosition="0">
        <references count="1">
          <reference field="0" count="1">
            <x v="2"/>
          </reference>
        </references>
      </pivotArea>
    </format>
    <format dxfId="400">
      <pivotArea collapsedLevelsAreSubtotals="1" fieldPosition="0">
        <references count="2">
          <reference field="0" count="1" selected="0">
            <x v="2"/>
          </reference>
          <reference field="6" count="2">
            <x v="3"/>
            <x v="17"/>
          </reference>
        </references>
      </pivotArea>
    </format>
    <format dxfId="399">
      <pivotArea collapsedLevelsAreSubtotals="1" fieldPosition="0">
        <references count="1">
          <reference field="0" count="1">
            <x v="3"/>
          </reference>
        </references>
      </pivotArea>
    </format>
    <format dxfId="398">
      <pivotArea collapsedLevelsAreSubtotals="1" fieldPosition="0">
        <references count="2">
          <reference field="0" count="1" selected="0">
            <x v="3"/>
          </reference>
          <reference field="6" count="7">
            <x v="3"/>
            <x v="4"/>
            <x v="7"/>
            <x v="9"/>
            <x v="17"/>
            <x v="18"/>
            <x v="21"/>
          </reference>
        </references>
      </pivotArea>
    </format>
    <format dxfId="397">
      <pivotArea collapsedLevelsAreSubtotals="1" fieldPosition="0">
        <references count="1">
          <reference field="0" count="1">
            <x v="4"/>
          </reference>
        </references>
      </pivotArea>
    </format>
    <format dxfId="396">
      <pivotArea collapsedLevelsAreSubtotals="1" fieldPosition="0">
        <references count="2">
          <reference field="0" count="1" selected="0">
            <x v="4"/>
          </reference>
          <reference field="6" count="4">
            <x v="3"/>
            <x v="4"/>
            <x v="17"/>
            <x v="18"/>
          </reference>
        </references>
      </pivotArea>
    </format>
    <format dxfId="395">
      <pivotArea collapsedLevelsAreSubtotals="1" fieldPosition="0">
        <references count="1">
          <reference field="0" count="1">
            <x v="5"/>
          </reference>
        </references>
      </pivotArea>
    </format>
    <format dxfId="394">
      <pivotArea collapsedLevelsAreSubtotals="1" fieldPosition="0">
        <references count="2">
          <reference field="0" count="1" selected="0">
            <x v="5"/>
          </reference>
          <reference field="6" count="5">
            <x v="3"/>
            <x v="4"/>
            <x v="9"/>
            <x v="17"/>
            <x v="18"/>
          </reference>
        </references>
      </pivotArea>
    </format>
    <format dxfId="393">
      <pivotArea collapsedLevelsAreSubtotals="1" fieldPosition="0">
        <references count="1">
          <reference field="0" count="1">
            <x v="6"/>
          </reference>
        </references>
      </pivotArea>
    </format>
    <format dxfId="392">
      <pivotArea collapsedLevelsAreSubtotals="1" fieldPosition="0">
        <references count="2">
          <reference field="0" count="1" selected="0">
            <x v="6"/>
          </reference>
          <reference field="6" count="5">
            <x v="3"/>
            <x v="4"/>
            <x v="9"/>
            <x v="17"/>
            <x v="18"/>
          </reference>
        </references>
      </pivotArea>
    </format>
    <format dxfId="391">
      <pivotArea collapsedLevelsAreSubtotals="1" fieldPosition="0">
        <references count="1">
          <reference field="0" count="1">
            <x v="7"/>
          </reference>
        </references>
      </pivotArea>
    </format>
    <format dxfId="390">
      <pivotArea collapsedLevelsAreSubtotals="1" fieldPosition="0">
        <references count="2">
          <reference field="0" count="1" selected="0">
            <x v="7"/>
          </reference>
          <reference field="6" count="5">
            <x v="3"/>
            <x v="4"/>
            <x v="9"/>
            <x v="17"/>
            <x v="18"/>
          </reference>
        </references>
      </pivotArea>
    </format>
    <format dxfId="389">
      <pivotArea collapsedLevelsAreSubtotals="1" fieldPosition="0">
        <references count="1">
          <reference field="0" count="1">
            <x v="8"/>
          </reference>
        </references>
      </pivotArea>
    </format>
    <format dxfId="388">
      <pivotArea collapsedLevelsAreSubtotals="1" fieldPosition="0">
        <references count="2">
          <reference field="0" count="1" selected="0">
            <x v="8"/>
          </reference>
          <reference field="6" count="3">
            <x v="3"/>
            <x v="4"/>
            <x v="18"/>
          </reference>
        </references>
      </pivotArea>
    </format>
    <format dxfId="387">
      <pivotArea collapsedLevelsAreSubtotals="1" fieldPosition="0">
        <references count="1">
          <reference field="0" count="1">
            <x v="9"/>
          </reference>
        </references>
      </pivotArea>
    </format>
    <format dxfId="386">
      <pivotArea collapsedLevelsAreSubtotals="1" fieldPosition="0">
        <references count="2">
          <reference field="0" count="1" selected="0">
            <x v="9"/>
          </reference>
          <reference field="6" count="5">
            <x v="3"/>
            <x v="4"/>
            <x v="9"/>
            <x v="17"/>
            <x v="18"/>
          </reference>
        </references>
      </pivotArea>
    </format>
    <format dxfId="385">
      <pivotArea collapsedLevelsAreSubtotals="1" fieldPosition="0">
        <references count="1">
          <reference field="0" count="1">
            <x v="10"/>
          </reference>
        </references>
      </pivotArea>
    </format>
    <format dxfId="384">
      <pivotArea collapsedLevelsAreSubtotals="1" fieldPosition="0">
        <references count="2">
          <reference field="0" count="1" selected="0">
            <x v="10"/>
          </reference>
          <reference field="6" count="6">
            <x v="3"/>
            <x v="4"/>
            <x v="6"/>
            <x v="9"/>
            <x v="17"/>
            <x v="18"/>
          </reference>
        </references>
      </pivotArea>
    </format>
    <format dxfId="383">
      <pivotArea collapsedLevelsAreSubtotals="1" fieldPosition="0">
        <references count="1">
          <reference field="0" count="1">
            <x v="11"/>
          </reference>
        </references>
      </pivotArea>
    </format>
    <format dxfId="382">
      <pivotArea collapsedLevelsAreSubtotals="1" fieldPosition="0">
        <references count="2">
          <reference field="0" count="1" selected="0">
            <x v="11"/>
          </reference>
          <reference field="6" count="4">
            <x v="3"/>
            <x v="4"/>
            <x v="9"/>
            <x v="17"/>
          </reference>
        </references>
      </pivotArea>
    </format>
    <format dxfId="381">
      <pivotArea collapsedLevelsAreSubtotals="1" fieldPosition="0">
        <references count="1">
          <reference field="0" count="1">
            <x v="0"/>
          </reference>
        </references>
      </pivotArea>
    </format>
    <format dxfId="380">
      <pivotArea collapsedLevelsAreSubtotals="1" fieldPosition="0">
        <references count="2">
          <reference field="0" count="1" selected="0">
            <x v="0"/>
          </reference>
          <reference field="6" count="4">
            <x v="3"/>
            <x v="4"/>
            <x v="17"/>
            <x v="18"/>
          </reference>
        </references>
      </pivotArea>
    </format>
    <format dxfId="379">
      <pivotArea collapsedLevelsAreSubtotals="1" fieldPosition="0">
        <references count="1">
          <reference field="0" count="1">
            <x v="1"/>
          </reference>
        </references>
      </pivotArea>
    </format>
    <format dxfId="378">
      <pivotArea collapsedLevelsAreSubtotals="1" fieldPosition="0">
        <references count="2">
          <reference field="0" count="1" selected="0">
            <x v="1"/>
          </reference>
          <reference field="6" count="3">
            <x v="3"/>
            <x v="9"/>
            <x v="17"/>
          </reference>
        </references>
      </pivotArea>
    </format>
    <format dxfId="377">
      <pivotArea collapsedLevelsAreSubtotals="1" fieldPosition="0">
        <references count="1">
          <reference field="0" count="1">
            <x v="2"/>
          </reference>
        </references>
      </pivotArea>
    </format>
    <format dxfId="376">
      <pivotArea collapsedLevelsAreSubtotals="1" fieldPosition="0">
        <references count="2">
          <reference field="0" count="1" selected="0">
            <x v="2"/>
          </reference>
          <reference field="6" count="2">
            <x v="3"/>
            <x v="17"/>
          </reference>
        </references>
      </pivotArea>
    </format>
    <format dxfId="375">
      <pivotArea collapsedLevelsAreSubtotals="1" fieldPosition="0">
        <references count="1">
          <reference field="0" count="1">
            <x v="3"/>
          </reference>
        </references>
      </pivotArea>
    </format>
    <format dxfId="374">
      <pivotArea collapsedLevelsAreSubtotals="1" fieldPosition="0">
        <references count="2">
          <reference field="0" count="1" selected="0">
            <x v="3"/>
          </reference>
          <reference field="6" count="7">
            <x v="3"/>
            <x v="4"/>
            <x v="7"/>
            <x v="9"/>
            <x v="17"/>
            <x v="18"/>
            <x v="21"/>
          </reference>
        </references>
      </pivotArea>
    </format>
    <format dxfId="373">
      <pivotArea collapsedLevelsAreSubtotals="1" fieldPosition="0">
        <references count="1">
          <reference field="0" count="1">
            <x v="4"/>
          </reference>
        </references>
      </pivotArea>
    </format>
    <format dxfId="372">
      <pivotArea collapsedLevelsAreSubtotals="1" fieldPosition="0">
        <references count="2">
          <reference field="0" count="1" selected="0">
            <x v="4"/>
          </reference>
          <reference field="6" count="4">
            <x v="3"/>
            <x v="4"/>
            <x v="17"/>
            <x v="18"/>
          </reference>
        </references>
      </pivotArea>
    </format>
    <format dxfId="371">
      <pivotArea collapsedLevelsAreSubtotals="1" fieldPosition="0">
        <references count="1">
          <reference field="0" count="1">
            <x v="5"/>
          </reference>
        </references>
      </pivotArea>
    </format>
    <format dxfId="370">
      <pivotArea collapsedLevelsAreSubtotals="1" fieldPosition="0">
        <references count="2">
          <reference field="0" count="1" selected="0">
            <x v="5"/>
          </reference>
          <reference field="6" count="5">
            <x v="3"/>
            <x v="4"/>
            <x v="9"/>
            <x v="17"/>
            <x v="18"/>
          </reference>
        </references>
      </pivotArea>
    </format>
    <format dxfId="369">
      <pivotArea collapsedLevelsAreSubtotals="1" fieldPosition="0">
        <references count="1">
          <reference field="0" count="1">
            <x v="6"/>
          </reference>
        </references>
      </pivotArea>
    </format>
    <format dxfId="368">
      <pivotArea collapsedLevelsAreSubtotals="1" fieldPosition="0">
        <references count="2">
          <reference field="0" count="1" selected="0">
            <x v="6"/>
          </reference>
          <reference field="6" count="5">
            <x v="3"/>
            <x v="4"/>
            <x v="9"/>
            <x v="17"/>
            <x v="18"/>
          </reference>
        </references>
      </pivotArea>
    </format>
    <format dxfId="367">
      <pivotArea collapsedLevelsAreSubtotals="1" fieldPosition="0">
        <references count="1">
          <reference field="0" count="1">
            <x v="7"/>
          </reference>
        </references>
      </pivotArea>
    </format>
    <format dxfId="366">
      <pivotArea collapsedLevelsAreSubtotals="1" fieldPosition="0">
        <references count="2">
          <reference field="0" count="1" selected="0">
            <x v="7"/>
          </reference>
          <reference field="6" count="5">
            <x v="3"/>
            <x v="4"/>
            <x v="9"/>
            <x v="17"/>
            <x v="18"/>
          </reference>
        </references>
      </pivotArea>
    </format>
    <format dxfId="365">
      <pivotArea collapsedLevelsAreSubtotals="1" fieldPosition="0">
        <references count="1">
          <reference field="0" count="1">
            <x v="8"/>
          </reference>
        </references>
      </pivotArea>
    </format>
    <format dxfId="364">
      <pivotArea collapsedLevelsAreSubtotals="1" fieldPosition="0">
        <references count="2">
          <reference field="0" count="1" selected="0">
            <x v="8"/>
          </reference>
          <reference field="6" count="3">
            <x v="3"/>
            <x v="4"/>
            <x v="18"/>
          </reference>
        </references>
      </pivotArea>
    </format>
    <format dxfId="363">
      <pivotArea collapsedLevelsAreSubtotals="1" fieldPosition="0">
        <references count="1">
          <reference field="0" count="1">
            <x v="9"/>
          </reference>
        </references>
      </pivotArea>
    </format>
    <format dxfId="362">
      <pivotArea collapsedLevelsAreSubtotals="1" fieldPosition="0">
        <references count="2">
          <reference field="0" count="1" selected="0">
            <x v="9"/>
          </reference>
          <reference field="6" count="5">
            <x v="3"/>
            <x v="4"/>
            <x v="9"/>
            <x v="17"/>
            <x v="18"/>
          </reference>
        </references>
      </pivotArea>
    </format>
    <format dxfId="361">
      <pivotArea collapsedLevelsAreSubtotals="1" fieldPosition="0">
        <references count="1">
          <reference field="0" count="1">
            <x v="10"/>
          </reference>
        </references>
      </pivotArea>
    </format>
    <format dxfId="360">
      <pivotArea collapsedLevelsAreSubtotals="1" fieldPosition="0">
        <references count="2">
          <reference field="0" count="1" selected="0">
            <x v="10"/>
          </reference>
          <reference field="6" count="6">
            <x v="3"/>
            <x v="4"/>
            <x v="6"/>
            <x v="9"/>
            <x v="17"/>
            <x v="18"/>
          </reference>
        </references>
      </pivotArea>
    </format>
    <format dxfId="359">
      <pivotArea collapsedLevelsAreSubtotals="1" fieldPosition="0">
        <references count="1">
          <reference field="0" count="1">
            <x v="11"/>
          </reference>
        </references>
      </pivotArea>
    </format>
    <format dxfId="358">
      <pivotArea collapsedLevelsAreSubtotals="1" fieldPosition="0">
        <references count="2">
          <reference field="0" count="1" selected="0">
            <x v="11"/>
          </reference>
          <reference field="6" count="4">
            <x v="3"/>
            <x v="4"/>
            <x v="9"/>
            <x v="17"/>
          </reference>
        </references>
      </pivotArea>
    </format>
    <format dxfId="357">
      <pivotArea dataOnly="0" labelOnly="1" fieldPosition="0">
        <references count="1">
          <reference field="0" count="0"/>
        </references>
      </pivotArea>
    </format>
    <format dxfId="356">
      <pivotArea dataOnly="0" labelOnly="1" fieldPosition="0">
        <references count="2">
          <reference field="0" count="1" selected="0">
            <x v="0"/>
          </reference>
          <reference field="6" count="4">
            <x v="3"/>
            <x v="4"/>
            <x v="17"/>
            <x v="18"/>
          </reference>
        </references>
      </pivotArea>
    </format>
    <format dxfId="355">
      <pivotArea dataOnly="0" labelOnly="1" fieldPosition="0">
        <references count="2">
          <reference field="0" count="1" selected="0">
            <x v="1"/>
          </reference>
          <reference field="6" count="3">
            <x v="3"/>
            <x v="9"/>
            <x v="17"/>
          </reference>
        </references>
      </pivotArea>
    </format>
    <format dxfId="354">
      <pivotArea dataOnly="0" labelOnly="1" fieldPosition="0">
        <references count="2">
          <reference field="0" count="1" selected="0">
            <x v="2"/>
          </reference>
          <reference field="6" count="2">
            <x v="3"/>
            <x v="17"/>
          </reference>
        </references>
      </pivotArea>
    </format>
    <format dxfId="353">
      <pivotArea dataOnly="0" labelOnly="1" fieldPosition="0">
        <references count="2">
          <reference field="0" count="1" selected="0">
            <x v="3"/>
          </reference>
          <reference field="6" count="7">
            <x v="3"/>
            <x v="4"/>
            <x v="7"/>
            <x v="9"/>
            <x v="17"/>
            <x v="18"/>
            <x v="21"/>
          </reference>
        </references>
      </pivotArea>
    </format>
    <format dxfId="352">
      <pivotArea dataOnly="0" labelOnly="1" fieldPosition="0">
        <references count="2">
          <reference field="0" count="1" selected="0">
            <x v="4"/>
          </reference>
          <reference field="6" count="4">
            <x v="3"/>
            <x v="4"/>
            <x v="17"/>
            <x v="18"/>
          </reference>
        </references>
      </pivotArea>
    </format>
    <format dxfId="351">
      <pivotArea dataOnly="0" labelOnly="1" fieldPosition="0">
        <references count="2">
          <reference field="0" count="1" selected="0">
            <x v="5"/>
          </reference>
          <reference field="6" count="5">
            <x v="3"/>
            <x v="4"/>
            <x v="9"/>
            <x v="17"/>
            <x v="18"/>
          </reference>
        </references>
      </pivotArea>
    </format>
    <format dxfId="350">
      <pivotArea dataOnly="0" labelOnly="1" fieldPosition="0">
        <references count="2">
          <reference field="0" count="1" selected="0">
            <x v="6"/>
          </reference>
          <reference field="6" count="5">
            <x v="3"/>
            <x v="4"/>
            <x v="9"/>
            <x v="17"/>
            <x v="18"/>
          </reference>
        </references>
      </pivotArea>
    </format>
    <format dxfId="349">
      <pivotArea dataOnly="0" labelOnly="1" fieldPosition="0">
        <references count="2">
          <reference field="0" count="1" selected="0">
            <x v="7"/>
          </reference>
          <reference field="6" count="5">
            <x v="3"/>
            <x v="4"/>
            <x v="9"/>
            <x v="17"/>
            <x v="18"/>
          </reference>
        </references>
      </pivotArea>
    </format>
    <format dxfId="348">
      <pivotArea dataOnly="0" labelOnly="1" fieldPosition="0">
        <references count="2">
          <reference field="0" count="1" selected="0">
            <x v="8"/>
          </reference>
          <reference field="6" count="3">
            <x v="3"/>
            <x v="4"/>
            <x v="18"/>
          </reference>
        </references>
      </pivotArea>
    </format>
    <format dxfId="347">
      <pivotArea dataOnly="0" labelOnly="1" fieldPosition="0">
        <references count="2">
          <reference field="0" count="1" selected="0">
            <x v="9"/>
          </reference>
          <reference field="6" count="5">
            <x v="3"/>
            <x v="4"/>
            <x v="9"/>
            <x v="17"/>
            <x v="18"/>
          </reference>
        </references>
      </pivotArea>
    </format>
    <format dxfId="346">
      <pivotArea dataOnly="0" labelOnly="1" fieldPosition="0">
        <references count="2">
          <reference field="0" count="1" selected="0">
            <x v="10"/>
          </reference>
          <reference field="6" count="6">
            <x v="3"/>
            <x v="4"/>
            <x v="6"/>
            <x v="9"/>
            <x v="17"/>
            <x v="18"/>
          </reference>
        </references>
      </pivotArea>
    </format>
    <format dxfId="345">
      <pivotArea dataOnly="0" labelOnly="1" fieldPosition="0">
        <references count="2">
          <reference field="0" count="1" selected="0">
            <x v="11"/>
          </reference>
          <reference field="6" count="4">
            <x v="3"/>
            <x v="4"/>
            <x v="9"/>
            <x v="17"/>
          </reference>
        </references>
      </pivotArea>
    </format>
    <format dxfId="344">
      <pivotArea collapsedLevelsAreSubtotals="1" fieldPosition="0">
        <references count="1">
          <reference field="0" count="1">
            <x v="0"/>
          </reference>
        </references>
      </pivotArea>
    </format>
    <format dxfId="343">
      <pivotArea collapsedLevelsAreSubtotals="1" fieldPosition="0">
        <references count="2">
          <reference field="0" count="1" selected="0">
            <x v="0"/>
          </reference>
          <reference field="6" count="4">
            <x v="3"/>
            <x v="4"/>
            <x v="17"/>
            <x v="18"/>
          </reference>
        </references>
      </pivotArea>
    </format>
    <format dxfId="342">
      <pivotArea collapsedLevelsAreSubtotals="1" fieldPosition="0">
        <references count="1">
          <reference field="0" count="1">
            <x v="1"/>
          </reference>
        </references>
      </pivotArea>
    </format>
    <format dxfId="341">
      <pivotArea collapsedLevelsAreSubtotals="1" fieldPosition="0">
        <references count="2">
          <reference field="0" count="1" selected="0">
            <x v="1"/>
          </reference>
          <reference field="6" count="3">
            <x v="3"/>
            <x v="9"/>
            <x v="17"/>
          </reference>
        </references>
      </pivotArea>
    </format>
    <format dxfId="340">
      <pivotArea collapsedLevelsAreSubtotals="1" fieldPosition="0">
        <references count="1">
          <reference field="0" count="1">
            <x v="2"/>
          </reference>
        </references>
      </pivotArea>
    </format>
    <format dxfId="339">
      <pivotArea collapsedLevelsAreSubtotals="1" fieldPosition="0">
        <references count="2">
          <reference field="0" count="1" selected="0">
            <x v="2"/>
          </reference>
          <reference field="6" count="2">
            <x v="3"/>
            <x v="17"/>
          </reference>
        </references>
      </pivotArea>
    </format>
    <format dxfId="338">
      <pivotArea collapsedLevelsAreSubtotals="1" fieldPosition="0">
        <references count="1">
          <reference field="0" count="1">
            <x v="3"/>
          </reference>
        </references>
      </pivotArea>
    </format>
    <format dxfId="337">
      <pivotArea collapsedLevelsAreSubtotals="1" fieldPosition="0">
        <references count="2">
          <reference field="0" count="1" selected="0">
            <x v="3"/>
          </reference>
          <reference field="6" count="7">
            <x v="3"/>
            <x v="4"/>
            <x v="7"/>
            <x v="9"/>
            <x v="17"/>
            <x v="18"/>
            <x v="21"/>
          </reference>
        </references>
      </pivotArea>
    </format>
    <format dxfId="336">
      <pivotArea collapsedLevelsAreSubtotals="1" fieldPosition="0">
        <references count="1">
          <reference field="0" count="1">
            <x v="4"/>
          </reference>
        </references>
      </pivotArea>
    </format>
    <format dxfId="335">
      <pivotArea collapsedLevelsAreSubtotals="1" fieldPosition="0">
        <references count="2">
          <reference field="0" count="1" selected="0">
            <x v="4"/>
          </reference>
          <reference field="6" count="4">
            <x v="3"/>
            <x v="4"/>
            <x v="17"/>
            <x v="18"/>
          </reference>
        </references>
      </pivotArea>
    </format>
    <format dxfId="334">
      <pivotArea collapsedLevelsAreSubtotals="1" fieldPosition="0">
        <references count="1">
          <reference field="0" count="1">
            <x v="5"/>
          </reference>
        </references>
      </pivotArea>
    </format>
    <format dxfId="333">
      <pivotArea collapsedLevelsAreSubtotals="1" fieldPosition="0">
        <references count="2">
          <reference field="0" count="1" selected="0">
            <x v="5"/>
          </reference>
          <reference field="6" count="5">
            <x v="3"/>
            <x v="4"/>
            <x v="9"/>
            <x v="17"/>
            <x v="18"/>
          </reference>
        </references>
      </pivotArea>
    </format>
    <format dxfId="332">
      <pivotArea collapsedLevelsAreSubtotals="1" fieldPosition="0">
        <references count="1">
          <reference field="0" count="1">
            <x v="6"/>
          </reference>
        </references>
      </pivotArea>
    </format>
    <format dxfId="331">
      <pivotArea collapsedLevelsAreSubtotals="1" fieldPosition="0">
        <references count="2">
          <reference field="0" count="1" selected="0">
            <x v="6"/>
          </reference>
          <reference field="6" count="5">
            <x v="3"/>
            <x v="4"/>
            <x v="9"/>
            <x v="17"/>
            <x v="18"/>
          </reference>
        </references>
      </pivotArea>
    </format>
    <format dxfId="330">
      <pivotArea collapsedLevelsAreSubtotals="1" fieldPosition="0">
        <references count="1">
          <reference field="0" count="1">
            <x v="7"/>
          </reference>
        </references>
      </pivotArea>
    </format>
    <format dxfId="329">
      <pivotArea collapsedLevelsAreSubtotals="1" fieldPosition="0">
        <references count="2">
          <reference field="0" count="1" selected="0">
            <x v="7"/>
          </reference>
          <reference field="6" count="5">
            <x v="3"/>
            <x v="4"/>
            <x v="9"/>
            <x v="17"/>
            <x v="18"/>
          </reference>
        </references>
      </pivotArea>
    </format>
    <format dxfId="328">
      <pivotArea collapsedLevelsAreSubtotals="1" fieldPosition="0">
        <references count="1">
          <reference field="0" count="1">
            <x v="8"/>
          </reference>
        </references>
      </pivotArea>
    </format>
    <format dxfId="327">
      <pivotArea collapsedLevelsAreSubtotals="1" fieldPosition="0">
        <references count="2">
          <reference field="0" count="1" selected="0">
            <x v="8"/>
          </reference>
          <reference field="6" count="3">
            <x v="3"/>
            <x v="4"/>
            <x v="18"/>
          </reference>
        </references>
      </pivotArea>
    </format>
    <format dxfId="326">
      <pivotArea collapsedLevelsAreSubtotals="1" fieldPosition="0">
        <references count="1">
          <reference field="0" count="1">
            <x v="9"/>
          </reference>
        </references>
      </pivotArea>
    </format>
    <format dxfId="325">
      <pivotArea collapsedLevelsAreSubtotals="1" fieldPosition="0">
        <references count="2">
          <reference field="0" count="1" selected="0">
            <x v="9"/>
          </reference>
          <reference field="6" count="5">
            <x v="3"/>
            <x v="4"/>
            <x v="9"/>
            <x v="17"/>
            <x v="18"/>
          </reference>
        </references>
      </pivotArea>
    </format>
    <format dxfId="324">
      <pivotArea collapsedLevelsAreSubtotals="1" fieldPosition="0">
        <references count="1">
          <reference field="0" count="1">
            <x v="10"/>
          </reference>
        </references>
      </pivotArea>
    </format>
    <format dxfId="323">
      <pivotArea collapsedLevelsAreSubtotals="1" fieldPosition="0">
        <references count="2">
          <reference field="0" count="1" selected="0">
            <x v="10"/>
          </reference>
          <reference field="6" count="6">
            <x v="3"/>
            <x v="4"/>
            <x v="6"/>
            <x v="9"/>
            <x v="17"/>
            <x v="18"/>
          </reference>
        </references>
      </pivotArea>
    </format>
    <format dxfId="322">
      <pivotArea collapsedLevelsAreSubtotals="1" fieldPosition="0">
        <references count="1">
          <reference field="0" count="1">
            <x v="11"/>
          </reference>
        </references>
      </pivotArea>
    </format>
    <format dxfId="321">
      <pivotArea collapsedLevelsAreSubtotals="1" fieldPosition="0">
        <references count="2">
          <reference field="0" count="1" selected="0">
            <x v="11"/>
          </reference>
          <reference field="6" count="4">
            <x v="3"/>
            <x v="4"/>
            <x v="9"/>
            <x v="17"/>
          </reference>
        </references>
      </pivotArea>
    </format>
    <format dxfId="320">
      <pivotArea dataOnly="0" labelOnly="1" fieldPosition="0">
        <references count="1">
          <reference field="0" count="0"/>
        </references>
      </pivotArea>
    </format>
    <format dxfId="319">
      <pivotArea dataOnly="0" labelOnly="1" fieldPosition="0">
        <references count="2">
          <reference field="0" count="1" selected="0">
            <x v="0"/>
          </reference>
          <reference field="6" count="4">
            <x v="3"/>
            <x v="4"/>
            <x v="17"/>
            <x v="18"/>
          </reference>
        </references>
      </pivotArea>
    </format>
    <format dxfId="318">
      <pivotArea dataOnly="0" labelOnly="1" fieldPosition="0">
        <references count="2">
          <reference field="0" count="1" selected="0">
            <x v="1"/>
          </reference>
          <reference field="6" count="3">
            <x v="3"/>
            <x v="9"/>
            <x v="17"/>
          </reference>
        </references>
      </pivotArea>
    </format>
    <format dxfId="317">
      <pivotArea dataOnly="0" labelOnly="1" fieldPosition="0">
        <references count="2">
          <reference field="0" count="1" selected="0">
            <x v="2"/>
          </reference>
          <reference field="6" count="2">
            <x v="3"/>
            <x v="17"/>
          </reference>
        </references>
      </pivotArea>
    </format>
    <format dxfId="316">
      <pivotArea dataOnly="0" labelOnly="1" fieldPosition="0">
        <references count="2">
          <reference field="0" count="1" selected="0">
            <x v="3"/>
          </reference>
          <reference field="6" count="7">
            <x v="3"/>
            <x v="4"/>
            <x v="7"/>
            <x v="9"/>
            <x v="17"/>
            <x v="18"/>
            <x v="21"/>
          </reference>
        </references>
      </pivotArea>
    </format>
    <format dxfId="315">
      <pivotArea dataOnly="0" labelOnly="1" fieldPosition="0">
        <references count="2">
          <reference field="0" count="1" selected="0">
            <x v="4"/>
          </reference>
          <reference field="6" count="4">
            <x v="3"/>
            <x v="4"/>
            <x v="17"/>
            <x v="18"/>
          </reference>
        </references>
      </pivotArea>
    </format>
    <format dxfId="314">
      <pivotArea dataOnly="0" labelOnly="1" fieldPosition="0">
        <references count="2">
          <reference field="0" count="1" selected="0">
            <x v="5"/>
          </reference>
          <reference field="6" count="5">
            <x v="3"/>
            <x v="4"/>
            <x v="9"/>
            <x v="17"/>
            <x v="18"/>
          </reference>
        </references>
      </pivotArea>
    </format>
    <format dxfId="313">
      <pivotArea dataOnly="0" labelOnly="1" fieldPosition="0">
        <references count="2">
          <reference field="0" count="1" selected="0">
            <x v="6"/>
          </reference>
          <reference field="6" count="5">
            <x v="3"/>
            <x v="4"/>
            <x v="9"/>
            <x v="17"/>
            <x v="18"/>
          </reference>
        </references>
      </pivotArea>
    </format>
    <format dxfId="312">
      <pivotArea dataOnly="0" labelOnly="1" fieldPosition="0">
        <references count="2">
          <reference field="0" count="1" selected="0">
            <x v="7"/>
          </reference>
          <reference field="6" count="5">
            <x v="3"/>
            <x v="4"/>
            <x v="9"/>
            <x v="17"/>
            <x v="18"/>
          </reference>
        </references>
      </pivotArea>
    </format>
    <format dxfId="311">
      <pivotArea dataOnly="0" labelOnly="1" fieldPosition="0">
        <references count="2">
          <reference field="0" count="1" selected="0">
            <x v="8"/>
          </reference>
          <reference field="6" count="3">
            <x v="3"/>
            <x v="4"/>
            <x v="18"/>
          </reference>
        </references>
      </pivotArea>
    </format>
    <format dxfId="310">
      <pivotArea dataOnly="0" labelOnly="1" fieldPosition="0">
        <references count="2">
          <reference field="0" count="1" selected="0">
            <x v="9"/>
          </reference>
          <reference field="6" count="5">
            <x v="3"/>
            <x v="4"/>
            <x v="9"/>
            <x v="17"/>
            <x v="18"/>
          </reference>
        </references>
      </pivotArea>
    </format>
    <format dxfId="309">
      <pivotArea dataOnly="0" labelOnly="1" fieldPosition="0">
        <references count="2">
          <reference field="0" count="1" selected="0">
            <x v="10"/>
          </reference>
          <reference field="6" count="6">
            <x v="3"/>
            <x v="4"/>
            <x v="6"/>
            <x v="9"/>
            <x v="17"/>
            <x v="18"/>
          </reference>
        </references>
      </pivotArea>
    </format>
    <format dxfId="308">
      <pivotArea dataOnly="0" labelOnly="1" fieldPosition="0">
        <references count="2">
          <reference field="0" count="1" selected="0">
            <x v="11"/>
          </reference>
          <reference field="6" count="4">
            <x v="3"/>
            <x v="4"/>
            <x v="9"/>
            <x v="17"/>
          </reference>
        </references>
      </pivotArea>
    </format>
    <format dxfId="307">
      <pivotArea field="0" grandCol="1" collapsedLevelsAreSubtotals="1" axis="axisRow" fieldPosition="0">
        <references count="1">
          <reference field="0" count="1">
            <x v="0"/>
          </reference>
        </references>
      </pivotArea>
    </format>
    <format dxfId="306">
      <pivotArea field="0" grandCol="1" collapsedLevelsAreSubtotals="1" axis="axisRow" fieldPosition="0">
        <references count="1">
          <reference field="0" count="1">
            <x v="1"/>
          </reference>
        </references>
      </pivotArea>
    </format>
    <format dxfId="305">
      <pivotArea collapsedLevelsAreSubtotals="1" fieldPosition="0">
        <references count="1">
          <reference field="0" count="1">
            <x v="0"/>
          </reference>
        </references>
      </pivotArea>
    </format>
    <format dxfId="304">
      <pivotArea dataOnly="0" labelOnly="1" fieldPosition="0">
        <references count="1">
          <reference field="0" count="1">
            <x v="0"/>
          </reference>
        </references>
      </pivotArea>
    </format>
    <format dxfId="303">
      <pivotArea collapsedLevelsAreSubtotals="1" fieldPosition="0">
        <references count="1">
          <reference field="0" count="1">
            <x v="1"/>
          </reference>
        </references>
      </pivotArea>
    </format>
    <format dxfId="302">
      <pivotArea dataOnly="0" labelOnly="1" fieldPosition="0">
        <references count="1">
          <reference field="0" count="1">
            <x v="1"/>
          </reference>
        </references>
      </pivotArea>
    </format>
    <format dxfId="301">
      <pivotArea collapsedLevelsAreSubtotals="1" fieldPosition="0">
        <references count="1">
          <reference field="0" count="1">
            <x v="2"/>
          </reference>
        </references>
      </pivotArea>
    </format>
    <format dxfId="300">
      <pivotArea dataOnly="0" labelOnly="1" fieldPosition="0">
        <references count="1">
          <reference field="0" count="1">
            <x v="2"/>
          </reference>
        </references>
      </pivotArea>
    </format>
    <format dxfId="299">
      <pivotArea collapsedLevelsAreSubtotals="1" fieldPosition="0">
        <references count="1">
          <reference field="0" count="1">
            <x v="3"/>
          </reference>
        </references>
      </pivotArea>
    </format>
    <format dxfId="298">
      <pivotArea dataOnly="0" labelOnly="1" fieldPosition="0">
        <references count="1">
          <reference field="0" count="1">
            <x v="3"/>
          </reference>
        </references>
      </pivotArea>
    </format>
    <format dxfId="297">
      <pivotArea collapsedLevelsAreSubtotals="1" fieldPosition="0">
        <references count="1">
          <reference field="0" count="1">
            <x v="4"/>
          </reference>
        </references>
      </pivotArea>
    </format>
    <format dxfId="296">
      <pivotArea dataOnly="0" labelOnly="1" fieldPosition="0">
        <references count="1">
          <reference field="0" count="1">
            <x v="4"/>
          </reference>
        </references>
      </pivotArea>
    </format>
    <format dxfId="295">
      <pivotArea collapsedLevelsAreSubtotals="1" fieldPosition="0">
        <references count="1">
          <reference field="0" count="1">
            <x v="5"/>
          </reference>
        </references>
      </pivotArea>
    </format>
    <format dxfId="294">
      <pivotArea dataOnly="0" labelOnly="1" fieldPosition="0">
        <references count="1">
          <reference field="0" count="1">
            <x v="5"/>
          </reference>
        </references>
      </pivotArea>
    </format>
    <format dxfId="293">
      <pivotArea collapsedLevelsAreSubtotals="1" fieldPosition="0">
        <references count="1">
          <reference field="0" count="1">
            <x v="6"/>
          </reference>
        </references>
      </pivotArea>
    </format>
    <format dxfId="292">
      <pivotArea dataOnly="0" labelOnly="1" fieldPosition="0">
        <references count="1">
          <reference field="0" count="1">
            <x v="6"/>
          </reference>
        </references>
      </pivotArea>
    </format>
    <format dxfId="291">
      <pivotArea collapsedLevelsAreSubtotals="1" fieldPosition="0">
        <references count="1">
          <reference field="0" count="1">
            <x v="7"/>
          </reference>
        </references>
      </pivotArea>
    </format>
    <format dxfId="290">
      <pivotArea dataOnly="0" labelOnly="1" fieldPosition="0">
        <references count="1">
          <reference field="0" count="1">
            <x v="7"/>
          </reference>
        </references>
      </pivotArea>
    </format>
    <format dxfId="289">
      <pivotArea collapsedLevelsAreSubtotals="1" fieldPosition="0">
        <references count="1">
          <reference field="0" count="1">
            <x v="8"/>
          </reference>
        </references>
      </pivotArea>
    </format>
    <format dxfId="288">
      <pivotArea dataOnly="0" labelOnly="1" fieldPosition="0">
        <references count="1">
          <reference field="0" count="1">
            <x v="8"/>
          </reference>
        </references>
      </pivotArea>
    </format>
    <format dxfId="287">
      <pivotArea collapsedLevelsAreSubtotals="1" fieldPosition="0">
        <references count="1">
          <reference field="0" count="1">
            <x v="9"/>
          </reference>
        </references>
      </pivotArea>
    </format>
    <format dxfId="286">
      <pivotArea dataOnly="0" labelOnly="1" fieldPosition="0">
        <references count="1">
          <reference field="0" count="1">
            <x v="9"/>
          </reference>
        </references>
      </pivotArea>
    </format>
    <format dxfId="285">
      <pivotArea collapsedLevelsAreSubtotals="1" fieldPosition="0">
        <references count="1">
          <reference field="0" count="1">
            <x v="10"/>
          </reference>
        </references>
      </pivotArea>
    </format>
    <format dxfId="284">
      <pivotArea dataOnly="0" labelOnly="1" fieldPosition="0">
        <references count="1">
          <reference field="0" count="1">
            <x v="10"/>
          </reference>
        </references>
      </pivotArea>
    </format>
    <format dxfId="283">
      <pivotArea collapsedLevelsAreSubtotals="1" fieldPosition="0">
        <references count="1">
          <reference field="0" count="1">
            <x v="11"/>
          </reference>
        </references>
      </pivotArea>
    </format>
    <format dxfId="282">
      <pivotArea dataOnly="0" labelOnly="1" fieldPosition="0">
        <references count="1">
          <reference field="0" count="1">
            <x v="11"/>
          </reference>
        </references>
      </pivotArea>
    </format>
    <format dxfId="281">
      <pivotArea collapsedLevelsAreSubtotals="1" fieldPosition="0">
        <references count="2">
          <reference field="0" count="1" selected="0">
            <x v="4"/>
          </reference>
          <reference field="6" count="1">
            <x v="9"/>
          </reference>
        </references>
      </pivotArea>
    </format>
    <format dxfId="280">
      <pivotArea dataOnly="0" labelOnly="1" fieldPosition="0">
        <references count="2">
          <reference field="0" count="1" selected="0">
            <x v="4"/>
          </reference>
          <reference field="6" count="1">
            <x v="9"/>
          </reference>
        </references>
      </pivotArea>
    </format>
    <format dxfId="279">
      <pivotArea collapsedLevelsAreSubtotals="1" fieldPosition="0">
        <references count="2">
          <reference field="0" count="1" selected="0">
            <x v="4"/>
          </reference>
          <reference field="6" count="1">
            <x v="9"/>
          </reference>
        </references>
      </pivotArea>
    </format>
    <format dxfId="278">
      <pivotArea dataOnly="0" labelOnly="1" fieldPosition="0">
        <references count="2">
          <reference field="0" count="1" selected="0">
            <x v="4"/>
          </reference>
          <reference field="6" count="1">
            <x v="9"/>
          </reference>
        </references>
      </pivotArea>
    </format>
    <format dxfId="277">
      <pivotArea collapsedLevelsAreSubtotals="1" fieldPosition="0">
        <references count="2">
          <reference field="0" count="1" selected="0">
            <x v="4"/>
          </reference>
          <reference field="6" count="1">
            <x v="9"/>
          </reference>
        </references>
      </pivotArea>
    </format>
    <format dxfId="276">
      <pivotArea dataOnly="0" labelOnly="1" fieldPosition="0">
        <references count="2">
          <reference field="0" count="1" selected="0">
            <x v="4"/>
          </reference>
          <reference field="6" count="1">
            <x v="9"/>
          </reference>
        </references>
      </pivotArea>
    </format>
    <format dxfId="275">
      <pivotArea collapsedLevelsAreSubtotals="1" fieldPosition="0">
        <references count="2">
          <reference field="0" count="1" selected="0">
            <x v="4"/>
          </reference>
          <reference field="6" count="1">
            <x v="9"/>
          </reference>
        </references>
      </pivotArea>
    </format>
    <format dxfId="274">
      <pivotArea dataOnly="0" labelOnly="1" fieldPosition="0">
        <references count="2">
          <reference field="0" count="1" selected="0">
            <x v="4"/>
          </reference>
          <reference field="6" count="1">
            <x v="9"/>
          </reference>
        </references>
      </pivotArea>
    </format>
    <format dxfId="273">
      <pivotArea collapsedLevelsAreSubtotals="1" fieldPosition="0">
        <references count="3">
          <reference field="0" count="1" selected="0">
            <x v="4"/>
          </reference>
          <reference field="6" count="1">
            <x v="9"/>
          </reference>
          <reference field="7" count="1" selected="0">
            <x v="5"/>
          </reference>
        </references>
      </pivotArea>
    </format>
    <format dxfId="272">
      <pivotArea field="6" grandCol="1" collapsedLevelsAreSubtotals="1" axis="axisRow" fieldPosition="1">
        <references count="2">
          <reference field="0" count="1" selected="0">
            <x v="4"/>
          </reference>
          <reference field="6" count="1">
            <x v="9"/>
          </reference>
        </references>
      </pivotArea>
    </format>
    <format dxfId="271">
      <pivotArea collapsedLevelsAreSubtotals="1" fieldPosition="0">
        <references count="1">
          <reference field="0" count="1">
            <x v="0"/>
          </reference>
        </references>
      </pivotArea>
    </format>
    <format dxfId="270">
      <pivotArea collapsedLevelsAreSubtotals="1" fieldPosition="0">
        <references count="1">
          <reference field="0" count="1">
            <x v="0"/>
          </reference>
        </references>
      </pivotArea>
    </format>
    <format dxfId="269">
      <pivotArea collapsedLevelsAreSubtotals="1" fieldPosition="0">
        <references count="1">
          <reference field="0" count="1">
            <x v="1"/>
          </reference>
        </references>
      </pivotArea>
    </format>
    <format dxfId="268">
      <pivotArea collapsedLevelsAreSubtotals="1" fieldPosition="0">
        <references count="1">
          <reference field="0" count="1">
            <x v="2"/>
          </reference>
        </references>
      </pivotArea>
    </format>
    <format dxfId="267">
      <pivotArea collapsedLevelsAreSubtotals="1" fieldPosition="0">
        <references count="1">
          <reference field="0" count="1">
            <x v="3"/>
          </reference>
        </references>
      </pivotArea>
    </format>
    <format dxfId="266">
      <pivotArea collapsedLevelsAreSubtotals="1" fieldPosition="0">
        <references count="1">
          <reference field="0" count="1">
            <x v="4"/>
          </reference>
        </references>
      </pivotArea>
    </format>
    <format dxfId="265">
      <pivotArea collapsedLevelsAreSubtotals="1" fieldPosition="0">
        <references count="1">
          <reference field="0" count="1">
            <x v="5"/>
          </reference>
        </references>
      </pivotArea>
    </format>
    <format dxfId="264">
      <pivotArea collapsedLevelsAreSubtotals="1" fieldPosition="0">
        <references count="1">
          <reference field="0" count="1">
            <x v="6"/>
          </reference>
        </references>
      </pivotArea>
    </format>
    <format dxfId="263">
      <pivotArea collapsedLevelsAreSubtotals="1" fieldPosition="0">
        <references count="1">
          <reference field="0" count="1">
            <x v="7"/>
          </reference>
        </references>
      </pivotArea>
    </format>
    <format dxfId="262">
      <pivotArea collapsedLevelsAreSubtotals="1" fieldPosition="0">
        <references count="1">
          <reference field="0" count="1">
            <x v="8"/>
          </reference>
        </references>
      </pivotArea>
    </format>
    <format dxfId="261">
      <pivotArea collapsedLevelsAreSubtotals="1" fieldPosition="0">
        <references count="1">
          <reference field="0" count="1">
            <x v="9"/>
          </reference>
        </references>
      </pivotArea>
    </format>
    <format dxfId="260">
      <pivotArea collapsedLevelsAreSubtotals="1" fieldPosition="0">
        <references count="1">
          <reference field="0" count="1">
            <x v="10"/>
          </reference>
        </references>
      </pivotArea>
    </format>
    <format dxfId="259">
      <pivotArea collapsedLevelsAreSubtotals="1" fieldPosition="0">
        <references count="1">
          <reference field="0" count="1">
            <x v="11"/>
          </reference>
        </references>
      </pivotArea>
    </format>
    <format dxfId="258">
      <pivotArea collapsedLevelsAreSubtotals="1" fieldPosition="0">
        <references count="2">
          <reference field="0" count="1" selected="0">
            <x v="11"/>
          </reference>
          <reference field="6" count="1">
            <x v="18"/>
          </reference>
        </references>
      </pivotArea>
    </format>
    <format dxfId="257">
      <pivotArea collapsedLevelsAreSubtotals="1" fieldPosition="0">
        <references count="1">
          <reference field="0" count="1">
            <x v="12"/>
          </reference>
        </references>
      </pivotArea>
    </format>
    <format dxfId="256">
      <pivotArea collapsedLevelsAreSubtotals="1" fieldPosition="0">
        <references count="2">
          <reference field="0" count="1" selected="0">
            <x v="12"/>
          </reference>
          <reference field="6" count="2">
            <x v="3"/>
            <x v="17"/>
          </reference>
        </references>
      </pivotArea>
    </format>
    <format dxfId="255">
      <pivotArea collapsedLevelsAreSubtotals="1" fieldPosition="0">
        <references count="1">
          <reference field="0" count="1">
            <x v="13"/>
          </reference>
        </references>
      </pivotArea>
    </format>
    <format dxfId="254">
      <pivotArea collapsedLevelsAreSubtotals="1" fieldPosition="0">
        <references count="2">
          <reference field="0" count="1" selected="0">
            <x v="13"/>
          </reference>
          <reference field="6" count="3">
            <x v="3"/>
            <x v="9"/>
            <x v="17"/>
          </reference>
        </references>
      </pivotArea>
    </format>
    <format dxfId="253">
      <pivotArea dataOnly="0" labelOnly="1" fieldPosition="0">
        <references count="1">
          <reference field="0" count="2">
            <x v="12"/>
            <x v="13"/>
          </reference>
        </references>
      </pivotArea>
    </format>
    <format dxfId="252">
      <pivotArea dataOnly="0" labelOnly="1" fieldPosition="0">
        <references count="2">
          <reference field="0" count="1" selected="0">
            <x v="11"/>
          </reference>
          <reference field="6" count="1">
            <x v="18"/>
          </reference>
        </references>
      </pivotArea>
    </format>
    <format dxfId="251">
      <pivotArea dataOnly="0" labelOnly="1" fieldPosition="0">
        <references count="2">
          <reference field="0" count="1" selected="0">
            <x v="12"/>
          </reference>
          <reference field="6" count="2">
            <x v="3"/>
            <x v="17"/>
          </reference>
        </references>
      </pivotArea>
    </format>
    <format dxfId="250">
      <pivotArea dataOnly="0" labelOnly="1" fieldPosition="0">
        <references count="2">
          <reference field="0" count="1" selected="0">
            <x v="13"/>
          </reference>
          <reference field="6" count="3">
            <x v="3"/>
            <x v="9"/>
            <x v="17"/>
          </reference>
        </references>
      </pivotArea>
    </format>
    <format dxfId="249">
      <pivotArea dataOnly="0" fieldPosition="0">
        <references count="1">
          <reference field="0" count="1">
            <x v="12"/>
          </reference>
        </references>
      </pivotArea>
    </format>
    <format dxfId="248">
      <pivotArea dataOnly="0" fieldPosition="0">
        <references count="1">
          <reference field="0" count="1">
            <x v="12"/>
          </reference>
        </references>
      </pivotArea>
    </format>
    <format dxfId="247">
      <pivotArea collapsedLevelsAreSubtotals="1" fieldPosition="0">
        <references count="1">
          <reference field="0" count="1">
            <x v="13"/>
          </reference>
        </references>
      </pivotArea>
    </format>
    <format dxfId="246">
      <pivotArea dataOnly="0" labelOnly="1" fieldPosition="0">
        <references count="1">
          <reference field="0" count="1">
            <x v="13"/>
          </reference>
        </references>
      </pivotArea>
    </format>
    <format dxfId="245">
      <pivotArea collapsedLevelsAreSubtotals="1" fieldPosition="0">
        <references count="1">
          <reference field="0" count="1">
            <x v="13"/>
          </reference>
        </references>
      </pivotArea>
    </format>
    <format dxfId="244">
      <pivotArea dataOnly="0" labelOnly="1" fieldPosition="0">
        <references count="1">
          <reference field="0" count="1">
            <x v="13"/>
          </reference>
        </references>
      </pivotArea>
    </format>
    <format dxfId="243">
      <pivotArea collapsedLevelsAreSubtotals="1" fieldPosition="0">
        <references count="3">
          <reference field="0" count="1" selected="0">
            <x v="11"/>
          </reference>
          <reference field="6" count="1">
            <x v="18"/>
          </reference>
          <reference field="7" count="1" selected="0">
            <x v="6"/>
          </reference>
        </references>
      </pivotArea>
    </format>
    <format dxfId="242">
      <pivotArea field="6" grandCol="1" collapsedLevelsAreSubtotals="1" axis="axisRow" fieldPosition="1">
        <references count="2">
          <reference field="0" count="1" selected="0">
            <x v="11"/>
          </reference>
          <reference field="6" count="1">
            <x v="18"/>
          </reference>
        </references>
      </pivotArea>
    </format>
    <format dxfId="241">
      <pivotArea collapsedLevelsAreSubtotals="1" fieldPosition="0">
        <references count="2">
          <reference field="0" count="1">
            <x v="12"/>
          </reference>
          <reference field="7" count="1" selected="0">
            <x v="6"/>
          </reference>
        </references>
      </pivotArea>
    </format>
    <format dxfId="240">
      <pivotArea field="0" grandCol="1" collapsedLevelsAreSubtotals="1" axis="axisRow" fieldPosition="0">
        <references count="1">
          <reference field="0" count="1">
            <x v="12"/>
          </reference>
        </references>
      </pivotArea>
    </format>
    <format dxfId="239">
      <pivotArea collapsedLevelsAreSubtotals="1" fieldPosition="0">
        <references count="3">
          <reference field="0" count="1" selected="0">
            <x v="12"/>
          </reference>
          <reference field="6" count="2">
            <x v="3"/>
            <x v="17"/>
          </reference>
          <reference field="7" count="1" selected="0">
            <x v="6"/>
          </reference>
        </references>
      </pivotArea>
    </format>
    <format dxfId="238">
      <pivotArea field="6" grandCol="1" collapsedLevelsAreSubtotals="1" axis="axisRow" fieldPosition="1">
        <references count="2">
          <reference field="0" count="1" selected="0">
            <x v="12"/>
          </reference>
          <reference field="6" count="2">
            <x v="3"/>
            <x v="17"/>
          </reference>
        </references>
      </pivotArea>
    </format>
    <format dxfId="237">
      <pivotArea collapsedLevelsAreSubtotals="1" fieldPosition="0">
        <references count="2">
          <reference field="0" count="1">
            <x v="13"/>
          </reference>
          <reference field="7" count="1" selected="0">
            <x v="6"/>
          </reference>
        </references>
      </pivotArea>
    </format>
    <format dxfId="236">
      <pivotArea field="0" grandCol="1" collapsedLevelsAreSubtotals="1" axis="axisRow" fieldPosition="0">
        <references count="1">
          <reference field="0" count="1">
            <x v="13"/>
          </reference>
        </references>
      </pivotArea>
    </format>
    <format dxfId="235">
      <pivotArea collapsedLevelsAreSubtotals="1" fieldPosition="0">
        <references count="3">
          <reference field="0" count="1" selected="0">
            <x v="13"/>
          </reference>
          <reference field="6" count="3">
            <x v="3"/>
            <x v="9"/>
            <x v="17"/>
          </reference>
          <reference field="7" count="1" selected="0">
            <x v="6"/>
          </reference>
        </references>
      </pivotArea>
    </format>
    <format dxfId="234">
      <pivotArea field="6" grandCol="1" collapsedLevelsAreSubtotals="1" axis="axisRow" fieldPosition="1">
        <references count="2">
          <reference field="0" count="1" selected="0">
            <x v="13"/>
          </reference>
          <reference field="6" count="3">
            <x v="3"/>
            <x v="9"/>
            <x v="17"/>
          </reference>
        </references>
      </pivotArea>
    </format>
    <format dxfId="233">
      <pivotArea collapsedLevelsAreSubtotals="1" fieldPosition="0">
        <references count="2">
          <reference field="0" count="1" selected="0">
            <x v="4"/>
          </reference>
          <reference field="6" count="1">
            <x v="21"/>
          </reference>
        </references>
      </pivotArea>
    </format>
    <format dxfId="232">
      <pivotArea dataOnly="0" labelOnly="1" fieldPosition="0">
        <references count="2">
          <reference field="0" count="1" selected="0">
            <x v="4"/>
          </reference>
          <reference field="6" count="1">
            <x v="21"/>
          </reference>
        </references>
      </pivotArea>
    </format>
    <format dxfId="231">
      <pivotArea collapsedLevelsAreSubtotals="1" fieldPosition="0">
        <references count="2">
          <reference field="0" count="1" selected="0">
            <x v="4"/>
          </reference>
          <reference field="6" count="1">
            <x v="21"/>
          </reference>
        </references>
      </pivotArea>
    </format>
    <format dxfId="230">
      <pivotArea dataOnly="0" labelOnly="1" fieldPosition="0">
        <references count="2">
          <reference field="0" count="1" selected="0">
            <x v="4"/>
          </reference>
          <reference field="6" count="1">
            <x v="21"/>
          </reference>
        </references>
      </pivotArea>
    </format>
    <format dxfId="229">
      <pivotArea dataOnly="0" labelOnly="1" fieldPosition="0">
        <references count="2">
          <reference field="0" count="1" selected="0">
            <x v="4"/>
          </reference>
          <reference field="6" count="1">
            <x v="21"/>
          </reference>
        </references>
      </pivotArea>
    </format>
    <format dxfId="228">
      <pivotArea collapsedLevelsAreSubtotals="1" fieldPosition="0">
        <references count="3">
          <reference field="0" count="1" selected="0">
            <x v="11"/>
          </reference>
          <reference field="6" count="1">
            <x v="18"/>
          </reference>
          <reference field="7" count="1" selected="0">
            <x v="0"/>
          </reference>
        </references>
      </pivotArea>
    </format>
  </formats>
  <chartFormats count="6">
    <chartFormat chart="3" format="114" series="1">
      <pivotArea type="data" outline="0" fieldPosition="0">
        <references count="1">
          <reference field="7" count="1" selected="0">
            <x v="0"/>
          </reference>
        </references>
      </pivotArea>
    </chartFormat>
    <chartFormat chart="3" format="115" series="1">
      <pivotArea type="data" outline="0" fieldPosition="0">
        <references count="1">
          <reference field="7" count="1" selected="0">
            <x v="1"/>
          </reference>
        </references>
      </pivotArea>
    </chartFormat>
    <chartFormat chart="3" format="116" series="1">
      <pivotArea type="data" outline="0" fieldPosition="0">
        <references count="1">
          <reference field="7" count="1" selected="0">
            <x v="3"/>
          </reference>
        </references>
      </pivotArea>
    </chartFormat>
    <chartFormat chart="3" format="117" series="1">
      <pivotArea type="data" outline="0" fieldPosition="0">
        <references count="1">
          <reference field="7" count="1" selected="0">
            <x v="4"/>
          </reference>
        </references>
      </pivotArea>
    </chartFormat>
    <chartFormat chart="3" format="118" series="1">
      <pivotArea type="data" outline="0" fieldPosition="0">
        <references count="1">
          <reference field="7" count="1" selected="0">
            <x v="5"/>
          </reference>
        </references>
      </pivotArea>
    </chartFormat>
    <chartFormat chart="3" format="119" series="1">
      <pivotArea type="data" outline="0" fieldPosition="0">
        <references count="1">
          <reference field="7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5.xml><?xml version="1.0" encoding="utf-8"?>
<pivotTableDefinition xmlns="http://schemas.openxmlformats.org/spreadsheetml/2006/main" name="TablaDinámica1" cacheId="6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4" rowHeaderCaption="Técnico Básico" colHeaderCaption="">
  <location ref="A3:M80" firstHeaderRow="1" firstDataRow="2" firstDataCol="1"/>
  <pivotFields count="21">
    <pivotField axis="axisRow" showAll="0">
      <items count="17">
        <item x="0"/>
        <item x="1"/>
        <item x="2"/>
        <item x="3"/>
        <item x="5"/>
        <item x="6"/>
        <item x="7"/>
        <item x="9"/>
        <item x="11"/>
        <item x="12"/>
        <item x="13"/>
        <item x="4"/>
        <item x="8"/>
        <item x="10"/>
        <item m="1" x="14"/>
        <item m="1" x="15"/>
        <item t="default"/>
      </items>
    </pivotField>
    <pivotField showAll="0" defaultSubtotal="0"/>
    <pivotField showAll="0" defaultSubtotal="0"/>
    <pivotField showAll="0" defaultSubtotal="0"/>
    <pivotField showAll="0"/>
    <pivotField showAll="0"/>
    <pivotField axis="axisRow" showAll="0">
      <items count="30">
        <item x="2"/>
        <item m="1" x="22"/>
        <item x="1"/>
        <item m="1" x="15"/>
        <item m="1" x="19"/>
        <item m="1" x="11"/>
        <item m="1" x="27"/>
        <item m="1" x="17"/>
        <item m="1" x="18"/>
        <item x="3"/>
        <item m="1" x="14"/>
        <item m="1" x="24"/>
        <item m="1" x="25"/>
        <item m="1" x="10"/>
        <item x="0"/>
        <item m="1" x="20"/>
        <item m="1" x="12"/>
        <item m="1" x="26"/>
        <item m="1" x="6"/>
        <item m="1" x="8"/>
        <item m="1" x="21"/>
        <item m="1" x="16"/>
        <item m="1" x="9"/>
        <item m="1" x="13"/>
        <item m="1" x="28"/>
        <item m="1" x="7"/>
        <item m="1" x="23"/>
        <item x="4"/>
        <item x="5"/>
        <item t="default"/>
      </items>
    </pivotField>
    <pivotField axis="axisCol" showAll="0">
      <items count="14">
        <item x="1"/>
        <item x="7"/>
        <item m="1" x="12"/>
        <item x="6"/>
        <item x="2"/>
        <item n="NVOS PROY." x="8"/>
        <item x="0"/>
        <item m="1" x="11"/>
        <item x="3"/>
        <item x="4"/>
        <item x="5"/>
        <item x="9"/>
        <item x="10"/>
        <item t="default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2">
    <field x="0"/>
    <field x="6"/>
  </rowFields>
  <rowItems count="76">
    <i>
      <x/>
    </i>
    <i r="1">
      <x/>
    </i>
    <i r="1">
      <x v="2"/>
    </i>
    <i r="1">
      <x v="9"/>
    </i>
    <i r="1">
      <x v="14"/>
    </i>
    <i r="1">
      <x v="27"/>
    </i>
    <i>
      <x v="1"/>
    </i>
    <i r="1">
      <x v="2"/>
    </i>
    <i r="1">
      <x v="9"/>
    </i>
    <i r="1">
      <x v="14"/>
    </i>
    <i>
      <x v="2"/>
    </i>
    <i r="1">
      <x/>
    </i>
    <i r="1">
      <x v="2"/>
    </i>
    <i r="1">
      <x v="9"/>
    </i>
    <i r="1">
      <x v="14"/>
    </i>
    <i r="1">
      <x v="27"/>
    </i>
    <i>
      <x v="3"/>
    </i>
    <i r="1">
      <x/>
    </i>
    <i r="1">
      <x v="2"/>
    </i>
    <i r="1">
      <x v="9"/>
    </i>
    <i r="1">
      <x v="14"/>
    </i>
    <i r="1">
      <x v="27"/>
    </i>
    <i>
      <x v="4"/>
    </i>
    <i r="1">
      <x/>
    </i>
    <i r="1">
      <x v="2"/>
    </i>
    <i r="1">
      <x v="9"/>
    </i>
    <i r="1">
      <x v="14"/>
    </i>
    <i r="1">
      <x v="27"/>
    </i>
    <i r="1">
      <x v="28"/>
    </i>
    <i>
      <x v="5"/>
    </i>
    <i r="1">
      <x/>
    </i>
    <i r="1">
      <x v="2"/>
    </i>
    <i r="1">
      <x v="9"/>
    </i>
    <i r="1">
      <x v="14"/>
    </i>
    <i r="1">
      <x v="27"/>
    </i>
    <i>
      <x v="6"/>
    </i>
    <i r="1">
      <x/>
    </i>
    <i r="1">
      <x v="2"/>
    </i>
    <i r="1">
      <x v="9"/>
    </i>
    <i r="1">
      <x v="14"/>
    </i>
    <i r="1">
      <x v="27"/>
    </i>
    <i>
      <x v="7"/>
    </i>
    <i r="1">
      <x/>
    </i>
    <i r="1">
      <x v="2"/>
    </i>
    <i r="1">
      <x v="9"/>
    </i>
    <i r="1">
      <x v="14"/>
    </i>
    <i r="1">
      <x v="27"/>
    </i>
    <i>
      <x v="8"/>
    </i>
    <i r="1">
      <x v="2"/>
    </i>
    <i r="1">
      <x v="14"/>
    </i>
    <i>
      <x v="9"/>
    </i>
    <i r="1">
      <x/>
    </i>
    <i r="1">
      <x v="2"/>
    </i>
    <i r="1">
      <x v="9"/>
    </i>
    <i r="1">
      <x v="14"/>
    </i>
    <i r="1">
      <x v="27"/>
    </i>
    <i>
      <x v="10"/>
    </i>
    <i r="1">
      <x/>
    </i>
    <i r="1">
      <x v="2"/>
    </i>
    <i r="1">
      <x v="9"/>
    </i>
    <i r="1">
      <x v="14"/>
    </i>
    <i r="1">
      <x v="27"/>
    </i>
    <i>
      <x v="11"/>
    </i>
    <i r="1">
      <x/>
    </i>
    <i r="1">
      <x v="2"/>
    </i>
    <i r="1">
      <x v="9"/>
    </i>
    <i r="1">
      <x v="14"/>
    </i>
    <i r="1">
      <x v="27"/>
    </i>
    <i>
      <x v="12"/>
    </i>
    <i r="1">
      <x v="2"/>
    </i>
    <i r="1">
      <x v="14"/>
    </i>
    <i>
      <x v="13"/>
    </i>
    <i r="1">
      <x v="2"/>
    </i>
    <i r="1">
      <x v="9"/>
    </i>
    <i r="1">
      <x v="14"/>
    </i>
    <i t="grand">
      <x/>
    </i>
  </rowItems>
  <colFields count="1">
    <field x="7"/>
  </colFields>
  <colItems count="12">
    <i>
      <x/>
    </i>
    <i>
      <x v="1"/>
    </i>
    <i>
      <x v="3"/>
    </i>
    <i>
      <x v="4"/>
    </i>
    <i>
      <x v="5"/>
    </i>
    <i>
      <x v="6"/>
    </i>
    <i>
      <x v="8"/>
    </i>
    <i>
      <x v="9"/>
    </i>
    <i>
      <x v="10"/>
    </i>
    <i>
      <x v="11"/>
    </i>
    <i>
      <x v="12"/>
    </i>
    <i t="grand">
      <x/>
    </i>
  </colItems>
  <formats count="228">
    <format dxfId="227">
      <pivotArea type="origin" dataOnly="0" labelOnly="1" outline="0" fieldPosition="0"/>
    </format>
    <format dxfId="226">
      <pivotArea field="7" type="button" dataOnly="0" labelOnly="1" outline="0" axis="axisCol" fieldPosition="0"/>
    </format>
    <format dxfId="225">
      <pivotArea type="origin" dataOnly="0" labelOnly="1" outline="0" fieldPosition="0"/>
    </format>
    <format dxfId="224">
      <pivotArea field="7" type="button" dataOnly="0" labelOnly="1" outline="0" axis="axisCol" fieldPosition="0"/>
    </format>
    <format dxfId="223">
      <pivotArea field="0" type="button" dataOnly="0" labelOnly="1" outline="0" axis="axisRow" fieldPosition="0"/>
    </format>
    <format dxfId="222">
      <pivotArea field="0" type="button" dataOnly="0" labelOnly="1" outline="0" axis="axisRow" fieldPosition="0"/>
    </format>
    <format dxfId="221">
      <pivotArea grandRow="1" outline="0" collapsedLevelsAreSubtotals="1" fieldPosition="0"/>
    </format>
    <format dxfId="220">
      <pivotArea collapsedLevelsAreSubtotals="1" fieldPosition="0">
        <references count="1">
          <reference field="0" count="0"/>
        </references>
      </pivotArea>
    </format>
    <format dxfId="219">
      <pivotArea collapsedLevelsAreSubtotals="1" fieldPosition="0">
        <references count="1">
          <reference field="0" count="0"/>
        </references>
      </pivotArea>
    </format>
    <format dxfId="218">
      <pivotArea collapsedLevelsAreSubtotals="1" fieldPosition="0">
        <references count="1">
          <reference field="0" count="1">
            <x v="0"/>
          </reference>
        </references>
      </pivotArea>
    </format>
    <format dxfId="217">
      <pivotArea collapsedLevelsAreSubtotals="1" fieldPosition="0">
        <references count="2">
          <reference field="0" count="1" selected="0">
            <x v="0"/>
          </reference>
          <reference field="6" count="4">
            <x v="3"/>
            <x v="4"/>
            <x v="17"/>
            <x v="18"/>
          </reference>
        </references>
      </pivotArea>
    </format>
    <format dxfId="216">
      <pivotArea collapsedLevelsAreSubtotals="1" fieldPosition="0">
        <references count="1">
          <reference field="0" count="1">
            <x v="1"/>
          </reference>
        </references>
      </pivotArea>
    </format>
    <format dxfId="215">
      <pivotArea collapsedLevelsAreSubtotals="1" fieldPosition="0">
        <references count="2">
          <reference field="0" count="1" selected="0">
            <x v="1"/>
          </reference>
          <reference field="6" count="3">
            <x v="3"/>
            <x v="9"/>
            <x v="17"/>
          </reference>
        </references>
      </pivotArea>
    </format>
    <format dxfId="214">
      <pivotArea collapsedLevelsAreSubtotals="1" fieldPosition="0">
        <references count="1">
          <reference field="0" count="1">
            <x v="2"/>
          </reference>
        </references>
      </pivotArea>
    </format>
    <format dxfId="213">
      <pivotArea collapsedLevelsAreSubtotals="1" fieldPosition="0">
        <references count="2">
          <reference field="0" count="1" selected="0">
            <x v="2"/>
          </reference>
          <reference field="6" count="2">
            <x v="3"/>
            <x v="17"/>
          </reference>
        </references>
      </pivotArea>
    </format>
    <format dxfId="212">
      <pivotArea collapsedLevelsAreSubtotals="1" fieldPosition="0">
        <references count="1">
          <reference field="0" count="1">
            <x v="3"/>
          </reference>
        </references>
      </pivotArea>
    </format>
    <format dxfId="211">
      <pivotArea collapsedLevelsAreSubtotals="1" fieldPosition="0">
        <references count="2">
          <reference field="0" count="1" selected="0">
            <x v="3"/>
          </reference>
          <reference field="6" count="7">
            <x v="3"/>
            <x v="4"/>
            <x v="7"/>
            <x v="9"/>
            <x v="17"/>
            <x v="18"/>
            <x v="21"/>
          </reference>
        </references>
      </pivotArea>
    </format>
    <format dxfId="210">
      <pivotArea collapsedLevelsAreSubtotals="1" fieldPosition="0">
        <references count="1">
          <reference field="0" count="1">
            <x v="4"/>
          </reference>
        </references>
      </pivotArea>
    </format>
    <format dxfId="209">
      <pivotArea collapsedLevelsAreSubtotals="1" fieldPosition="0">
        <references count="2">
          <reference field="0" count="1" selected="0">
            <x v="4"/>
          </reference>
          <reference field="6" count="4">
            <x v="3"/>
            <x v="4"/>
            <x v="17"/>
            <x v="18"/>
          </reference>
        </references>
      </pivotArea>
    </format>
    <format dxfId="208">
      <pivotArea collapsedLevelsAreSubtotals="1" fieldPosition="0">
        <references count="1">
          <reference field="0" count="1">
            <x v="5"/>
          </reference>
        </references>
      </pivotArea>
    </format>
    <format dxfId="207">
      <pivotArea collapsedLevelsAreSubtotals="1" fieldPosition="0">
        <references count="2">
          <reference field="0" count="1" selected="0">
            <x v="5"/>
          </reference>
          <reference field="6" count="5">
            <x v="3"/>
            <x v="4"/>
            <x v="9"/>
            <x v="17"/>
            <x v="18"/>
          </reference>
        </references>
      </pivotArea>
    </format>
    <format dxfId="206">
      <pivotArea collapsedLevelsAreSubtotals="1" fieldPosition="0">
        <references count="1">
          <reference field="0" count="1">
            <x v="6"/>
          </reference>
        </references>
      </pivotArea>
    </format>
    <format dxfId="205">
      <pivotArea collapsedLevelsAreSubtotals="1" fieldPosition="0">
        <references count="2">
          <reference field="0" count="1" selected="0">
            <x v="6"/>
          </reference>
          <reference field="6" count="5">
            <x v="3"/>
            <x v="4"/>
            <x v="9"/>
            <x v="17"/>
            <x v="18"/>
          </reference>
        </references>
      </pivotArea>
    </format>
    <format dxfId="204">
      <pivotArea collapsedLevelsAreSubtotals="1" fieldPosition="0">
        <references count="1">
          <reference field="0" count="1">
            <x v="7"/>
          </reference>
        </references>
      </pivotArea>
    </format>
    <format dxfId="203">
      <pivotArea collapsedLevelsAreSubtotals="1" fieldPosition="0">
        <references count="2">
          <reference field="0" count="1" selected="0">
            <x v="7"/>
          </reference>
          <reference field="6" count="5">
            <x v="3"/>
            <x v="4"/>
            <x v="9"/>
            <x v="17"/>
            <x v="18"/>
          </reference>
        </references>
      </pivotArea>
    </format>
    <format dxfId="202">
      <pivotArea collapsedLevelsAreSubtotals="1" fieldPosition="0">
        <references count="1">
          <reference field="0" count="1">
            <x v="8"/>
          </reference>
        </references>
      </pivotArea>
    </format>
    <format dxfId="201">
      <pivotArea collapsedLevelsAreSubtotals="1" fieldPosition="0">
        <references count="2">
          <reference field="0" count="1" selected="0">
            <x v="8"/>
          </reference>
          <reference field="6" count="3">
            <x v="3"/>
            <x v="4"/>
            <x v="18"/>
          </reference>
        </references>
      </pivotArea>
    </format>
    <format dxfId="200">
      <pivotArea collapsedLevelsAreSubtotals="1" fieldPosition="0">
        <references count="1">
          <reference field="0" count="1">
            <x v="9"/>
          </reference>
        </references>
      </pivotArea>
    </format>
    <format dxfId="199">
      <pivotArea collapsedLevelsAreSubtotals="1" fieldPosition="0">
        <references count="2">
          <reference field="0" count="1" selected="0">
            <x v="9"/>
          </reference>
          <reference field="6" count="5">
            <x v="3"/>
            <x v="4"/>
            <x v="9"/>
            <x v="17"/>
            <x v="18"/>
          </reference>
        </references>
      </pivotArea>
    </format>
    <format dxfId="198">
      <pivotArea collapsedLevelsAreSubtotals="1" fieldPosition="0">
        <references count="1">
          <reference field="0" count="1">
            <x v="10"/>
          </reference>
        </references>
      </pivotArea>
    </format>
    <format dxfId="197">
      <pivotArea collapsedLevelsAreSubtotals="1" fieldPosition="0">
        <references count="2">
          <reference field="0" count="1" selected="0">
            <x v="10"/>
          </reference>
          <reference field="6" count="6">
            <x v="3"/>
            <x v="4"/>
            <x v="6"/>
            <x v="9"/>
            <x v="17"/>
            <x v="18"/>
          </reference>
        </references>
      </pivotArea>
    </format>
    <format dxfId="196">
      <pivotArea collapsedLevelsAreSubtotals="1" fieldPosition="0">
        <references count="1">
          <reference field="0" count="1">
            <x v="11"/>
          </reference>
        </references>
      </pivotArea>
    </format>
    <format dxfId="195">
      <pivotArea collapsedLevelsAreSubtotals="1" fieldPosition="0">
        <references count="2">
          <reference field="0" count="1" selected="0">
            <x v="11"/>
          </reference>
          <reference field="6" count="4">
            <x v="3"/>
            <x v="4"/>
            <x v="9"/>
            <x v="17"/>
          </reference>
        </references>
      </pivotArea>
    </format>
    <format dxfId="194">
      <pivotArea collapsedLevelsAreSubtotals="1" fieldPosition="0">
        <references count="1">
          <reference field="0" count="1">
            <x v="0"/>
          </reference>
        </references>
      </pivotArea>
    </format>
    <format dxfId="193">
      <pivotArea collapsedLevelsAreSubtotals="1" fieldPosition="0">
        <references count="2">
          <reference field="0" count="1" selected="0">
            <x v="0"/>
          </reference>
          <reference field="6" count="4">
            <x v="3"/>
            <x v="4"/>
            <x v="17"/>
            <x v="18"/>
          </reference>
        </references>
      </pivotArea>
    </format>
    <format dxfId="192">
      <pivotArea collapsedLevelsAreSubtotals="1" fieldPosition="0">
        <references count="1">
          <reference field="0" count="1">
            <x v="1"/>
          </reference>
        </references>
      </pivotArea>
    </format>
    <format dxfId="191">
      <pivotArea collapsedLevelsAreSubtotals="1" fieldPosition="0">
        <references count="2">
          <reference field="0" count="1" selected="0">
            <x v="1"/>
          </reference>
          <reference field="6" count="3">
            <x v="3"/>
            <x v="9"/>
            <x v="17"/>
          </reference>
        </references>
      </pivotArea>
    </format>
    <format dxfId="190">
      <pivotArea collapsedLevelsAreSubtotals="1" fieldPosition="0">
        <references count="1">
          <reference field="0" count="1">
            <x v="2"/>
          </reference>
        </references>
      </pivotArea>
    </format>
    <format dxfId="189">
      <pivotArea collapsedLevelsAreSubtotals="1" fieldPosition="0">
        <references count="2">
          <reference field="0" count="1" selected="0">
            <x v="2"/>
          </reference>
          <reference field="6" count="2">
            <x v="3"/>
            <x v="17"/>
          </reference>
        </references>
      </pivotArea>
    </format>
    <format dxfId="188">
      <pivotArea collapsedLevelsAreSubtotals="1" fieldPosition="0">
        <references count="1">
          <reference field="0" count="1">
            <x v="3"/>
          </reference>
        </references>
      </pivotArea>
    </format>
    <format dxfId="187">
      <pivotArea collapsedLevelsAreSubtotals="1" fieldPosition="0">
        <references count="2">
          <reference field="0" count="1" selected="0">
            <x v="3"/>
          </reference>
          <reference field="6" count="7">
            <x v="3"/>
            <x v="4"/>
            <x v="7"/>
            <x v="9"/>
            <x v="17"/>
            <x v="18"/>
            <x v="21"/>
          </reference>
        </references>
      </pivotArea>
    </format>
    <format dxfId="186">
      <pivotArea collapsedLevelsAreSubtotals="1" fieldPosition="0">
        <references count="1">
          <reference field="0" count="1">
            <x v="4"/>
          </reference>
        </references>
      </pivotArea>
    </format>
    <format dxfId="185">
      <pivotArea collapsedLevelsAreSubtotals="1" fieldPosition="0">
        <references count="2">
          <reference field="0" count="1" selected="0">
            <x v="4"/>
          </reference>
          <reference field="6" count="4">
            <x v="3"/>
            <x v="4"/>
            <x v="17"/>
            <x v="18"/>
          </reference>
        </references>
      </pivotArea>
    </format>
    <format dxfId="184">
      <pivotArea collapsedLevelsAreSubtotals="1" fieldPosition="0">
        <references count="1">
          <reference field="0" count="1">
            <x v="5"/>
          </reference>
        </references>
      </pivotArea>
    </format>
    <format dxfId="183">
      <pivotArea collapsedLevelsAreSubtotals="1" fieldPosition="0">
        <references count="2">
          <reference field="0" count="1" selected="0">
            <x v="5"/>
          </reference>
          <reference field="6" count="5">
            <x v="3"/>
            <x v="4"/>
            <x v="9"/>
            <x v="17"/>
            <x v="18"/>
          </reference>
        </references>
      </pivotArea>
    </format>
    <format dxfId="182">
      <pivotArea collapsedLevelsAreSubtotals="1" fieldPosition="0">
        <references count="1">
          <reference field="0" count="1">
            <x v="6"/>
          </reference>
        </references>
      </pivotArea>
    </format>
    <format dxfId="181">
      <pivotArea collapsedLevelsAreSubtotals="1" fieldPosition="0">
        <references count="2">
          <reference field="0" count="1" selected="0">
            <x v="6"/>
          </reference>
          <reference field="6" count="5">
            <x v="3"/>
            <x v="4"/>
            <x v="9"/>
            <x v="17"/>
            <x v="18"/>
          </reference>
        </references>
      </pivotArea>
    </format>
    <format dxfId="180">
      <pivotArea collapsedLevelsAreSubtotals="1" fieldPosition="0">
        <references count="1">
          <reference field="0" count="1">
            <x v="7"/>
          </reference>
        </references>
      </pivotArea>
    </format>
    <format dxfId="179">
      <pivotArea collapsedLevelsAreSubtotals="1" fieldPosition="0">
        <references count="2">
          <reference field="0" count="1" selected="0">
            <x v="7"/>
          </reference>
          <reference field="6" count="5">
            <x v="3"/>
            <x v="4"/>
            <x v="9"/>
            <x v="17"/>
            <x v="18"/>
          </reference>
        </references>
      </pivotArea>
    </format>
    <format dxfId="178">
      <pivotArea collapsedLevelsAreSubtotals="1" fieldPosition="0">
        <references count="1">
          <reference field="0" count="1">
            <x v="8"/>
          </reference>
        </references>
      </pivotArea>
    </format>
    <format dxfId="177">
      <pivotArea collapsedLevelsAreSubtotals="1" fieldPosition="0">
        <references count="2">
          <reference field="0" count="1" selected="0">
            <x v="8"/>
          </reference>
          <reference field="6" count="3">
            <x v="3"/>
            <x v="4"/>
            <x v="18"/>
          </reference>
        </references>
      </pivotArea>
    </format>
    <format dxfId="176">
      <pivotArea collapsedLevelsAreSubtotals="1" fieldPosition="0">
        <references count="1">
          <reference field="0" count="1">
            <x v="9"/>
          </reference>
        </references>
      </pivotArea>
    </format>
    <format dxfId="175">
      <pivotArea collapsedLevelsAreSubtotals="1" fieldPosition="0">
        <references count="2">
          <reference field="0" count="1" selected="0">
            <x v="9"/>
          </reference>
          <reference field="6" count="5">
            <x v="3"/>
            <x v="4"/>
            <x v="9"/>
            <x v="17"/>
            <x v="18"/>
          </reference>
        </references>
      </pivotArea>
    </format>
    <format dxfId="174">
      <pivotArea collapsedLevelsAreSubtotals="1" fieldPosition="0">
        <references count="1">
          <reference field="0" count="1">
            <x v="10"/>
          </reference>
        </references>
      </pivotArea>
    </format>
    <format dxfId="173">
      <pivotArea collapsedLevelsAreSubtotals="1" fieldPosition="0">
        <references count="2">
          <reference field="0" count="1" selected="0">
            <x v="10"/>
          </reference>
          <reference field="6" count="6">
            <x v="3"/>
            <x v="4"/>
            <x v="6"/>
            <x v="9"/>
            <x v="17"/>
            <x v="18"/>
          </reference>
        </references>
      </pivotArea>
    </format>
    <format dxfId="172">
      <pivotArea collapsedLevelsAreSubtotals="1" fieldPosition="0">
        <references count="1">
          <reference field="0" count="1">
            <x v="11"/>
          </reference>
        </references>
      </pivotArea>
    </format>
    <format dxfId="171">
      <pivotArea collapsedLevelsAreSubtotals="1" fieldPosition="0">
        <references count="2">
          <reference field="0" count="1" selected="0">
            <x v="11"/>
          </reference>
          <reference field="6" count="4">
            <x v="3"/>
            <x v="4"/>
            <x v="9"/>
            <x v="17"/>
          </reference>
        </references>
      </pivotArea>
    </format>
    <format dxfId="170">
      <pivotArea collapsedLevelsAreSubtotals="1" fieldPosition="0">
        <references count="1">
          <reference field="0" count="1">
            <x v="0"/>
          </reference>
        </references>
      </pivotArea>
    </format>
    <format dxfId="169">
      <pivotArea collapsedLevelsAreSubtotals="1" fieldPosition="0">
        <references count="2">
          <reference field="0" count="1" selected="0">
            <x v="0"/>
          </reference>
          <reference field="6" count="4">
            <x v="3"/>
            <x v="4"/>
            <x v="17"/>
            <x v="18"/>
          </reference>
        </references>
      </pivotArea>
    </format>
    <format dxfId="168">
      <pivotArea collapsedLevelsAreSubtotals="1" fieldPosition="0">
        <references count="1">
          <reference field="0" count="1">
            <x v="1"/>
          </reference>
        </references>
      </pivotArea>
    </format>
    <format dxfId="167">
      <pivotArea collapsedLevelsAreSubtotals="1" fieldPosition="0">
        <references count="2">
          <reference field="0" count="1" selected="0">
            <x v="1"/>
          </reference>
          <reference field="6" count="3">
            <x v="3"/>
            <x v="9"/>
            <x v="17"/>
          </reference>
        </references>
      </pivotArea>
    </format>
    <format dxfId="166">
      <pivotArea collapsedLevelsAreSubtotals="1" fieldPosition="0">
        <references count="1">
          <reference field="0" count="1">
            <x v="2"/>
          </reference>
        </references>
      </pivotArea>
    </format>
    <format dxfId="165">
      <pivotArea collapsedLevelsAreSubtotals="1" fieldPosition="0">
        <references count="2">
          <reference field="0" count="1" selected="0">
            <x v="2"/>
          </reference>
          <reference field="6" count="2">
            <x v="3"/>
            <x v="17"/>
          </reference>
        </references>
      </pivotArea>
    </format>
    <format dxfId="164">
      <pivotArea collapsedLevelsAreSubtotals="1" fieldPosition="0">
        <references count="1">
          <reference field="0" count="1">
            <x v="3"/>
          </reference>
        </references>
      </pivotArea>
    </format>
    <format dxfId="163">
      <pivotArea collapsedLevelsAreSubtotals="1" fieldPosition="0">
        <references count="2">
          <reference field="0" count="1" selected="0">
            <x v="3"/>
          </reference>
          <reference field="6" count="7">
            <x v="3"/>
            <x v="4"/>
            <x v="7"/>
            <x v="9"/>
            <x v="17"/>
            <x v="18"/>
            <x v="21"/>
          </reference>
        </references>
      </pivotArea>
    </format>
    <format dxfId="162">
      <pivotArea collapsedLevelsAreSubtotals="1" fieldPosition="0">
        <references count="1">
          <reference field="0" count="1">
            <x v="4"/>
          </reference>
        </references>
      </pivotArea>
    </format>
    <format dxfId="161">
      <pivotArea collapsedLevelsAreSubtotals="1" fieldPosition="0">
        <references count="2">
          <reference field="0" count="1" selected="0">
            <x v="4"/>
          </reference>
          <reference field="6" count="4">
            <x v="3"/>
            <x v="4"/>
            <x v="17"/>
            <x v="18"/>
          </reference>
        </references>
      </pivotArea>
    </format>
    <format dxfId="160">
      <pivotArea collapsedLevelsAreSubtotals="1" fieldPosition="0">
        <references count="1">
          <reference field="0" count="1">
            <x v="5"/>
          </reference>
        </references>
      </pivotArea>
    </format>
    <format dxfId="159">
      <pivotArea collapsedLevelsAreSubtotals="1" fieldPosition="0">
        <references count="2">
          <reference field="0" count="1" selected="0">
            <x v="5"/>
          </reference>
          <reference field="6" count="5">
            <x v="3"/>
            <x v="4"/>
            <x v="9"/>
            <x v="17"/>
            <x v="18"/>
          </reference>
        </references>
      </pivotArea>
    </format>
    <format dxfId="158">
      <pivotArea collapsedLevelsAreSubtotals="1" fieldPosition="0">
        <references count="1">
          <reference field="0" count="1">
            <x v="6"/>
          </reference>
        </references>
      </pivotArea>
    </format>
    <format dxfId="157">
      <pivotArea collapsedLevelsAreSubtotals="1" fieldPosition="0">
        <references count="2">
          <reference field="0" count="1" selected="0">
            <x v="6"/>
          </reference>
          <reference field="6" count="5">
            <x v="3"/>
            <x v="4"/>
            <x v="9"/>
            <x v="17"/>
            <x v="18"/>
          </reference>
        </references>
      </pivotArea>
    </format>
    <format dxfId="156">
      <pivotArea collapsedLevelsAreSubtotals="1" fieldPosition="0">
        <references count="1">
          <reference field="0" count="1">
            <x v="7"/>
          </reference>
        </references>
      </pivotArea>
    </format>
    <format dxfId="155">
      <pivotArea collapsedLevelsAreSubtotals="1" fieldPosition="0">
        <references count="2">
          <reference field="0" count="1" selected="0">
            <x v="7"/>
          </reference>
          <reference field="6" count="5">
            <x v="3"/>
            <x v="4"/>
            <x v="9"/>
            <x v="17"/>
            <x v="18"/>
          </reference>
        </references>
      </pivotArea>
    </format>
    <format dxfId="154">
      <pivotArea collapsedLevelsAreSubtotals="1" fieldPosition="0">
        <references count="1">
          <reference field="0" count="1">
            <x v="8"/>
          </reference>
        </references>
      </pivotArea>
    </format>
    <format dxfId="153">
      <pivotArea collapsedLevelsAreSubtotals="1" fieldPosition="0">
        <references count="2">
          <reference field="0" count="1" selected="0">
            <x v="8"/>
          </reference>
          <reference field="6" count="3">
            <x v="3"/>
            <x v="4"/>
            <x v="18"/>
          </reference>
        </references>
      </pivotArea>
    </format>
    <format dxfId="152">
      <pivotArea collapsedLevelsAreSubtotals="1" fieldPosition="0">
        <references count="1">
          <reference field="0" count="1">
            <x v="9"/>
          </reference>
        </references>
      </pivotArea>
    </format>
    <format dxfId="151">
      <pivotArea collapsedLevelsAreSubtotals="1" fieldPosition="0">
        <references count="2">
          <reference field="0" count="1" selected="0">
            <x v="9"/>
          </reference>
          <reference field="6" count="5">
            <x v="3"/>
            <x v="4"/>
            <x v="9"/>
            <x v="17"/>
            <x v="18"/>
          </reference>
        </references>
      </pivotArea>
    </format>
    <format dxfId="150">
      <pivotArea collapsedLevelsAreSubtotals="1" fieldPosition="0">
        <references count="1">
          <reference field="0" count="1">
            <x v="10"/>
          </reference>
        </references>
      </pivotArea>
    </format>
    <format dxfId="149">
      <pivotArea collapsedLevelsAreSubtotals="1" fieldPosition="0">
        <references count="2">
          <reference field="0" count="1" selected="0">
            <x v="10"/>
          </reference>
          <reference field="6" count="6">
            <x v="3"/>
            <x v="4"/>
            <x v="6"/>
            <x v="9"/>
            <x v="17"/>
            <x v="18"/>
          </reference>
        </references>
      </pivotArea>
    </format>
    <format dxfId="148">
      <pivotArea collapsedLevelsAreSubtotals="1" fieldPosition="0">
        <references count="1">
          <reference field="0" count="1">
            <x v="11"/>
          </reference>
        </references>
      </pivotArea>
    </format>
    <format dxfId="147">
      <pivotArea collapsedLevelsAreSubtotals="1" fieldPosition="0">
        <references count="2">
          <reference field="0" count="1" selected="0">
            <x v="11"/>
          </reference>
          <reference field="6" count="4">
            <x v="3"/>
            <x v="4"/>
            <x v="9"/>
            <x v="17"/>
          </reference>
        </references>
      </pivotArea>
    </format>
    <format dxfId="146">
      <pivotArea collapsedLevelsAreSubtotals="1" fieldPosition="0">
        <references count="1">
          <reference field="0" count="1">
            <x v="0"/>
          </reference>
        </references>
      </pivotArea>
    </format>
    <format dxfId="145">
      <pivotArea collapsedLevelsAreSubtotals="1" fieldPosition="0">
        <references count="2">
          <reference field="0" count="1" selected="0">
            <x v="0"/>
          </reference>
          <reference field="6" count="4">
            <x v="3"/>
            <x v="4"/>
            <x v="17"/>
            <x v="18"/>
          </reference>
        </references>
      </pivotArea>
    </format>
    <format dxfId="144">
      <pivotArea collapsedLevelsAreSubtotals="1" fieldPosition="0">
        <references count="1">
          <reference field="0" count="1">
            <x v="1"/>
          </reference>
        </references>
      </pivotArea>
    </format>
    <format dxfId="143">
      <pivotArea collapsedLevelsAreSubtotals="1" fieldPosition="0">
        <references count="2">
          <reference field="0" count="1" selected="0">
            <x v="1"/>
          </reference>
          <reference field="6" count="3">
            <x v="3"/>
            <x v="9"/>
            <x v="17"/>
          </reference>
        </references>
      </pivotArea>
    </format>
    <format dxfId="142">
      <pivotArea collapsedLevelsAreSubtotals="1" fieldPosition="0">
        <references count="1">
          <reference field="0" count="1">
            <x v="2"/>
          </reference>
        </references>
      </pivotArea>
    </format>
    <format dxfId="141">
      <pivotArea collapsedLevelsAreSubtotals="1" fieldPosition="0">
        <references count="2">
          <reference field="0" count="1" selected="0">
            <x v="2"/>
          </reference>
          <reference field="6" count="2">
            <x v="3"/>
            <x v="17"/>
          </reference>
        </references>
      </pivotArea>
    </format>
    <format dxfId="140">
      <pivotArea collapsedLevelsAreSubtotals="1" fieldPosition="0">
        <references count="1">
          <reference field="0" count="1">
            <x v="3"/>
          </reference>
        </references>
      </pivotArea>
    </format>
    <format dxfId="139">
      <pivotArea collapsedLevelsAreSubtotals="1" fieldPosition="0">
        <references count="2">
          <reference field="0" count="1" selected="0">
            <x v="3"/>
          </reference>
          <reference field="6" count="7">
            <x v="3"/>
            <x v="4"/>
            <x v="7"/>
            <x v="9"/>
            <x v="17"/>
            <x v="18"/>
            <x v="21"/>
          </reference>
        </references>
      </pivotArea>
    </format>
    <format dxfId="138">
      <pivotArea collapsedLevelsAreSubtotals="1" fieldPosition="0">
        <references count="1">
          <reference field="0" count="1">
            <x v="4"/>
          </reference>
        </references>
      </pivotArea>
    </format>
    <format dxfId="137">
      <pivotArea collapsedLevelsAreSubtotals="1" fieldPosition="0">
        <references count="2">
          <reference field="0" count="1" selected="0">
            <x v="4"/>
          </reference>
          <reference field="6" count="4">
            <x v="3"/>
            <x v="4"/>
            <x v="17"/>
            <x v="18"/>
          </reference>
        </references>
      </pivotArea>
    </format>
    <format dxfId="136">
      <pivotArea collapsedLevelsAreSubtotals="1" fieldPosition="0">
        <references count="1">
          <reference field="0" count="1">
            <x v="5"/>
          </reference>
        </references>
      </pivotArea>
    </format>
    <format dxfId="135">
      <pivotArea collapsedLevelsAreSubtotals="1" fieldPosition="0">
        <references count="2">
          <reference field="0" count="1" selected="0">
            <x v="5"/>
          </reference>
          <reference field="6" count="5">
            <x v="3"/>
            <x v="4"/>
            <x v="9"/>
            <x v="17"/>
            <x v="18"/>
          </reference>
        </references>
      </pivotArea>
    </format>
    <format dxfId="134">
      <pivotArea collapsedLevelsAreSubtotals="1" fieldPosition="0">
        <references count="1">
          <reference field="0" count="1">
            <x v="6"/>
          </reference>
        </references>
      </pivotArea>
    </format>
    <format dxfId="133">
      <pivotArea collapsedLevelsAreSubtotals="1" fieldPosition="0">
        <references count="2">
          <reference field="0" count="1" selected="0">
            <x v="6"/>
          </reference>
          <reference field="6" count="5">
            <x v="3"/>
            <x v="4"/>
            <x v="9"/>
            <x v="17"/>
            <x v="18"/>
          </reference>
        </references>
      </pivotArea>
    </format>
    <format dxfId="132">
      <pivotArea collapsedLevelsAreSubtotals="1" fieldPosition="0">
        <references count="1">
          <reference field="0" count="1">
            <x v="7"/>
          </reference>
        </references>
      </pivotArea>
    </format>
    <format dxfId="131">
      <pivotArea collapsedLevelsAreSubtotals="1" fieldPosition="0">
        <references count="2">
          <reference field="0" count="1" selected="0">
            <x v="7"/>
          </reference>
          <reference field="6" count="5">
            <x v="3"/>
            <x v="4"/>
            <x v="9"/>
            <x v="17"/>
            <x v="18"/>
          </reference>
        </references>
      </pivotArea>
    </format>
    <format dxfId="130">
      <pivotArea collapsedLevelsAreSubtotals="1" fieldPosition="0">
        <references count="1">
          <reference field="0" count="1">
            <x v="8"/>
          </reference>
        </references>
      </pivotArea>
    </format>
    <format dxfId="129">
      <pivotArea collapsedLevelsAreSubtotals="1" fieldPosition="0">
        <references count="2">
          <reference field="0" count="1" selected="0">
            <x v="8"/>
          </reference>
          <reference field="6" count="3">
            <x v="3"/>
            <x v="4"/>
            <x v="18"/>
          </reference>
        </references>
      </pivotArea>
    </format>
    <format dxfId="128">
      <pivotArea collapsedLevelsAreSubtotals="1" fieldPosition="0">
        <references count="1">
          <reference field="0" count="1">
            <x v="9"/>
          </reference>
        </references>
      </pivotArea>
    </format>
    <format dxfId="127">
      <pivotArea collapsedLevelsAreSubtotals="1" fieldPosition="0">
        <references count="2">
          <reference field="0" count="1" selected="0">
            <x v="9"/>
          </reference>
          <reference field="6" count="5">
            <x v="3"/>
            <x v="4"/>
            <x v="9"/>
            <x v="17"/>
            <x v="18"/>
          </reference>
        </references>
      </pivotArea>
    </format>
    <format dxfId="126">
      <pivotArea collapsedLevelsAreSubtotals="1" fieldPosition="0">
        <references count="1">
          <reference field="0" count="1">
            <x v="10"/>
          </reference>
        </references>
      </pivotArea>
    </format>
    <format dxfId="125">
      <pivotArea collapsedLevelsAreSubtotals="1" fieldPosition="0">
        <references count="2">
          <reference field="0" count="1" selected="0">
            <x v="10"/>
          </reference>
          <reference field="6" count="6">
            <x v="3"/>
            <x v="4"/>
            <x v="6"/>
            <x v="9"/>
            <x v="17"/>
            <x v="18"/>
          </reference>
        </references>
      </pivotArea>
    </format>
    <format dxfId="124">
      <pivotArea collapsedLevelsAreSubtotals="1" fieldPosition="0">
        <references count="1">
          <reference field="0" count="1">
            <x v="11"/>
          </reference>
        </references>
      </pivotArea>
    </format>
    <format dxfId="123">
      <pivotArea collapsedLevelsAreSubtotals="1" fieldPosition="0">
        <references count="2">
          <reference field="0" count="1" selected="0">
            <x v="11"/>
          </reference>
          <reference field="6" count="4">
            <x v="3"/>
            <x v="4"/>
            <x v="9"/>
            <x v="17"/>
          </reference>
        </references>
      </pivotArea>
    </format>
    <format dxfId="122">
      <pivotArea dataOnly="0" labelOnly="1" fieldPosition="0">
        <references count="1">
          <reference field="0" count="0"/>
        </references>
      </pivotArea>
    </format>
    <format dxfId="121">
      <pivotArea dataOnly="0" labelOnly="1" fieldPosition="0">
        <references count="2">
          <reference field="0" count="1" selected="0">
            <x v="0"/>
          </reference>
          <reference field="6" count="4">
            <x v="3"/>
            <x v="4"/>
            <x v="17"/>
            <x v="18"/>
          </reference>
        </references>
      </pivotArea>
    </format>
    <format dxfId="120">
      <pivotArea dataOnly="0" labelOnly="1" fieldPosition="0">
        <references count="2">
          <reference field="0" count="1" selected="0">
            <x v="1"/>
          </reference>
          <reference field="6" count="3">
            <x v="3"/>
            <x v="9"/>
            <x v="17"/>
          </reference>
        </references>
      </pivotArea>
    </format>
    <format dxfId="119">
      <pivotArea dataOnly="0" labelOnly="1" fieldPosition="0">
        <references count="2">
          <reference field="0" count="1" selected="0">
            <x v="2"/>
          </reference>
          <reference field="6" count="2">
            <x v="3"/>
            <x v="17"/>
          </reference>
        </references>
      </pivotArea>
    </format>
    <format dxfId="118">
      <pivotArea dataOnly="0" labelOnly="1" fieldPosition="0">
        <references count="2">
          <reference field="0" count="1" selected="0">
            <x v="3"/>
          </reference>
          <reference field="6" count="7">
            <x v="3"/>
            <x v="4"/>
            <x v="7"/>
            <x v="9"/>
            <x v="17"/>
            <x v="18"/>
            <x v="21"/>
          </reference>
        </references>
      </pivotArea>
    </format>
    <format dxfId="117">
      <pivotArea dataOnly="0" labelOnly="1" fieldPosition="0">
        <references count="2">
          <reference field="0" count="1" selected="0">
            <x v="4"/>
          </reference>
          <reference field="6" count="4">
            <x v="3"/>
            <x v="4"/>
            <x v="17"/>
            <x v="18"/>
          </reference>
        </references>
      </pivotArea>
    </format>
    <format dxfId="116">
      <pivotArea dataOnly="0" labelOnly="1" fieldPosition="0">
        <references count="2">
          <reference field="0" count="1" selected="0">
            <x v="5"/>
          </reference>
          <reference field="6" count="5">
            <x v="3"/>
            <x v="4"/>
            <x v="9"/>
            <x v="17"/>
            <x v="18"/>
          </reference>
        </references>
      </pivotArea>
    </format>
    <format dxfId="115">
      <pivotArea dataOnly="0" labelOnly="1" fieldPosition="0">
        <references count="2">
          <reference field="0" count="1" selected="0">
            <x v="6"/>
          </reference>
          <reference field="6" count="5">
            <x v="3"/>
            <x v="4"/>
            <x v="9"/>
            <x v="17"/>
            <x v="18"/>
          </reference>
        </references>
      </pivotArea>
    </format>
    <format dxfId="114">
      <pivotArea dataOnly="0" labelOnly="1" fieldPosition="0">
        <references count="2">
          <reference field="0" count="1" selected="0">
            <x v="7"/>
          </reference>
          <reference field="6" count="5">
            <x v="3"/>
            <x v="4"/>
            <x v="9"/>
            <x v="17"/>
            <x v="18"/>
          </reference>
        </references>
      </pivotArea>
    </format>
    <format dxfId="113">
      <pivotArea dataOnly="0" labelOnly="1" fieldPosition="0">
        <references count="2">
          <reference field="0" count="1" selected="0">
            <x v="8"/>
          </reference>
          <reference field="6" count="3">
            <x v="3"/>
            <x v="4"/>
            <x v="18"/>
          </reference>
        </references>
      </pivotArea>
    </format>
    <format dxfId="112">
      <pivotArea dataOnly="0" labelOnly="1" fieldPosition="0">
        <references count="2">
          <reference field="0" count="1" selected="0">
            <x v="9"/>
          </reference>
          <reference field="6" count="5">
            <x v="3"/>
            <x v="4"/>
            <x v="9"/>
            <x v="17"/>
            <x v="18"/>
          </reference>
        </references>
      </pivotArea>
    </format>
    <format dxfId="111">
      <pivotArea dataOnly="0" labelOnly="1" fieldPosition="0">
        <references count="2">
          <reference field="0" count="1" selected="0">
            <x v="10"/>
          </reference>
          <reference field="6" count="6">
            <x v="3"/>
            <x v="4"/>
            <x v="6"/>
            <x v="9"/>
            <x v="17"/>
            <x v="18"/>
          </reference>
        </references>
      </pivotArea>
    </format>
    <format dxfId="110">
      <pivotArea dataOnly="0" labelOnly="1" fieldPosition="0">
        <references count="2">
          <reference field="0" count="1" selected="0">
            <x v="11"/>
          </reference>
          <reference field="6" count="4">
            <x v="3"/>
            <x v="4"/>
            <x v="9"/>
            <x v="17"/>
          </reference>
        </references>
      </pivotArea>
    </format>
    <format dxfId="109">
      <pivotArea collapsedLevelsAreSubtotals="1" fieldPosition="0">
        <references count="1">
          <reference field="0" count="1">
            <x v="0"/>
          </reference>
        </references>
      </pivotArea>
    </format>
    <format dxfId="108">
      <pivotArea collapsedLevelsAreSubtotals="1" fieldPosition="0">
        <references count="2">
          <reference field="0" count="1" selected="0">
            <x v="0"/>
          </reference>
          <reference field="6" count="4">
            <x v="3"/>
            <x v="4"/>
            <x v="17"/>
            <x v="18"/>
          </reference>
        </references>
      </pivotArea>
    </format>
    <format dxfId="107">
      <pivotArea collapsedLevelsAreSubtotals="1" fieldPosition="0">
        <references count="1">
          <reference field="0" count="1">
            <x v="1"/>
          </reference>
        </references>
      </pivotArea>
    </format>
    <format dxfId="106">
      <pivotArea collapsedLevelsAreSubtotals="1" fieldPosition="0">
        <references count="2">
          <reference field="0" count="1" selected="0">
            <x v="1"/>
          </reference>
          <reference field="6" count="3">
            <x v="3"/>
            <x v="9"/>
            <x v="17"/>
          </reference>
        </references>
      </pivotArea>
    </format>
    <format dxfId="105">
      <pivotArea collapsedLevelsAreSubtotals="1" fieldPosition="0">
        <references count="1">
          <reference field="0" count="1">
            <x v="2"/>
          </reference>
        </references>
      </pivotArea>
    </format>
    <format dxfId="104">
      <pivotArea collapsedLevelsAreSubtotals="1" fieldPosition="0">
        <references count="2">
          <reference field="0" count="1" selected="0">
            <x v="2"/>
          </reference>
          <reference field="6" count="2">
            <x v="3"/>
            <x v="17"/>
          </reference>
        </references>
      </pivotArea>
    </format>
    <format dxfId="103">
      <pivotArea collapsedLevelsAreSubtotals="1" fieldPosition="0">
        <references count="1">
          <reference field="0" count="1">
            <x v="3"/>
          </reference>
        </references>
      </pivotArea>
    </format>
    <format dxfId="102">
      <pivotArea collapsedLevelsAreSubtotals="1" fieldPosition="0">
        <references count="2">
          <reference field="0" count="1" selected="0">
            <x v="3"/>
          </reference>
          <reference field="6" count="7">
            <x v="3"/>
            <x v="4"/>
            <x v="7"/>
            <x v="9"/>
            <x v="17"/>
            <x v="18"/>
            <x v="21"/>
          </reference>
        </references>
      </pivotArea>
    </format>
    <format dxfId="101">
      <pivotArea collapsedLevelsAreSubtotals="1" fieldPosition="0">
        <references count="1">
          <reference field="0" count="1">
            <x v="4"/>
          </reference>
        </references>
      </pivotArea>
    </format>
    <format dxfId="100">
      <pivotArea collapsedLevelsAreSubtotals="1" fieldPosition="0">
        <references count="2">
          <reference field="0" count="1" selected="0">
            <x v="4"/>
          </reference>
          <reference field="6" count="4">
            <x v="3"/>
            <x v="4"/>
            <x v="17"/>
            <x v="18"/>
          </reference>
        </references>
      </pivotArea>
    </format>
    <format dxfId="99">
      <pivotArea collapsedLevelsAreSubtotals="1" fieldPosition="0">
        <references count="1">
          <reference field="0" count="1">
            <x v="5"/>
          </reference>
        </references>
      </pivotArea>
    </format>
    <format dxfId="98">
      <pivotArea collapsedLevelsAreSubtotals="1" fieldPosition="0">
        <references count="2">
          <reference field="0" count="1" selected="0">
            <x v="5"/>
          </reference>
          <reference field="6" count="5">
            <x v="3"/>
            <x v="4"/>
            <x v="9"/>
            <x v="17"/>
            <x v="18"/>
          </reference>
        </references>
      </pivotArea>
    </format>
    <format dxfId="97">
      <pivotArea collapsedLevelsAreSubtotals="1" fieldPosition="0">
        <references count="1">
          <reference field="0" count="1">
            <x v="6"/>
          </reference>
        </references>
      </pivotArea>
    </format>
    <format dxfId="96">
      <pivotArea collapsedLevelsAreSubtotals="1" fieldPosition="0">
        <references count="2">
          <reference field="0" count="1" selected="0">
            <x v="6"/>
          </reference>
          <reference field="6" count="5">
            <x v="3"/>
            <x v="4"/>
            <x v="9"/>
            <x v="17"/>
            <x v="18"/>
          </reference>
        </references>
      </pivotArea>
    </format>
    <format dxfId="95">
      <pivotArea collapsedLevelsAreSubtotals="1" fieldPosition="0">
        <references count="1">
          <reference field="0" count="1">
            <x v="7"/>
          </reference>
        </references>
      </pivotArea>
    </format>
    <format dxfId="94">
      <pivotArea collapsedLevelsAreSubtotals="1" fieldPosition="0">
        <references count="2">
          <reference field="0" count="1" selected="0">
            <x v="7"/>
          </reference>
          <reference field="6" count="5">
            <x v="3"/>
            <x v="4"/>
            <x v="9"/>
            <x v="17"/>
            <x v="18"/>
          </reference>
        </references>
      </pivotArea>
    </format>
    <format dxfId="93">
      <pivotArea collapsedLevelsAreSubtotals="1" fieldPosition="0">
        <references count="1">
          <reference field="0" count="1">
            <x v="8"/>
          </reference>
        </references>
      </pivotArea>
    </format>
    <format dxfId="92">
      <pivotArea collapsedLevelsAreSubtotals="1" fieldPosition="0">
        <references count="2">
          <reference field="0" count="1" selected="0">
            <x v="8"/>
          </reference>
          <reference field="6" count="3">
            <x v="3"/>
            <x v="4"/>
            <x v="18"/>
          </reference>
        </references>
      </pivotArea>
    </format>
    <format dxfId="91">
      <pivotArea collapsedLevelsAreSubtotals="1" fieldPosition="0">
        <references count="1">
          <reference field="0" count="1">
            <x v="9"/>
          </reference>
        </references>
      </pivotArea>
    </format>
    <format dxfId="90">
      <pivotArea collapsedLevelsAreSubtotals="1" fieldPosition="0">
        <references count="2">
          <reference field="0" count="1" selected="0">
            <x v="9"/>
          </reference>
          <reference field="6" count="5">
            <x v="3"/>
            <x v="4"/>
            <x v="9"/>
            <x v="17"/>
            <x v="18"/>
          </reference>
        </references>
      </pivotArea>
    </format>
    <format dxfId="89">
      <pivotArea collapsedLevelsAreSubtotals="1" fieldPosition="0">
        <references count="1">
          <reference field="0" count="1">
            <x v="10"/>
          </reference>
        </references>
      </pivotArea>
    </format>
    <format dxfId="88">
      <pivotArea collapsedLevelsAreSubtotals="1" fieldPosition="0">
        <references count="2">
          <reference field="0" count="1" selected="0">
            <x v="10"/>
          </reference>
          <reference field="6" count="6">
            <x v="3"/>
            <x v="4"/>
            <x v="6"/>
            <x v="9"/>
            <x v="17"/>
            <x v="18"/>
          </reference>
        </references>
      </pivotArea>
    </format>
    <format dxfId="87">
      <pivotArea collapsedLevelsAreSubtotals="1" fieldPosition="0">
        <references count="1">
          <reference field="0" count="1">
            <x v="11"/>
          </reference>
        </references>
      </pivotArea>
    </format>
    <format dxfId="86">
      <pivotArea collapsedLevelsAreSubtotals="1" fieldPosition="0">
        <references count="2">
          <reference field="0" count="1" selected="0">
            <x v="11"/>
          </reference>
          <reference field="6" count="4">
            <x v="3"/>
            <x v="4"/>
            <x v="9"/>
            <x v="17"/>
          </reference>
        </references>
      </pivotArea>
    </format>
    <format dxfId="85">
      <pivotArea dataOnly="0" labelOnly="1" fieldPosition="0">
        <references count="1">
          <reference field="0" count="0"/>
        </references>
      </pivotArea>
    </format>
    <format dxfId="84">
      <pivotArea dataOnly="0" labelOnly="1" fieldPosition="0">
        <references count="2">
          <reference field="0" count="1" selected="0">
            <x v="0"/>
          </reference>
          <reference field="6" count="4">
            <x v="3"/>
            <x v="4"/>
            <x v="17"/>
            <x v="18"/>
          </reference>
        </references>
      </pivotArea>
    </format>
    <format dxfId="83">
      <pivotArea dataOnly="0" labelOnly="1" fieldPosition="0">
        <references count="2">
          <reference field="0" count="1" selected="0">
            <x v="1"/>
          </reference>
          <reference field="6" count="3">
            <x v="3"/>
            <x v="9"/>
            <x v="17"/>
          </reference>
        </references>
      </pivotArea>
    </format>
    <format dxfId="82">
      <pivotArea dataOnly="0" labelOnly="1" fieldPosition="0">
        <references count="2">
          <reference field="0" count="1" selected="0">
            <x v="2"/>
          </reference>
          <reference field="6" count="2">
            <x v="3"/>
            <x v="17"/>
          </reference>
        </references>
      </pivotArea>
    </format>
    <format dxfId="81">
      <pivotArea dataOnly="0" labelOnly="1" fieldPosition="0">
        <references count="2">
          <reference field="0" count="1" selected="0">
            <x v="3"/>
          </reference>
          <reference field="6" count="7">
            <x v="3"/>
            <x v="4"/>
            <x v="7"/>
            <x v="9"/>
            <x v="17"/>
            <x v="18"/>
            <x v="21"/>
          </reference>
        </references>
      </pivotArea>
    </format>
    <format dxfId="80">
      <pivotArea dataOnly="0" labelOnly="1" fieldPosition="0">
        <references count="2">
          <reference field="0" count="1" selected="0">
            <x v="4"/>
          </reference>
          <reference field="6" count="4">
            <x v="3"/>
            <x v="4"/>
            <x v="17"/>
            <x v="18"/>
          </reference>
        </references>
      </pivotArea>
    </format>
    <format dxfId="79">
      <pivotArea dataOnly="0" labelOnly="1" fieldPosition="0">
        <references count="2">
          <reference field="0" count="1" selected="0">
            <x v="5"/>
          </reference>
          <reference field="6" count="5">
            <x v="3"/>
            <x v="4"/>
            <x v="9"/>
            <x v="17"/>
            <x v="18"/>
          </reference>
        </references>
      </pivotArea>
    </format>
    <format dxfId="78">
      <pivotArea dataOnly="0" labelOnly="1" fieldPosition="0">
        <references count="2">
          <reference field="0" count="1" selected="0">
            <x v="6"/>
          </reference>
          <reference field="6" count="5">
            <x v="3"/>
            <x v="4"/>
            <x v="9"/>
            <x v="17"/>
            <x v="18"/>
          </reference>
        </references>
      </pivotArea>
    </format>
    <format dxfId="77">
      <pivotArea dataOnly="0" labelOnly="1" fieldPosition="0">
        <references count="2">
          <reference field="0" count="1" selected="0">
            <x v="7"/>
          </reference>
          <reference field="6" count="5">
            <x v="3"/>
            <x v="4"/>
            <x v="9"/>
            <x v="17"/>
            <x v="18"/>
          </reference>
        </references>
      </pivotArea>
    </format>
    <format dxfId="76">
      <pivotArea dataOnly="0" labelOnly="1" fieldPosition="0">
        <references count="2">
          <reference field="0" count="1" selected="0">
            <x v="8"/>
          </reference>
          <reference field="6" count="3">
            <x v="3"/>
            <x v="4"/>
            <x v="18"/>
          </reference>
        </references>
      </pivotArea>
    </format>
    <format dxfId="75">
      <pivotArea dataOnly="0" labelOnly="1" fieldPosition="0">
        <references count="2">
          <reference field="0" count="1" selected="0">
            <x v="9"/>
          </reference>
          <reference field="6" count="5">
            <x v="3"/>
            <x v="4"/>
            <x v="9"/>
            <x v="17"/>
            <x v="18"/>
          </reference>
        </references>
      </pivotArea>
    </format>
    <format dxfId="74">
      <pivotArea dataOnly="0" labelOnly="1" fieldPosition="0">
        <references count="2">
          <reference field="0" count="1" selected="0">
            <x v="10"/>
          </reference>
          <reference field="6" count="6">
            <x v="3"/>
            <x v="4"/>
            <x v="6"/>
            <x v="9"/>
            <x v="17"/>
            <x v="18"/>
          </reference>
        </references>
      </pivotArea>
    </format>
    <format dxfId="73">
      <pivotArea dataOnly="0" labelOnly="1" fieldPosition="0">
        <references count="2">
          <reference field="0" count="1" selected="0">
            <x v="11"/>
          </reference>
          <reference field="6" count="4">
            <x v="3"/>
            <x v="4"/>
            <x v="9"/>
            <x v="17"/>
          </reference>
        </references>
      </pivotArea>
    </format>
    <format dxfId="72">
      <pivotArea field="0" grandCol="1" collapsedLevelsAreSubtotals="1" axis="axisRow" fieldPosition="0">
        <references count="1">
          <reference field="0" count="1">
            <x v="0"/>
          </reference>
        </references>
      </pivotArea>
    </format>
    <format dxfId="71">
      <pivotArea field="0" grandCol="1" collapsedLevelsAreSubtotals="1" axis="axisRow" fieldPosition="0">
        <references count="1">
          <reference field="0" count="1">
            <x v="1"/>
          </reference>
        </references>
      </pivotArea>
    </format>
    <format dxfId="70">
      <pivotArea collapsedLevelsAreSubtotals="1" fieldPosition="0">
        <references count="1">
          <reference field="0" count="1">
            <x v="0"/>
          </reference>
        </references>
      </pivotArea>
    </format>
    <format dxfId="69">
      <pivotArea dataOnly="0" labelOnly="1" fieldPosition="0">
        <references count="1">
          <reference field="0" count="1">
            <x v="0"/>
          </reference>
        </references>
      </pivotArea>
    </format>
    <format dxfId="68">
      <pivotArea collapsedLevelsAreSubtotals="1" fieldPosition="0">
        <references count="1">
          <reference field="0" count="1">
            <x v="1"/>
          </reference>
        </references>
      </pivotArea>
    </format>
    <format dxfId="67">
      <pivotArea dataOnly="0" labelOnly="1" fieldPosition="0">
        <references count="1">
          <reference field="0" count="1">
            <x v="1"/>
          </reference>
        </references>
      </pivotArea>
    </format>
    <format dxfId="66">
      <pivotArea collapsedLevelsAreSubtotals="1" fieldPosition="0">
        <references count="1">
          <reference field="0" count="1">
            <x v="2"/>
          </reference>
        </references>
      </pivotArea>
    </format>
    <format dxfId="65">
      <pivotArea dataOnly="0" labelOnly="1" fieldPosition="0">
        <references count="1">
          <reference field="0" count="1">
            <x v="2"/>
          </reference>
        </references>
      </pivotArea>
    </format>
    <format dxfId="64">
      <pivotArea collapsedLevelsAreSubtotals="1" fieldPosition="0">
        <references count="1">
          <reference field="0" count="1">
            <x v="3"/>
          </reference>
        </references>
      </pivotArea>
    </format>
    <format dxfId="63">
      <pivotArea dataOnly="0" labelOnly="1" fieldPosition="0">
        <references count="1">
          <reference field="0" count="1">
            <x v="3"/>
          </reference>
        </references>
      </pivotArea>
    </format>
    <format dxfId="62">
      <pivotArea collapsedLevelsAreSubtotals="1" fieldPosition="0">
        <references count="1">
          <reference field="0" count="1">
            <x v="4"/>
          </reference>
        </references>
      </pivotArea>
    </format>
    <format dxfId="61">
      <pivotArea dataOnly="0" labelOnly="1" fieldPosition="0">
        <references count="1">
          <reference field="0" count="1">
            <x v="4"/>
          </reference>
        </references>
      </pivotArea>
    </format>
    <format dxfId="60">
      <pivotArea collapsedLevelsAreSubtotals="1" fieldPosition="0">
        <references count="1">
          <reference field="0" count="1">
            <x v="5"/>
          </reference>
        </references>
      </pivotArea>
    </format>
    <format dxfId="59">
      <pivotArea dataOnly="0" labelOnly="1" fieldPosition="0">
        <references count="1">
          <reference field="0" count="1">
            <x v="5"/>
          </reference>
        </references>
      </pivotArea>
    </format>
    <format dxfId="58">
      <pivotArea collapsedLevelsAreSubtotals="1" fieldPosition="0">
        <references count="1">
          <reference field="0" count="1">
            <x v="6"/>
          </reference>
        </references>
      </pivotArea>
    </format>
    <format dxfId="57">
      <pivotArea dataOnly="0" labelOnly="1" fieldPosition="0">
        <references count="1">
          <reference field="0" count="1">
            <x v="6"/>
          </reference>
        </references>
      </pivotArea>
    </format>
    <format dxfId="56">
      <pivotArea collapsedLevelsAreSubtotals="1" fieldPosition="0">
        <references count="1">
          <reference field="0" count="1">
            <x v="7"/>
          </reference>
        </references>
      </pivotArea>
    </format>
    <format dxfId="55">
      <pivotArea dataOnly="0" labelOnly="1" fieldPosition="0">
        <references count="1">
          <reference field="0" count="1">
            <x v="7"/>
          </reference>
        </references>
      </pivotArea>
    </format>
    <format dxfId="54">
      <pivotArea collapsedLevelsAreSubtotals="1" fieldPosition="0">
        <references count="1">
          <reference field="0" count="1">
            <x v="8"/>
          </reference>
        </references>
      </pivotArea>
    </format>
    <format dxfId="53">
      <pivotArea dataOnly="0" labelOnly="1" fieldPosition="0">
        <references count="1">
          <reference field="0" count="1">
            <x v="8"/>
          </reference>
        </references>
      </pivotArea>
    </format>
    <format dxfId="52">
      <pivotArea collapsedLevelsAreSubtotals="1" fieldPosition="0">
        <references count="1">
          <reference field="0" count="1">
            <x v="9"/>
          </reference>
        </references>
      </pivotArea>
    </format>
    <format dxfId="51">
      <pivotArea dataOnly="0" labelOnly="1" fieldPosition="0">
        <references count="1">
          <reference field="0" count="1">
            <x v="9"/>
          </reference>
        </references>
      </pivotArea>
    </format>
    <format dxfId="50">
      <pivotArea collapsedLevelsAreSubtotals="1" fieldPosition="0">
        <references count="1">
          <reference field="0" count="1">
            <x v="10"/>
          </reference>
        </references>
      </pivotArea>
    </format>
    <format dxfId="49">
      <pivotArea dataOnly="0" labelOnly="1" fieldPosition="0">
        <references count="1">
          <reference field="0" count="1">
            <x v="10"/>
          </reference>
        </references>
      </pivotArea>
    </format>
    <format dxfId="48">
      <pivotArea collapsedLevelsAreSubtotals="1" fieldPosition="0">
        <references count="1">
          <reference field="0" count="1">
            <x v="11"/>
          </reference>
        </references>
      </pivotArea>
    </format>
    <format dxfId="47">
      <pivotArea dataOnly="0" labelOnly="1" fieldPosition="0">
        <references count="1">
          <reference field="0" count="1">
            <x v="11"/>
          </reference>
        </references>
      </pivotArea>
    </format>
    <format dxfId="46">
      <pivotArea collapsedLevelsAreSubtotals="1" fieldPosition="0">
        <references count="2">
          <reference field="0" count="1" selected="0">
            <x v="4"/>
          </reference>
          <reference field="6" count="1">
            <x v="9"/>
          </reference>
        </references>
      </pivotArea>
    </format>
    <format dxfId="45">
      <pivotArea dataOnly="0" labelOnly="1" fieldPosition="0">
        <references count="2">
          <reference field="0" count="1" selected="0">
            <x v="4"/>
          </reference>
          <reference field="6" count="1">
            <x v="9"/>
          </reference>
        </references>
      </pivotArea>
    </format>
    <format dxfId="44">
      <pivotArea collapsedLevelsAreSubtotals="1" fieldPosition="0">
        <references count="2">
          <reference field="0" count="1" selected="0">
            <x v="4"/>
          </reference>
          <reference field="6" count="1">
            <x v="9"/>
          </reference>
        </references>
      </pivotArea>
    </format>
    <format dxfId="43">
      <pivotArea dataOnly="0" labelOnly="1" fieldPosition="0">
        <references count="2">
          <reference field="0" count="1" selected="0">
            <x v="4"/>
          </reference>
          <reference field="6" count="1">
            <x v="9"/>
          </reference>
        </references>
      </pivotArea>
    </format>
    <format dxfId="42">
      <pivotArea collapsedLevelsAreSubtotals="1" fieldPosition="0">
        <references count="2">
          <reference field="0" count="1" selected="0">
            <x v="4"/>
          </reference>
          <reference field="6" count="1">
            <x v="9"/>
          </reference>
        </references>
      </pivotArea>
    </format>
    <format dxfId="41">
      <pivotArea dataOnly="0" labelOnly="1" fieldPosition="0">
        <references count="2">
          <reference field="0" count="1" selected="0">
            <x v="4"/>
          </reference>
          <reference field="6" count="1">
            <x v="9"/>
          </reference>
        </references>
      </pivotArea>
    </format>
    <format dxfId="40">
      <pivotArea collapsedLevelsAreSubtotals="1" fieldPosition="0">
        <references count="2">
          <reference field="0" count="1" selected="0">
            <x v="4"/>
          </reference>
          <reference field="6" count="1">
            <x v="9"/>
          </reference>
        </references>
      </pivotArea>
    </format>
    <format dxfId="39">
      <pivotArea dataOnly="0" labelOnly="1" fieldPosition="0">
        <references count="2">
          <reference field="0" count="1" selected="0">
            <x v="4"/>
          </reference>
          <reference field="6" count="1">
            <x v="9"/>
          </reference>
        </references>
      </pivotArea>
    </format>
    <format dxfId="38">
      <pivotArea field="6" grandCol="1" collapsedLevelsAreSubtotals="1" axis="axisRow" fieldPosition="1">
        <references count="2">
          <reference field="0" count="1" selected="0">
            <x v="4"/>
          </reference>
          <reference field="6" count="1">
            <x v="9"/>
          </reference>
        </references>
      </pivotArea>
    </format>
    <format dxfId="37">
      <pivotArea collapsedLevelsAreSubtotals="1" fieldPosition="0">
        <references count="1">
          <reference field="0" count="1">
            <x v="0"/>
          </reference>
        </references>
      </pivotArea>
    </format>
    <format dxfId="36">
      <pivotArea collapsedLevelsAreSubtotals="1" fieldPosition="0">
        <references count="1">
          <reference field="0" count="1">
            <x v="0"/>
          </reference>
        </references>
      </pivotArea>
    </format>
    <format dxfId="35">
      <pivotArea collapsedLevelsAreSubtotals="1" fieldPosition="0">
        <references count="1">
          <reference field="0" count="1">
            <x v="1"/>
          </reference>
        </references>
      </pivotArea>
    </format>
    <format dxfId="34">
      <pivotArea collapsedLevelsAreSubtotals="1" fieldPosition="0">
        <references count="1">
          <reference field="0" count="1">
            <x v="2"/>
          </reference>
        </references>
      </pivotArea>
    </format>
    <format dxfId="33">
      <pivotArea collapsedLevelsAreSubtotals="1" fieldPosition="0">
        <references count="1">
          <reference field="0" count="1">
            <x v="3"/>
          </reference>
        </references>
      </pivotArea>
    </format>
    <format dxfId="32">
      <pivotArea collapsedLevelsAreSubtotals="1" fieldPosition="0">
        <references count="1">
          <reference field="0" count="1">
            <x v="4"/>
          </reference>
        </references>
      </pivotArea>
    </format>
    <format dxfId="31">
      <pivotArea collapsedLevelsAreSubtotals="1" fieldPosition="0">
        <references count="1">
          <reference field="0" count="1">
            <x v="5"/>
          </reference>
        </references>
      </pivotArea>
    </format>
    <format dxfId="30">
      <pivotArea collapsedLevelsAreSubtotals="1" fieldPosition="0">
        <references count="1">
          <reference field="0" count="1">
            <x v="6"/>
          </reference>
        </references>
      </pivotArea>
    </format>
    <format dxfId="29">
      <pivotArea collapsedLevelsAreSubtotals="1" fieldPosition="0">
        <references count="1">
          <reference field="0" count="1">
            <x v="7"/>
          </reference>
        </references>
      </pivotArea>
    </format>
    <format dxfId="28">
      <pivotArea collapsedLevelsAreSubtotals="1" fieldPosition="0">
        <references count="1">
          <reference field="0" count="1">
            <x v="8"/>
          </reference>
        </references>
      </pivotArea>
    </format>
    <format dxfId="27">
      <pivotArea collapsedLevelsAreSubtotals="1" fieldPosition="0">
        <references count="1">
          <reference field="0" count="1">
            <x v="9"/>
          </reference>
        </references>
      </pivotArea>
    </format>
    <format dxfId="26">
      <pivotArea collapsedLevelsAreSubtotals="1" fieldPosition="0">
        <references count="1">
          <reference field="0" count="1">
            <x v="10"/>
          </reference>
        </references>
      </pivotArea>
    </format>
    <format dxfId="25">
      <pivotArea collapsedLevelsAreSubtotals="1" fieldPosition="0">
        <references count="1">
          <reference field="0" count="1">
            <x v="11"/>
          </reference>
        </references>
      </pivotArea>
    </format>
    <format dxfId="24">
      <pivotArea collapsedLevelsAreSubtotals="1" fieldPosition="0">
        <references count="2">
          <reference field="0" count="1" selected="0">
            <x v="11"/>
          </reference>
          <reference field="6" count="1">
            <x v="18"/>
          </reference>
        </references>
      </pivotArea>
    </format>
    <format dxfId="23">
      <pivotArea collapsedLevelsAreSubtotals="1" fieldPosition="0">
        <references count="1">
          <reference field="0" count="1">
            <x v="12"/>
          </reference>
        </references>
      </pivotArea>
    </format>
    <format dxfId="22">
      <pivotArea collapsedLevelsAreSubtotals="1" fieldPosition="0">
        <references count="2">
          <reference field="0" count="1" selected="0">
            <x v="12"/>
          </reference>
          <reference field="6" count="2">
            <x v="3"/>
            <x v="17"/>
          </reference>
        </references>
      </pivotArea>
    </format>
    <format dxfId="21">
      <pivotArea collapsedLevelsAreSubtotals="1" fieldPosition="0">
        <references count="1">
          <reference field="0" count="1">
            <x v="13"/>
          </reference>
        </references>
      </pivotArea>
    </format>
    <format dxfId="20">
      <pivotArea collapsedLevelsAreSubtotals="1" fieldPosition="0">
        <references count="2">
          <reference field="0" count="1" selected="0">
            <x v="13"/>
          </reference>
          <reference field="6" count="3">
            <x v="3"/>
            <x v="9"/>
            <x v="17"/>
          </reference>
        </references>
      </pivotArea>
    </format>
    <format dxfId="19">
      <pivotArea dataOnly="0" labelOnly="1" fieldPosition="0">
        <references count="1">
          <reference field="0" count="2">
            <x v="12"/>
            <x v="13"/>
          </reference>
        </references>
      </pivotArea>
    </format>
    <format dxfId="18">
      <pivotArea dataOnly="0" labelOnly="1" fieldPosition="0">
        <references count="2">
          <reference field="0" count="1" selected="0">
            <x v="11"/>
          </reference>
          <reference field="6" count="1">
            <x v="18"/>
          </reference>
        </references>
      </pivotArea>
    </format>
    <format dxfId="17">
      <pivotArea dataOnly="0" labelOnly="1" fieldPosition="0">
        <references count="2">
          <reference field="0" count="1" selected="0">
            <x v="12"/>
          </reference>
          <reference field="6" count="2">
            <x v="3"/>
            <x v="17"/>
          </reference>
        </references>
      </pivotArea>
    </format>
    <format dxfId="16">
      <pivotArea dataOnly="0" labelOnly="1" fieldPosition="0">
        <references count="2">
          <reference field="0" count="1" selected="0">
            <x v="13"/>
          </reference>
          <reference field="6" count="3">
            <x v="3"/>
            <x v="9"/>
            <x v="17"/>
          </reference>
        </references>
      </pivotArea>
    </format>
    <format dxfId="15">
      <pivotArea dataOnly="0" fieldPosition="0">
        <references count="1">
          <reference field="0" count="1">
            <x v="12"/>
          </reference>
        </references>
      </pivotArea>
    </format>
    <format dxfId="14">
      <pivotArea dataOnly="0" fieldPosition="0">
        <references count="1">
          <reference field="0" count="1">
            <x v="12"/>
          </reference>
        </references>
      </pivotArea>
    </format>
    <format dxfId="13">
      <pivotArea collapsedLevelsAreSubtotals="1" fieldPosition="0">
        <references count="1">
          <reference field="0" count="1">
            <x v="13"/>
          </reference>
        </references>
      </pivotArea>
    </format>
    <format dxfId="12">
      <pivotArea dataOnly="0" labelOnly="1" fieldPosition="0">
        <references count="1">
          <reference field="0" count="1">
            <x v="13"/>
          </reference>
        </references>
      </pivotArea>
    </format>
    <format dxfId="11">
      <pivotArea collapsedLevelsAreSubtotals="1" fieldPosition="0">
        <references count="1">
          <reference field="0" count="1">
            <x v="13"/>
          </reference>
        </references>
      </pivotArea>
    </format>
    <format dxfId="10">
      <pivotArea dataOnly="0" labelOnly="1" fieldPosition="0">
        <references count="1">
          <reference field="0" count="1">
            <x v="13"/>
          </reference>
        </references>
      </pivotArea>
    </format>
    <format dxfId="9">
      <pivotArea field="6" grandCol="1" collapsedLevelsAreSubtotals="1" axis="axisRow" fieldPosition="1">
        <references count="2">
          <reference field="0" count="1" selected="0">
            <x v="11"/>
          </reference>
          <reference field="6" count="1">
            <x v="18"/>
          </reference>
        </references>
      </pivotArea>
    </format>
    <format dxfId="8">
      <pivotArea field="0" grandCol="1" collapsedLevelsAreSubtotals="1" axis="axisRow" fieldPosition="0">
        <references count="1">
          <reference field="0" count="1">
            <x v="12"/>
          </reference>
        </references>
      </pivotArea>
    </format>
    <format dxfId="7">
      <pivotArea field="6" grandCol="1" collapsedLevelsAreSubtotals="1" axis="axisRow" fieldPosition="1">
        <references count="2">
          <reference field="0" count="1" selected="0">
            <x v="12"/>
          </reference>
          <reference field="6" count="2">
            <x v="3"/>
            <x v="17"/>
          </reference>
        </references>
      </pivotArea>
    </format>
    <format dxfId="6">
      <pivotArea field="0" grandCol="1" collapsedLevelsAreSubtotals="1" axis="axisRow" fieldPosition="0">
        <references count="1">
          <reference field="0" count="1">
            <x v="13"/>
          </reference>
        </references>
      </pivotArea>
    </format>
    <format dxfId="5">
      <pivotArea field="6" grandCol="1" collapsedLevelsAreSubtotals="1" axis="axisRow" fieldPosition="1">
        <references count="2">
          <reference field="0" count="1" selected="0">
            <x v="13"/>
          </reference>
          <reference field="6" count="3">
            <x v="3"/>
            <x v="9"/>
            <x v="17"/>
          </reference>
        </references>
      </pivotArea>
    </format>
    <format dxfId="4">
      <pivotArea collapsedLevelsAreSubtotals="1" fieldPosition="0">
        <references count="2">
          <reference field="0" count="1" selected="0">
            <x v="4"/>
          </reference>
          <reference field="6" count="1">
            <x v="21"/>
          </reference>
        </references>
      </pivotArea>
    </format>
    <format dxfId="3">
      <pivotArea dataOnly="0" labelOnly="1" fieldPosition="0">
        <references count="2">
          <reference field="0" count="1" selected="0">
            <x v="4"/>
          </reference>
          <reference field="6" count="1">
            <x v="21"/>
          </reference>
        </references>
      </pivotArea>
    </format>
    <format dxfId="2">
      <pivotArea collapsedLevelsAreSubtotals="1" fieldPosition="0">
        <references count="2">
          <reference field="0" count="1" selected="0">
            <x v="4"/>
          </reference>
          <reference field="6" count="1">
            <x v="21"/>
          </reference>
        </references>
      </pivotArea>
    </format>
    <format dxfId="1">
      <pivotArea dataOnly="0" labelOnly="1" fieldPosition="0">
        <references count="2">
          <reference field="0" count="1" selected="0">
            <x v="4"/>
          </reference>
          <reference field="6" count="1">
            <x v="21"/>
          </reference>
        </references>
      </pivotArea>
    </format>
    <format dxfId="0">
      <pivotArea dataOnly="0" labelOnly="1" fieldPosition="0">
        <references count="2">
          <reference field="0" count="1" selected="0">
            <x v="4"/>
          </reference>
          <reference field="6" count="1">
            <x v="2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6" name="Tabla257" displayName="Tabla257" ref="C4:X464" totalsRowCount="1" headerRowDxfId="1334" dataDxfId="1333">
  <sortState ref="C73:V235">
    <sortCondition ref="G4:G460"/>
  </sortState>
  <tableColumns count="22">
    <tableColumn id="1" name="ZONA" totalsRowLabel="Total" dataDxfId="1332"/>
    <tableColumn id="12" name="CIUDAD" dataDxfId="1331"/>
    <tableColumn id="5" name="EMPRESA" dataDxfId="1330"/>
    <tableColumn id="8" name="NRO. REGISTRO NIL" dataDxfId="1329"/>
    <tableColumn id="10" name="NOMBRE Y APELLIDO" dataDxfId="1328"/>
    <tableColumn id="2" name="C.I." totalsRowFunction="count" dataDxfId="1327" totalsRowDxfId="1326"/>
    <tableColumn id="3" name="CARGO" dataDxfId="1325" totalsRowDxfId="1324"/>
    <tableColumn id="4" name="DEPARTAMENTO" dataDxfId="1323"/>
    <tableColumn id="11" name="SUPERVISOR INMEDIATO" dataDxfId="1322" totalsRowDxfId="1321"/>
    <tableColumn id="22" name="TELEFONO" dataDxfId="1320" totalsRowDxfId="1319"/>
    <tableColumn id="15" name="TECNICO INICIAL" totalsRowFunction="count" dataDxfId="1318" totalsRowDxfId="1317"/>
    <tableColumn id="20" name="FECHA TECNICO 1" dataDxfId="1316" totalsRowDxfId="1315"/>
    <tableColumn id="13" name="TECNICO BASICO" totalsRowFunction="count" dataDxfId="1314" totalsRowDxfId="1313"/>
    <tableColumn id="19" name="FECHA TECNICO BASICO" dataDxfId="1312" totalsRowDxfId="1311"/>
    <tableColumn id="14" name="TECNICO INTEGRAL" totalsRowFunction="count" dataDxfId="1310" totalsRowDxfId="1309"/>
    <tableColumn id="26" name="FECHA TECNICO INTEGRAL" dataDxfId="1308" totalsRowDxfId="1307"/>
    <tableColumn id="27" name="TECNICO PREMIUM" dataDxfId="1306" totalsRowDxfId="1305"/>
    <tableColumn id="9" name="FECHA TECNICO PREMIUM" dataDxfId="1304" totalsRowDxfId="1303"/>
    <tableColumn id="6" name="FOTO" dataDxfId="1302" totalsRowDxfId="1301"/>
    <tableColumn id="7" name="INSCRIPCION SSO" dataDxfId="1300" totalsRowDxfId="1299"/>
    <tableColumn id="18" name="OBSERVACIÓN" dataDxfId="1298" totalsRowDxfId="1297"/>
    <tableColumn id="16" name="contador" dataDxfId="1296" totalsRowDxfId="129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9" name="Tabla3610" displayName="Tabla3610" ref="Z4:Z13" totalsRowShown="0">
  <autoFilter ref="Z4:Z13"/>
  <tableColumns count="1">
    <tableColumn id="1" name="Departamentos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id="10" name="Tabla25711" displayName="Tabla25711" ref="C4:Y438" totalsRowCount="1" headerRowDxfId="1278">
  <sortState ref="C228:X228">
    <sortCondition descending="1" ref="G4:G438"/>
  </sortState>
  <tableColumns count="23">
    <tableColumn id="1" name="ZONA" totalsRowLabel="Total" dataDxfId="1277"/>
    <tableColumn id="12" name="CIUDAD" dataDxfId="1276"/>
    <tableColumn id="5" name="EMPRESA" dataDxfId="1275"/>
    <tableColumn id="8" name="NRO. REGISTRO NIL" dataDxfId="1274"/>
    <tableColumn id="10" name="NOMBRE Y APELLIDO" dataDxfId="1273"/>
    <tableColumn id="2" name="C.I." totalsRowFunction="count"/>
    <tableColumn id="3" name="CARGO" dataDxfId="1272" totalsRowDxfId="1271"/>
    <tableColumn id="4" name="DEPARTAMENTO" dataDxfId="1270"/>
    <tableColumn id="11" name="SUPERVISOR INMEDIATO" dataDxfId="1269" totalsRowDxfId="1268"/>
    <tableColumn id="17" name="TELEFONO SUPERVISOR INMEDIATO" dataDxfId="1267" totalsRowDxfId="1266"/>
    <tableColumn id="15" name="TECNICO INICIAL" totalsRowFunction="count" dataDxfId="1265" totalsRowDxfId="1264"/>
    <tableColumn id="20" name="FECHA TECNICO INICIAL" dataDxfId="1263"/>
    <tableColumn id="13" name=" TECNICO BASICO" totalsRowFunction="count" dataDxfId="1262" totalsRowDxfId="1261"/>
    <tableColumn id="19" name="FECHA TECNICO BASICO" dataDxfId="1260" totalsRowDxfId="1259"/>
    <tableColumn id="14" name="TECNICO INTEGRAL" totalsRowFunction="count" dataDxfId="1258" totalsRowDxfId="1257"/>
    <tableColumn id="26" name="FECHA TECNICO INTEGRAL" dataDxfId="1256" totalsRowDxfId="1255"/>
    <tableColumn id="27" name=" TECNICO PREMIUM" totalsRowFunction="count" dataDxfId="1254" totalsRowDxfId="1253"/>
    <tableColumn id="9" name="FECHA TECNICO PREMIUM" dataDxfId="1252" totalsRowDxfId="1251"/>
    <tableColumn id="6" name="FOTO" dataDxfId="1250" totalsRowDxfId="1249"/>
    <tableColumn id="7" name="INSCRIPCION SSO" dataDxfId="1248" totalsRowDxfId="1247"/>
    <tableColumn id="21" name="PERSONAL" dataDxfId="1246" totalsRowDxfId="1245"/>
    <tableColumn id="18" name="OBSERVACIÓN" totalsRowDxfId="1244"/>
    <tableColumn id="16" name="CONTADOR" dataDxfId="1243" totalsRowDxfId="124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11" name="Tabla361012" displayName="Tabla361012" ref="AA4:AA22" totalsRowShown="0">
  <autoFilter ref="AA4:AA22"/>
  <tableColumns count="1">
    <tableColumn id="1" name="Departamentos"/>
  </tableColumns>
  <tableStyleInfo name="TableStyleLight10" showFirstColumn="0" showLastColumn="0" showRowStripes="1" showColumnStripes="0"/>
</table>
</file>

<file path=xl/tables/table5.xml><?xml version="1.0" encoding="utf-8"?>
<table xmlns="http://schemas.openxmlformats.org/spreadsheetml/2006/main" id="4" name="Tabla25" displayName="Tabla25" ref="C4:P326" headerRowDxfId="1228">
  <tableColumns count="14">
    <tableColumn id="1" name="Zona" totalsRowLabel="Total"/>
    <tableColumn id="10" name="Nombre y Apellido"/>
    <tableColumn id="2" name="C.I." dataDxfId="1227"/>
    <tableColumn id="3" name="Cargo" dataDxfId="1226" totalsRowDxfId="1225"/>
    <tableColumn id="4" name="Departamento"/>
    <tableColumn id="11" name="Seguridad para Instaladores de FTTH"/>
    <tableColumn id="5" name="Conector Mecánico" dataDxfId="1224"/>
    <tableColumn id="6" name="Mangas y Cajas" dataDxfId="1223"/>
    <tableColumn id="7" name="Despliegue y Tendido" dataDxfId="1222"/>
    <tableColumn id="8" name="Ozmap, Ozlock, Ozmob" dataDxfId="1221"/>
    <tableColumn id="12" name="Control en Campo" dataDxfId="1220"/>
    <tableColumn id="13" name="Certificación Técnico Medio" dataDxfId="1219"/>
    <tableColumn id="14" name="Certificación Técnico Premiun" dataDxfId="1218"/>
    <tableColumn id="9" name="contador" totalsRowFunction="cou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5" name="Tabla36" displayName="Tabla36" ref="S4:S8" totalsRowShown="0">
  <autoFilter ref="S4:S8"/>
  <tableColumns count="1">
    <tableColumn id="1" name="Departamentos"/>
  </tableColumns>
  <tableStyleInfo name="TableStyleLight10" showFirstColumn="0" showLastColumn="0" showRowStripes="1" showColumnStripes="0"/>
</table>
</file>

<file path=xl/tables/table7.xml><?xml version="1.0" encoding="utf-8"?>
<table xmlns="http://schemas.openxmlformats.org/spreadsheetml/2006/main" id="2" name="Tabla2" displayName="Tabla2" ref="C4:L132">
  <tableColumns count="10">
    <tableColumn id="1" name="Zona" totalsRowLabel="Total"/>
    <tableColumn id="10" name="Nombre y Apellido"/>
    <tableColumn id="2" name="C.I." dataDxfId="1217"/>
    <tableColumn id="3" name="Cargo" dataDxfId="1216" totalsRowDxfId="1215"/>
    <tableColumn id="4" name="Departamento"/>
    <tableColumn id="5" name="Conector Mecánico" dataDxfId="1214"/>
    <tableColumn id="6" name="Mangas y Cajas" dataDxfId="1213"/>
    <tableColumn id="7" name="Despliegue y Tendido" dataDxfId="1212"/>
    <tableColumn id="8" name="Ozmap, Ozlock, Ozmob" dataDxfId="1211"/>
    <tableColumn id="9" name="contador" totalsRowFunction="coun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3" name="Tabla3" displayName="Tabla3" ref="O4:O8" totalsRowShown="0">
  <autoFilter ref="O4:O8"/>
  <tableColumns count="1">
    <tableColumn id="1" name="Departamentos"/>
  </tableColumns>
  <tableStyleInfo name="TableStyleLight10" showFirstColumn="0" showLastColumn="0" showRowStripes="1" showColumnStripes="0"/>
</table>
</file>

<file path=xl/tables/table9.xml><?xml version="1.0" encoding="utf-8"?>
<table xmlns="http://schemas.openxmlformats.org/spreadsheetml/2006/main" id="7" name="Tabla7" displayName="Tabla7" ref="J6:J11" totalsRowShown="0">
  <autoFilter ref="J6:J11"/>
  <tableColumns count="1">
    <tableColumn id="1" name="Departamentos"/>
  </tableColumns>
  <tableStyleInfo name="TableStyleLight11" showFirstColumn="0" showLastColumn="0" showRowStripes="1" showColumnStripes="0"/>
</table>
</file>

<file path=xl/tables/table10.xml><?xml version="1.0" encoding="utf-8"?>
<table xmlns="http://schemas.openxmlformats.org/spreadsheetml/2006/main" id="8" name="Tabla8" displayName="Tabla8" ref="B7:G201" totalsRowCount="1">
  <autoFilter ref="B7:G200">
    <filterColumn colId="0">
      <filters>
        <filter val="NUEVA ESPARTA"/>
      </filters>
    </filterColumn>
  </autoFilter>
  <tableColumns count="6">
    <tableColumn id="1" name="Zona" totalsRowLabel="Total"/>
    <tableColumn id="2" name="Nombre y Apellido"/>
    <tableColumn id="3" name="C.I." dataDxfId="1209" totalsRowDxfId="1208"/>
    <tableColumn id="4" name="Cargo"/>
    <tableColumn id="5" name="Dpto."/>
    <tableColumn id="6" name="Contador" totalsRowFunction="sum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" name="Tabla1" displayName="Tabla1" ref="D6:J8" totalsRowShown="0" headerRowDxfId="1201" dataDxfId="1200">
  <tableColumns count="7">
    <tableColumn id="1" name="Proceso" dataDxfId="1199"/>
    <tableColumn id="2" name="Auxiliar I" dataDxfId="1198"/>
    <tableColumn id="3" name="Auxiliar II" dataDxfId="1197"/>
    <tableColumn id="6" name="Coordinador" dataDxfId="1196"/>
    <tableColumn id="8" name="Supervisor" dataDxfId="1195"/>
    <tableColumn id="7" name="Técnico" dataDxfId="1194"/>
    <tableColumn id="5" name="Total Personal" dataDxfId="1193">
      <calculatedColumnFormula>SUM(Tabla1[[#This Row],[Auxiliar I]:[Técnico]])</calculatedColumnFormula>
    </tableColumn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5" Type="http://schemas.openxmlformats.org/officeDocument/2006/relationships/printerSettings" Target="../printerSettings/printerSettings5.bin"/><Relationship Id="rId4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6" Type="http://schemas.openxmlformats.org/officeDocument/2006/relationships/table" Target="../tables/table11.x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10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pivotTable" Target="../pivotTables/pivotTable11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pivotTable" Target="../pivotTables/pivotTable12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pivotTable" Target="../pivotTables/pivotTable13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pivotTable" Target="../pivotTables/pivotTable14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pivotTable" Target="../pivotTables/pivotTable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J121"/>
  <sheetViews>
    <sheetView showGridLines="0" topLeftCell="A29" workbookViewId="0">
      <selection activeCell="M30" sqref="M30"/>
    </sheetView>
  </sheetViews>
  <sheetFormatPr baseColWidth="10" defaultRowHeight="15"/>
  <cols>
    <col min="1" max="1" width="11.42578125" style="1"/>
    <col min="2" max="2" width="27.7109375" style="1" customWidth="1"/>
    <col min="3" max="3" width="13.7109375" style="1" customWidth="1"/>
    <col min="4" max="4" width="10.7109375" style="1" customWidth="1"/>
    <col min="5" max="5" width="12.5703125" style="1" customWidth="1"/>
    <col min="6" max="6" width="13.85546875" style="1" customWidth="1"/>
    <col min="7" max="7" width="18.5703125" style="1" customWidth="1"/>
    <col min="8" max="8" width="8.5703125" style="1" customWidth="1"/>
    <col min="9" max="9" width="9.28515625" style="1" bestFit="1" customWidth="1"/>
    <col min="10" max="16384" width="11.42578125" style="1"/>
  </cols>
  <sheetData>
    <row r="3" spans="2:4">
      <c r="B3" s="1" t="s">
        <v>44</v>
      </c>
      <c r="C3" s="30" t="s">
        <v>15</v>
      </c>
    </row>
    <row r="4" spans="2:4">
      <c r="B4" s="1" t="s">
        <v>380</v>
      </c>
      <c r="C4" s="1" t="s">
        <v>382</v>
      </c>
    </row>
    <row r="5" spans="2:4">
      <c r="B5" s="1" t="s">
        <v>379</v>
      </c>
      <c r="C5" s="1" t="s">
        <v>382</v>
      </c>
    </row>
    <row r="7" spans="2:4">
      <c r="B7" s="159" t="s">
        <v>48</v>
      </c>
      <c r="C7" s="160" t="s">
        <v>47</v>
      </c>
      <c r="D7" s="160"/>
    </row>
    <row r="8" spans="2:4">
      <c r="B8" s="159"/>
      <c r="C8" s="31" t="s">
        <v>51</v>
      </c>
      <c r="D8" s="31" t="s">
        <v>50</v>
      </c>
    </row>
    <row r="9" spans="2:4">
      <c r="B9" s="32" t="s">
        <v>53</v>
      </c>
      <c r="C9" s="33">
        <v>1</v>
      </c>
      <c r="D9" s="33">
        <v>0</v>
      </c>
    </row>
    <row r="10" spans="2:4">
      <c r="B10" s="32" t="s">
        <v>54</v>
      </c>
      <c r="C10" s="33">
        <v>1</v>
      </c>
      <c r="D10" s="33">
        <v>0</v>
      </c>
    </row>
    <row r="11" spans="2:4">
      <c r="B11" s="32" t="s">
        <v>56</v>
      </c>
      <c r="C11" s="33">
        <v>6</v>
      </c>
      <c r="D11" s="33">
        <v>2</v>
      </c>
    </row>
    <row r="12" spans="2:4">
      <c r="B12" s="32" t="s">
        <v>384</v>
      </c>
      <c r="C12" s="33">
        <v>8</v>
      </c>
      <c r="D12" s="33">
        <v>2</v>
      </c>
    </row>
    <row r="15" spans="2:4">
      <c r="B15" s="1" t="s">
        <v>44</v>
      </c>
      <c r="C15" s="30" t="s">
        <v>257</v>
      </c>
    </row>
    <row r="16" spans="2:4">
      <c r="B16" s="1" t="s">
        <v>380</v>
      </c>
      <c r="C16" s="1" t="s">
        <v>382</v>
      </c>
    </row>
    <row r="17" spans="2:4">
      <c r="B17" s="1" t="s">
        <v>379</v>
      </c>
      <c r="C17" s="1" t="s">
        <v>382</v>
      </c>
    </row>
    <row r="18" spans="2:4">
      <c r="B18" s="159" t="s">
        <v>48</v>
      </c>
      <c r="C18" s="159" t="s">
        <v>47</v>
      </c>
      <c r="D18" s="159"/>
    </row>
    <row r="19" spans="2:4">
      <c r="B19" s="159"/>
      <c r="C19" s="159"/>
      <c r="D19" s="159"/>
    </row>
    <row r="20" spans="2:4">
      <c r="B20" s="21" t="s">
        <v>383</v>
      </c>
      <c r="C20" s="31" t="s">
        <v>51</v>
      </c>
      <c r="D20" s="31" t="s">
        <v>258</v>
      </c>
    </row>
    <row r="21" spans="2:4">
      <c r="B21" s="32" t="s">
        <v>56</v>
      </c>
      <c r="C21" s="35">
        <v>1</v>
      </c>
      <c r="D21" s="35">
        <v>1</v>
      </c>
    </row>
    <row r="22" spans="2:4">
      <c r="B22" s="32" t="s">
        <v>384</v>
      </c>
      <c r="C22" s="35">
        <v>1</v>
      </c>
      <c r="D22" s="35">
        <v>1</v>
      </c>
    </row>
    <row r="25" spans="2:4">
      <c r="B25" s="1" t="s">
        <v>44</v>
      </c>
      <c r="C25" s="30" t="s">
        <v>69</v>
      </c>
    </row>
    <row r="26" spans="2:4">
      <c r="B26" s="1" t="s">
        <v>380</v>
      </c>
      <c r="C26" s="1" t="s">
        <v>382</v>
      </c>
    </row>
    <row r="27" spans="2:4">
      <c r="B27" s="1" t="s">
        <v>379</v>
      </c>
      <c r="C27" s="1" t="s">
        <v>382</v>
      </c>
    </row>
    <row r="29" spans="2:4">
      <c r="B29" s="159" t="s">
        <v>48</v>
      </c>
      <c r="C29" s="160" t="s">
        <v>47</v>
      </c>
      <c r="D29" s="160"/>
    </row>
    <row r="30" spans="2:4">
      <c r="B30" s="159"/>
      <c r="C30" s="31" t="s">
        <v>51</v>
      </c>
      <c r="D30" s="31" t="s">
        <v>50</v>
      </c>
    </row>
    <row r="31" spans="2:4">
      <c r="B31" s="32" t="s">
        <v>54</v>
      </c>
      <c r="C31" s="35">
        <v>2</v>
      </c>
      <c r="D31" s="35"/>
    </row>
    <row r="32" spans="2:4">
      <c r="B32" s="32" t="s">
        <v>56</v>
      </c>
      <c r="C32" s="35">
        <v>4</v>
      </c>
      <c r="D32" s="35">
        <v>2</v>
      </c>
    </row>
    <row r="33" spans="2:10">
      <c r="B33" s="32" t="s">
        <v>384</v>
      </c>
      <c r="C33" s="35">
        <v>6</v>
      </c>
      <c r="D33" s="35">
        <v>2</v>
      </c>
    </row>
    <row r="36" spans="2:10">
      <c r="B36" s="1" t="s">
        <v>44</v>
      </c>
      <c r="C36" s="30" t="s">
        <v>0</v>
      </c>
    </row>
    <row r="37" spans="2:10">
      <c r="B37" s="1" t="s">
        <v>380</v>
      </c>
      <c r="C37" s="1" t="s">
        <v>382</v>
      </c>
    </row>
    <row r="38" spans="2:10">
      <c r="B38" s="1" t="s">
        <v>379</v>
      </c>
      <c r="C38" s="1" t="s">
        <v>382</v>
      </c>
    </row>
    <row r="40" spans="2:10">
      <c r="B40" s="159" t="s">
        <v>48</v>
      </c>
      <c r="C40" s="159" t="s">
        <v>47</v>
      </c>
      <c r="D40" s="159"/>
      <c r="E40" s="159"/>
      <c r="F40" s="159"/>
      <c r="G40" s="159"/>
      <c r="H40" s="159"/>
      <c r="I40" s="159"/>
    </row>
    <row r="41" spans="2:10" ht="33.75" customHeight="1">
      <c r="B41" s="159"/>
      <c r="C41" s="37" t="s">
        <v>344</v>
      </c>
      <c r="D41" s="37" t="s">
        <v>51</v>
      </c>
      <c r="E41" s="37" t="s">
        <v>302</v>
      </c>
      <c r="F41" s="37" t="s">
        <v>350</v>
      </c>
      <c r="G41" s="37" t="s">
        <v>50</v>
      </c>
      <c r="H41" s="37" t="s">
        <v>346</v>
      </c>
      <c r="I41" s="37" t="s">
        <v>300</v>
      </c>
      <c r="J41" s="7"/>
    </row>
    <row r="42" spans="2:10">
      <c r="B42" s="32" t="s">
        <v>53</v>
      </c>
      <c r="C42" s="35"/>
      <c r="D42" s="35">
        <v>5</v>
      </c>
      <c r="E42" s="35"/>
      <c r="F42" s="35"/>
      <c r="G42" s="35">
        <v>4</v>
      </c>
      <c r="H42" s="35"/>
      <c r="I42" s="35"/>
    </row>
    <row r="43" spans="2:10">
      <c r="B43" s="32" t="s">
        <v>55</v>
      </c>
      <c r="C43" s="35"/>
      <c r="D43" s="35">
        <v>10</v>
      </c>
      <c r="E43" s="35"/>
      <c r="F43" s="35"/>
      <c r="G43" s="35">
        <v>9</v>
      </c>
      <c r="H43" s="35"/>
      <c r="I43" s="35"/>
    </row>
    <row r="44" spans="2:10">
      <c r="B44" s="32" t="s">
        <v>56</v>
      </c>
      <c r="C44" s="35">
        <v>1</v>
      </c>
      <c r="D44" s="35"/>
      <c r="E44" s="35">
        <v>3</v>
      </c>
      <c r="F44" s="35">
        <v>1</v>
      </c>
      <c r="G44" s="35">
        <v>10</v>
      </c>
      <c r="H44" s="35">
        <v>4</v>
      </c>
      <c r="I44" s="35">
        <v>2</v>
      </c>
    </row>
    <row r="45" spans="2:10">
      <c r="B45" s="32" t="s">
        <v>384</v>
      </c>
      <c r="C45" s="35">
        <v>1</v>
      </c>
      <c r="D45" s="35">
        <v>15</v>
      </c>
      <c r="E45" s="35">
        <v>3</v>
      </c>
      <c r="F45" s="35">
        <v>1</v>
      </c>
      <c r="G45" s="35">
        <v>23</v>
      </c>
      <c r="H45" s="35">
        <v>4</v>
      </c>
      <c r="I45" s="35">
        <v>2</v>
      </c>
    </row>
    <row r="48" spans="2:10">
      <c r="B48" s="1" t="s">
        <v>44</v>
      </c>
      <c r="C48" s="30" t="s">
        <v>27</v>
      </c>
    </row>
    <row r="49" spans="2:9">
      <c r="B49" s="1" t="s">
        <v>380</v>
      </c>
      <c r="C49" s="1" t="s">
        <v>382</v>
      </c>
    </row>
    <row r="50" spans="2:9">
      <c r="B50" s="1" t="s">
        <v>379</v>
      </c>
      <c r="C50" s="1" t="s">
        <v>382</v>
      </c>
    </row>
    <row r="52" spans="2:9">
      <c r="B52" s="159" t="s">
        <v>48</v>
      </c>
      <c r="C52" s="159" t="s">
        <v>47</v>
      </c>
      <c r="D52" s="159"/>
      <c r="E52"/>
      <c r="F52"/>
      <c r="G52"/>
      <c r="H52"/>
      <c r="I52"/>
    </row>
    <row r="53" spans="2:9">
      <c r="B53" s="159"/>
      <c r="C53" s="21" t="s">
        <v>51</v>
      </c>
      <c r="D53" s="21" t="s">
        <v>50</v>
      </c>
    </row>
    <row r="54" spans="2:9">
      <c r="B54" s="32" t="s">
        <v>53</v>
      </c>
      <c r="C54" s="36">
        <v>1</v>
      </c>
      <c r="D54" s="36">
        <v>2</v>
      </c>
    </row>
    <row r="55" spans="2:9">
      <c r="B55" s="32" t="s">
        <v>54</v>
      </c>
      <c r="C55" s="36">
        <v>2</v>
      </c>
      <c r="D55" s="36">
        <v>2</v>
      </c>
    </row>
    <row r="56" spans="2:9">
      <c r="B56" s="32" t="s">
        <v>55</v>
      </c>
      <c r="C56" s="36">
        <v>3</v>
      </c>
      <c r="D56" s="36">
        <v>5</v>
      </c>
    </row>
    <row r="57" spans="2:9">
      <c r="B57" s="32" t="s">
        <v>56</v>
      </c>
      <c r="C57" s="36">
        <v>5</v>
      </c>
      <c r="D57" s="36">
        <v>5</v>
      </c>
    </row>
    <row r="58" spans="2:9">
      <c r="B58" s="32" t="s">
        <v>288</v>
      </c>
      <c r="C58" s="36">
        <v>11</v>
      </c>
      <c r="D58" s="36">
        <v>14</v>
      </c>
    </row>
    <row r="61" spans="2:9">
      <c r="B61" s="1" t="s">
        <v>44</v>
      </c>
      <c r="C61" s="30" t="s">
        <v>20</v>
      </c>
    </row>
    <row r="62" spans="2:9">
      <c r="B62" s="1" t="s">
        <v>380</v>
      </c>
      <c r="C62" s="1" t="s">
        <v>382</v>
      </c>
    </row>
    <row r="63" spans="2:9">
      <c r="B63" s="1" t="s">
        <v>379</v>
      </c>
      <c r="C63" s="1" t="s">
        <v>382</v>
      </c>
    </row>
    <row r="65" spans="2:10">
      <c r="B65" s="159" t="s">
        <v>48</v>
      </c>
      <c r="C65" s="159" t="s">
        <v>47</v>
      </c>
      <c r="D65" s="159"/>
      <c r="E65"/>
      <c r="F65"/>
      <c r="G65"/>
      <c r="H65"/>
      <c r="I65"/>
      <c r="J65"/>
    </row>
    <row r="66" spans="2:10">
      <c r="B66" s="159"/>
      <c r="C66" s="21" t="s">
        <v>51</v>
      </c>
      <c r="D66" s="21" t="s">
        <v>50</v>
      </c>
    </row>
    <row r="67" spans="2:10">
      <c r="B67" s="32" t="s">
        <v>53</v>
      </c>
      <c r="C67" s="36">
        <v>3</v>
      </c>
      <c r="D67" s="36">
        <v>1</v>
      </c>
    </row>
    <row r="68" spans="2:10">
      <c r="B68" s="32" t="s">
        <v>56</v>
      </c>
      <c r="C68" s="36">
        <v>11</v>
      </c>
      <c r="D68" s="36">
        <v>8</v>
      </c>
    </row>
    <row r="69" spans="2:10">
      <c r="B69" s="32" t="s">
        <v>288</v>
      </c>
      <c r="C69" s="36">
        <v>14</v>
      </c>
      <c r="D69" s="36">
        <v>9</v>
      </c>
    </row>
    <row r="72" spans="2:10">
      <c r="B72" s="1" t="s">
        <v>44</v>
      </c>
      <c r="C72" s="30" t="s">
        <v>36</v>
      </c>
    </row>
    <row r="73" spans="2:10">
      <c r="B73" s="1" t="s">
        <v>380</v>
      </c>
      <c r="C73" s="1" t="s">
        <v>382</v>
      </c>
    </row>
    <row r="74" spans="2:10">
      <c r="B74" s="1" t="s">
        <v>379</v>
      </c>
      <c r="C74" s="1" t="s">
        <v>382</v>
      </c>
    </row>
    <row r="76" spans="2:10">
      <c r="B76" s="159" t="s">
        <v>48</v>
      </c>
      <c r="C76" s="159" t="s">
        <v>47</v>
      </c>
      <c r="D76" s="159"/>
      <c r="E76"/>
      <c r="F76"/>
      <c r="G76"/>
      <c r="H76"/>
      <c r="I76"/>
    </row>
    <row r="77" spans="2:10">
      <c r="B77" s="159"/>
      <c r="C77" s="21" t="s">
        <v>51</v>
      </c>
      <c r="D77" s="21" t="s">
        <v>50</v>
      </c>
    </row>
    <row r="78" spans="2:10">
      <c r="B78" s="32" t="s">
        <v>53</v>
      </c>
      <c r="C78" s="36">
        <v>1</v>
      </c>
      <c r="D78" s="36">
        <v>1</v>
      </c>
    </row>
    <row r="79" spans="2:10">
      <c r="B79" s="32" t="s">
        <v>56</v>
      </c>
      <c r="C79" s="36">
        <v>17</v>
      </c>
      <c r="D79" s="36">
        <v>11</v>
      </c>
    </row>
    <row r="80" spans="2:10">
      <c r="B80" s="32" t="s">
        <v>288</v>
      </c>
      <c r="C80" s="36">
        <v>18</v>
      </c>
      <c r="D80" s="36">
        <v>12</v>
      </c>
    </row>
    <row r="83" spans="2:9">
      <c r="B83" s="1" t="s">
        <v>44</v>
      </c>
      <c r="C83" s="30" t="s">
        <v>31</v>
      </c>
    </row>
    <row r="84" spans="2:9">
      <c r="B84" s="1" t="s">
        <v>380</v>
      </c>
      <c r="C84" s="1" t="s">
        <v>382</v>
      </c>
    </row>
    <row r="85" spans="2:9">
      <c r="B85" s="1" t="s">
        <v>379</v>
      </c>
      <c r="C85" s="1" t="s">
        <v>382</v>
      </c>
    </row>
    <row r="87" spans="2:9">
      <c r="B87" s="159" t="s">
        <v>48</v>
      </c>
      <c r="C87" s="161" t="s">
        <v>47</v>
      </c>
      <c r="D87" s="162"/>
      <c r="E87" s="162"/>
      <c r="F87" s="162"/>
      <c r="G87" s="163"/>
      <c r="H87"/>
      <c r="I87"/>
    </row>
    <row r="88" spans="2:9" ht="30">
      <c r="B88" s="159"/>
      <c r="C88" s="31" t="s">
        <v>339</v>
      </c>
      <c r="D88" s="31" t="s">
        <v>51</v>
      </c>
      <c r="E88" s="31" t="s">
        <v>343</v>
      </c>
      <c r="F88" s="31" t="s">
        <v>50</v>
      </c>
      <c r="G88" s="37" t="s">
        <v>340</v>
      </c>
      <c r="H88"/>
      <c r="I88"/>
    </row>
    <row r="89" spans="2:9">
      <c r="B89" s="32" t="s">
        <v>56</v>
      </c>
      <c r="C89" s="36">
        <v>1</v>
      </c>
      <c r="D89" s="36">
        <v>11</v>
      </c>
      <c r="E89" s="36">
        <v>1</v>
      </c>
      <c r="F89" s="36">
        <v>11</v>
      </c>
      <c r="G89" s="36">
        <v>1</v>
      </c>
      <c r="H89"/>
      <c r="I89"/>
    </row>
    <row r="90" spans="2:9">
      <c r="B90" s="32" t="s">
        <v>288</v>
      </c>
      <c r="C90" s="36">
        <v>1</v>
      </c>
      <c r="D90" s="36">
        <v>11</v>
      </c>
      <c r="E90" s="36">
        <v>1</v>
      </c>
      <c r="F90" s="36">
        <v>11</v>
      </c>
      <c r="G90" s="36">
        <v>1</v>
      </c>
      <c r="H90"/>
      <c r="I90"/>
    </row>
    <row r="93" spans="2:9">
      <c r="B93" s="1" t="s">
        <v>44</v>
      </c>
      <c r="C93" s="30" t="s">
        <v>261</v>
      </c>
    </row>
    <row r="94" spans="2:9">
      <c r="B94" s="1" t="s">
        <v>380</v>
      </c>
      <c r="C94" s="1" t="s">
        <v>382</v>
      </c>
    </row>
    <row r="95" spans="2:9">
      <c r="B95" s="1" t="s">
        <v>379</v>
      </c>
      <c r="C95" s="1" t="s">
        <v>382</v>
      </c>
    </row>
    <row r="97" spans="2:9">
      <c r="B97" s="161" t="s">
        <v>48</v>
      </c>
      <c r="C97" s="159" t="s">
        <v>47</v>
      </c>
      <c r="D97" s="159"/>
      <c r="E97" s="38"/>
      <c r="F97" s="38"/>
      <c r="G97" s="38"/>
      <c r="H97" s="38"/>
      <c r="I97" s="38"/>
    </row>
    <row r="98" spans="2:9">
      <c r="B98" s="159"/>
      <c r="C98" s="21" t="s">
        <v>51</v>
      </c>
      <c r="D98" s="21" t="s">
        <v>50</v>
      </c>
    </row>
    <row r="99" spans="2:9">
      <c r="B99" s="32" t="s">
        <v>56</v>
      </c>
      <c r="C99" s="36">
        <v>1</v>
      </c>
      <c r="D99" s="36">
        <v>1</v>
      </c>
    </row>
    <row r="100" spans="2:9">
      <c r="B100" s="32" t="s">
        <v>288</v>
      </c>
      <c r="C100" s="36">
        <v>1</v>
      </c>
      <c r="D100" s="36">
        <v>1</v>
      </c>
    </row>
    <row r="103" spans="2:9">
      <c r="B103" s="1" t="s">
        <v>44</v>
      </c>
      <c r="C103" s="30" t="s">
        <v>39</v>
      </c>
    </row>
    <row r="104" spans="2:9">
      <c r="B104" s="1" t="s">
        <v>380</v>
      </c>
      <c r="C104" s="1" t="s">
        <v>382</v>
      </c>
    </row>
    <row r="105" spans="2:9">
      <c r="B105" s="1" t="s">
        <v>379</v>
      </c>
      <c r="C105" s="1" t="s">
        <v>382</v>
      </c>
    </row>
    <row r="107" spans="2:9">
      <c r="B107" s="159" t="s">
        <v>48</v>
      </c>
      <c r="C107" s="159" t="s">
        <v>47</v>
      </c>
      <c r="D107" s="159"/>
      <c r="E107" s="38"/>
      <c r="F107" s="38"/>
      <c r="G107" s="38"/>
      <c r="H107" s="38"/>
      <c r="I107" s="38"/>
    </row>
    <row r="108" spans="2:9">
      <c r="B108" s="159"/>
      <c r="C108" s="21" t="s">
        <v>51</v>
      </c>
      <c r="D108" s="21" t="s">
        <v>50</v>
      </c>
    </row>
    <row r="109" spans="2:9">
      <c r="B109" s="32" t="s">
        <v>53</v>
      </c>
      <c r="C109" s="36">
        <v>2</v>
      </c>
      <c r="D109" s="36">
        <v>2</v>
      </c>
    </row>
    <row r="110" spans="2:9">
      <c r="B110" s="32" t="s">
        <v>56</v>
      </c>
      <c r="C110" s="36">
        <v>4</v>
      </c>
      <c r="D110" s="36">
        <v>4</v>
      </c>
    </row>
    <row r="111" spans="2:9">
      <c r="B111" s="32" t="s">
        <v>288</v>
      </c>
      <c r="C111" s="36">
        <v>6</v>
      </c>
      <c r="D111" s="36">
        <v>6</v>
      </c>
    </row>
    <row r="114" spans="2:9">
      <c r="B114" s="1" t="s">
        <v>44</v>
      </c>
      <c r="C114" s="30" t="s">
        <v>66</v>
      </c>
    </row>
    <row r="115" spans="2:9">
      <c r="B115" s="1" t="s">
        <v>380</v>
      </c>
      <c r="C115" s="1" t="s">
        <v>382</v>
      </c>
    </row>
    <row r="116" spans="2:9">
      <c r="B116" s="1" t="s">
        <v>379</v>
      </c>
      <c r="C116" s="1" t="s">
        <v>382</v>
      </c>
    </row>
    <row r="118" spans="2:9">
      <c r="B118" s="159" t="s">
        <v>48</v>
      </c>
      <c r="C118" s="159" t="s">
        <v>47</v>
      </c>
      <c r="D118" s="159"/>
      <c r="E118" s="38"/>
      <c r="F118" s="38"/>
      <c r="G118" s="38"/>
      <c r="H118" s="38"/>
      <c r="I118" s="38"/>
    </row>
    <row r="119" spans="2:9">
      <c r="B119" s="159"/>
      <c r="C119" s="21" t="s">
        <v>51</v>
      </c>
      <c r="D119" s="21" t="s">
        <v>50</v>
      </c>
    </row>
    <row r="120" spans="2:9">
      <c r="B120" s="32" t="s">
        <v>56</v>
      </c>
      <c r="C120" s="36">
        <v>5</v>
      </c>
      <c r="D120" s="36">
        <v>2</v>
      </c>
    </row>
    <row r="121" spans="2:9">
      <c r="B121" s="32" t="s">
        <v>288</v>
      </c>
      <c r="C121" s="36">
        <v>5</v>
      </c>
      <c r="D121" s="36">
        <v>2</v>
      </c>
    </row>
  </sheetData>
  <mergeCells count="22">
    <mergeCell ref="C65:D65"/>
    <mergeCell ref="B97:B98"/>
    <mergeCell ref="B107:B108"/>
    <mergeCell ref="B118:B119"/>
    <mergeCell ref="C40:I40"/>
    <mergeCell ref="B40:B41"/>
    <mergeCell ref="B52:B53"/>
    <mergeCell ref="B65:B66"/>
    <mergeCell ref="B76:B77"/>
    <mergeCell ref="B87:B88"/>
    <mergeCell ref="C52:D52"/>
    <mergeCell ref="C97:D97"/>
    <mergeCell ref="C107:D107"/>
    <mergeCell ref="C118:D118"/>
    <mergeCell ref="C87:G87"/>
    <mergeCell ref="C76:D76"/>
    <mergeCell ref="B7:B8"/>
    <mergeCell ref="C7:D7"/>
    <mergeCell ref="B18:B19"/>
    <mergeCell ref="C18:D19"/>
    <mergeCell ref="C29:D29"/>
    <mergeCell ref="B29:B30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W14"/>
  <sheetViews>
    <sheetView showGridLines="0" workbookViewId="0">
      <selection activeCell="C7" sqref="C7"/>
    </sheetView>
  </sheetViews>
  <sheetFormatPr baseColWidth="10" defaultRowHeight="15"/>
  <cols>
    <col min="2" max="2" width="35.7109375" bestFit="1" customWidth="1"/>
    <col min="3" max="3" width="6.85546875" bestFit="1" customWidth="1"/>
    <col min="4" max="4" width="25.42578125" customWidth="1"/>
    <col min="5" max="5" width="7.7109375" bestFit="1" customWidth="1"/>
    <col min="6" max="6" width="23.42578125" customWidth="1"/>
    <col min="7" max="7" width="14.140625" bestFit="1" customWidth="1"/>
    <col min="8" max="8" width="8" bestFit="1" customWidth="1"/>
    <col min="9" max="9" width="15.7109375" bestFit="1" customWidth="1"/>
    <col min="10" max="10" width="22.5703125" bestFit="1" customWidth="1"/>
  </cols>
  <sheetData>
    <row r="5" spans="2:23" ht="20.100000000000001" customHeight="1">
      <c r="B5" s="166" t="s">
        <v>390</v>
      </c>
      <c r="C5" s="168" t="s">
        <v>388</v>
      </c>
      <c r="D5" s="169"/>
      <c r="E5" s="169"/>
      <c r="F5" s="170"/>
      <c r="W5" s="29"/>
    </row>
    <row r="6" spans="2:23" ht="20.100000000000001" customHeight="1">
      <c r="B6" s="167"/>
      <c r="C6" s="41" t="s">
        <v>53</v>
      </c>
      <c r="D6" s="41" t="s">
        <v>389</v>
      </c>
      <c r="E6" s="41" t="s">
        <v>55</v>
      </c>
      <c r="F6" s="41" t="s">
        <v>56</v>
      </c>
      <c r="W6" s="29" t="s">
        <v>288</v>
      </c>
    </row>
    <row r="7" spans="2:23" ht="17.25">
      <c r="B7" s="48" t="s">
        <v>339</v>
      </c>
      <c r="C7" s="49"/>
      <c r="D7" s="50"/>
      <c r="E7" s="50"/>
      <c r="F7" s="50"/>
      <c r="W7" s="34">
        <v>1</v>
      </c>
    </row>
    <row r="8" spans="2:23" ht="17.25">
      <c r="B8" s="43" t="s">
        <v>417</v>
      </c>
      <c r="C8" s="44">
        <v>13</v>
      </c>
      <c r="D8" s="45">
        <v>5</v>
      </c>
      <c r="E8" s="45">
        <v>13</v>
      </c>
      <c r="F8" s="45">
        <v>65</v>
      </c>
      <c r="W8" s="34">
        <v>96</v>
      </c>
    </row>
    <row r="9" spans="2:23" ht="17.25">
      <c r="B9" s="43" t="s">
        <v>418</v>
      </c>
      <c r="C9" s="44"/>
      <c r="D9" s="45"/>
      <c r="E9" s="45"/>
      <c r="F9" s="45">
        <v>3</v>
      </c>
      <c r="W9" s="34">
        <v>3</v>
      </c>
    </row>
    <row r="10" spans="2:23" ht="17.25">
      <c r="B10" s="43" t="s">
        <v>258</v>
      </c>
      <c r="C10" s="44"/>
      <c r="D10" s="45"/>
      <c r="E10" s="45"/>
      <c r="F10" s="45">
        <v>1</v>
      </c>
      <c r="W10" s="34">
        <v>1</v>
      </c>
    </row>
    <row r="11" spans="2:23" s="1" customFormat="1" ht="17.25">
      <c r="B11" s="43" t="s">
        <v>362</v>
      </c>
      <c r="C11" s="44"/>
      <c r="D11" s="45"/>
      <c r="E11" s="45"/>
      <c r="F11" s="45"/>
      <c r="W11" s="34"/>
    </row>
    <row r="12" spans="2:23" ht="17.25">
      <c r="B12" s="43" t="s">
        <v>346</v>
      </c>
      <c r="C12" s="44"/>
      <c r="D12" s="45"/>
      <c r="E12" s="45"/>
      <c r="F12" s="45">
        <v>4</v>
      </c>
      <c r="W12" s="34">
        <v>4</v>
      </c>
    </row>
    <row r="13" spans="2:23" ht="17.25">
      <c r="B13" s="43" t="s">
        <v>419</v>
      </c>
      <c r="C13" s="44"/>
      <c r="D13" s="45"/>
      <c r="E13" s="45"/>
      <c r="F13" s="45">
        <v>2</v>
      </c>
      <c r="W13" s="34">
        <v>2</v>
      </c>
    </row>
    <row r="14" spans="2:23" ht="18">
      <c r="B14" s="164" t="s">
        <v>391</v>
      </c>
      <c r="C14" s="165"/>
      <c r="D14" s="165"/>
      <c r="E14" s="165"/>
      <c r="F14" s="51">
        <f>SUM(C7:F13)</f>
        <v>106</v>
      </c>
      <c r="K14" t="e">
        <f>SUM(#REF!)</f>
        <v>#REF!</v>
      </c>
      <c r="W14" s="39">
        <v>194</v>
      </c>
    </row>
  </sheetData>
  <mergeCells count="3">
    <mergeCell ref="B14:E14"/>
    <mergeCell ref="B5:B6"/>
    <mergeCell ref="C5:F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M17"/>
  <sheetViews>
    <sheetView showGridLines="0" workbookViewId="0">
      <selection activeCell="F28" sqref="F27:F28"/>
    </sheetView>
  </sheetViews>
  <sheetFormatPr baseColWidth="10" defaultRowHeight="15"/>
  <cols>
    <col min="2" max="2" width="19.7109375" customWidth="1"/>
    <col min="4" max="4" width="19.140625" customWidth="1"/>
    <col min="5" max="5" width="11.7109375" customWidth="1"/>
    <col min="6" max="6" width="13" customWidth="1"/>
    <col min="7" max="7" width="15.7109375" customWidth="1"/>
    <col min="8" max="8" width="23.7109375" customWidth="1"/>
    <col min="9" max="9" width="19.5703125" customWidth="1"/>
    <col min="10" max="10" width="13" customWidth="1"/>
    <col min="11" max="11" width="14.85546875" customWidth="1"/>
    <col min="12" max="12" width="16.140625" customWidth="1"/>
    <col min="13" max="13" width="23.7109375" customWidth="1"/>
  </cols>
  <sheetData>
    <row r="3" spans="2:13" ht="18">
      <c r="B3" s="166" t="s">
        <v>385</v>
      </c>
      <c r="C3" s="172" t="s">
        <v>47</v>
      </c>
      <c r="D3" s="173"/>
      <c r="E3" s="173"/>
      <c r="F3" s="173"/>
      <c r="G3" s="173"/>
      <c r="H3" s="173"/>
      <c r="I3" s="173"/>
      <c r="J3" s="173"/>
      <c r="K3" s="173"/>
      <c r="L3" s="173"/>
      <c r="M3" s="174"/>
    </row>
    <row r="4" spans="2:13" ht="36">
      <c r="B4" s="171"/>
      <c r="C4" s="41" t="s">
        <v>339</v>
      </c>
      <c r="D4" s="42" t="s">
        <v>344</v>
      </c>
      <c r="E4" s="42" t="s">
        <v>51</v>
      </c>
      <c r="F4" s="42" t="s">
        <v>302</v>
      </c>
      <c r="G4" s="42" t="s">
        <v>258</v>
      </c>
      <c r="H4" s="42" t="s">
        <v>386</v>
      </c>
      <c r="I4" s="42" t="s">
        <v>350</v>
      </c>
      <c r="J4" s="42" t="s">
        <v>50</v>
      </c>
      <c r="K4" s="42" t="s">
        <v>346</v>
      </c>
      <c r="L4" s="42" t="s">
        <v>300</v>
      </c>
      <c r="M4" s="42" t="s">
        <v>387</v>
      </c>
    </row>
    <row r="5" spans="2:13" ht="17.25">
      <c r="B5" s="43" t="s">
        <v>15</v>
      </c>
      <c r="C5" s="44"/>
      <c r="D5" s="44"/>
      <c r="E5" s="44">
        <v>8</v>
      </c>
      <c r="F5" s="44"/>
      <c r="G5" s="44"/>
      <c r="H5" s="44"/>
      <c r="I5" s="44"/>
      <c r="J5" s="44">
        <v>2</v>
      </c>
      <c r="K5" s="44"/>
      <c r="L5" s="44"/>
      <c r="M5" s="44"/>
    </row>
    <row r="6" spans="2:13" ht="17.25">
      <c r="B6" s="43" t="s">
        <v>257</v>
      </c>
      <c r="C6" s="45"/>
      <c r="D6" s="45"/>
      <c r="E6" s="45">
        <v>1</v>
      </c>
      <c r="F6" s="45"/>
      <c r="G6" s="45">
        <v>1</v>
      </c>
      <c r="H6" s="45"/>
      <c r="I6" s="45"/>
      <c r="J6" s="45">
        <v>1</v>
      </c>
      <c r="K6" s="45"/>
      <c r="L6" s="45"/>
      <c r="M6" s="45"/>
    </row>
    <row r="7" spans="2:13" ht="17.25">
      <c r="B7" s="43" t="s">
        <v>69</v>
      </c>
      <c r="C7" s="45"/>
      <c r="D7" s="45"/>
      <c r="E7" s="45">
        <v>6</v>
      </c>
      <c r="F7" s="45"/>
      <c r="G7" s="45"/>
      <c r="H7" s="45"/>
      <c r="I7" s="45"/>
      <c r="J7" s="45">
        <v>2</v>
      </c>
      <c r="K7" s="45"/>
      <c r="L7" s="45"/>
      <c r="M7" s="45"/>
    </row>
    <row r="8" spans="2:13" ht="17.25">
      <c r="B8" s="43" t="s">
        <v>0</v>
      </c>
      <c r="C8" s="45"/>
      <c r="D8" s="45">
        <v>1</v>
      </c>
      <c r="E8" s="45">
        <v>15</v>
      </c>
      <c r="F8" s="45">
        <v>3</v>
      </c>
      <c r="G8" s="45"/>
      <c r="H8" s="45"/>
      <c r="I8" s="45">
        <v>1</v>
      </c>
      <c r="J8" s="45">
        <v>23</v>
      </c>
      <c r="K8" s="45">
        <v>4</v>
      </c>
      <c r="L8" s="45">
        <v>2</v>
      </c>
      <c r="M8" s="45"/>
    </row>
    <row r="9" spans="2:13" ht="17.25">
      <c r="B9" s="43" t="s">
        <v>27</v>
      </c>
      <c r="C9" s="45"/>
      <c r="D9" s="45"/>
      <c r="E9" s="45">
        <v>11</v>
      </c>
      <c r="F9" s="45"/>
      <c r="G9" s="45"/>
      <c r="H9" s="45"/>
      <c r="I9" s="45"/>
      <c r="J9" s="45">
        <v>14</v>
      </c>
      <c r="K9" s="45"/>
      <c r="L9" s="45"/>
      <c r="M9" s="45"/>
    </row>
    <row r="10" spans="2:13" ht="17.25">
      <c r="B10" s="43" t="s">
        <v>20</v>
      </c>
      <c r="C10" s="45"/>
      <c r="D10" s="45"/>
      <c r="E10" s="45">
        <v>14</v>
      </c>
      <c r="F10" s="45"/>
      <c r="G10" s="45"/>
      <c r="H10" s="45"/>
      <c r="I10" s="45"/>
      <c r="J10" s="45">
        <v>9</v>
      </c>
      <c r="K10" s="45"/>
      <c r="L10" s="45"/>
      <c r="M10" s="45"/>
    </row>
    <row r="11" spans="2:13" ht="17.25">
      <c r="B11" s="43" t="s">
        <v>36</v>
      </c>
      <c r="C11" s="45"/>
      <c r="D11" s="45"/>
      <c r="E11" s="45">
        <v>18</v>
      </c>
      <c r="F11" s="45"/>
      <c r="G11" s="45"/>
      <c r="H11" s="45"/>
      <c r="I11" s="45"/>
      <c r="J11" s="45">
        <v>12</v>
      </c>
      <c r="K11" s="45"/>
      <c r="L11" s="45"/>
      <c r="M11" s="45"/>
    </row>
    <row r="12" spans="2:13" ht="17.25">
      <c r="B12" s="43" t="s">
        <v>31</v>
      </c>
      <c r="C12" s="45">
        <v>1</v>
      </c>
      <c r="D12" s="45"/>
      <c r="E12" s="45">
        <v>11</v>
      </c>
      <c r="F12" s="45"/>
      <c r="G12" s="45"/>
      <c r="H12" s="45">
        <v>1</v>
      </c>
      <c r="I12" s="45"/>
      <c r="J12" s="45">
        <v>11</v>
      </c>
      <c r="K12" s="45"/>
      <c r="L12" s="45"/>
      <c r="M12" s="45">
        <v>1</v>
      </c>
    </row>
    <row r="13" spans="2:13" ht="17.25">
      <c r="B13" s="43" t="s">
        <v>261</v>
      </c>
      <c r="C13" s="45"/>
      <c r="D13" s="45"/>
      <c r="E13" s="45">
        <v>1</v>
      </c>
      <c r="F13" s="45"/>
      <c r="G13" s="45"/>
      <c r="H13" s="45"/>
      <c r="I13" s="45"/>
      <c r="J13" s="45">
        <v>1</v>
      </c>
      <c r="K13" s="45"/>
      <c r="L13" s="45"/>
      <c r="M13" s="45"/>
    </row>
    <row r="14" spans="2:13" ht="17.25">
      <c r="B14" s="43" t="s">
        <v>39</v>
      </c>
      <c r="C14" s="45"/>
      <c r="D14" s="45"/>
      <c r="E14" s="45">
        <v>6</v>
      </c>
      <c r="F14" s="45"/>
      <c r="G14" s="45"/>
      <c r="H14" s="45"/>
      <c r="I14" s="45"/>
      <c r="J14" s="45">
        <v>6</v>
      </c>
      <c r="K14" s="45"/>
      <c r="L14" s="45"/>
      <c r="M14" s="45"/>
    </row>
    <row r="15" spans="2:13" ht="17.25">
      <c r="B15" s="43" t="s">
        <v>66</v>
      </c>
      <c r="C15" s="45"/>
      <c r="D15" s="45"/>
      <c r="E15" s="45">
        <v>5</v>
      </c>
      <c r="F15" s="45"/>
      <c r="G15" s="45"/>
      <c r="H15" s="45"/>
      <c r="I15" s="45"/>
      <c r="J15" s="45">
        <v>2</v>
      </c>
      <c r="K15" s="45"/>
      <c r="L15" s="45"/>
      <c r="M15" s="45"/>
    </row>
    <row r="16" spans="2:13" ht="20.100000000000001" customHeight="1">
      <c r="B16" s="46" t="s">
        <v>392</v>
      </c>
      <c r="C16" s="47">
        <v>1</v>
      </c>
      <c r="D16" s="47">
        <v>1</v>
      </c>
      <c r="E16" s="47">
        <v>96</v>
      </c>
      <c r="F16" s="47">
        <v>3</v>
      </c>
      <c r="G16" s="47">
        <v>1</v>
      </c>
      <c r="H16" s="47">
        <v>1</v>
      </c>
      <c r="I16" s="47">
        <v>1</v>
      </c>
      <c r="J16" s="47">
        <v>83</v>
      </c>
      <c r="K16" s="47">
        <v>4</v>
      </c>
      <c r="L16" s="47">
        <v>2</v>
      </c>
      <c r="M16" s="47">
        <v>1</v>
      </c>
    </row>
    <row r="17" spans="2:13" ht="20.100000000000001" customHeight="1">
      <c r="B17" s="175" t="s">
        <v>391</v>
      </c>
      <c r="C17" s="176"/>
      <c r="D17" s="176"/>
      <c r="E17" s="176"/>
      <c r="F17" s="176"/>
      <c r="G17" s="176"/>
      <c r="H17" s="176"/>
      <c r="I17" s="176"/>
      <c r="J17" s="176"/>
      <c r="K17" s="176"/>
      <c r="L17" s="176"/>
      <c r="M17" s="40">
        <f>SUM(C5:M16)</f>
        <v>388</v>
      </c>
    </row>
  </sheetData>
  <mergeCells count="3">
    <mergeCell ref="B3:B4"/>
    <mergeCell ref="C3:M3"/>
    <mergeCell ref="B17:L17"/>
  </mergeCells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Z464"/>
  <sheetViews>
    <sheetView topLeftCell="K313" zoomScale="110" zoomScaleNormal="110" workbookViewId="0">
      <selection activeCell="L332" sqref="L332"/>
    </sheetView>
  </sheetViews>
  <sheetFormatPr baseColWidth="10" defaultRowHeight="15"/>
  <cols>
    <col min="1" max="2" width="11.42578125" style="1"/>
    <col min="3" max="3" width="25.140625" style="1" customWidth="1"/>
    <col min="4" max="4" width="25.28515625" style="1" customWidth="1"/>
    <col min="5" max="5" width="32.85546875" style="1" customWidth="1"/>
    <col min="6" max="6" width="13.5703125" style="1" customWidth="1"/>
    <col min="7" max="7" width="41.42578125" style="1" customWidth="1"/>
    <col min="8" max="8" width="13" style="1" customWidth="1"/>
    <col min="9" max="9" width="14.42578125" style="1" customWidth="1"/>
    <col min="10" max="10" width="26.42578125" style="1" customWidth="1"/>
    <col min="11" max="12" width="23.28515625" style="1" customWidth="1"/>
    <col min="13" max="13" width="16.7109375" style="5" customWidth="1"/>
    <col min="14" max="14" width="10.42578125" style="64" customWidth="1"/>
    <col min="15" max="15" width="16.5703125" style="131" customWidth="1"/>
    <col min="16" max="16" width="11.42578125" style="1" customWidth="1"/>
    <col min="17" max="17" width="14" style="5" customWidth="1"/>
    <col min="18" max="18" width="13" style="1" customWidth="1"/>
    <col min="19" max="19" width="14.5703125" style="5" customWidth="1"/>
    <col min="20" max="20" width="14.42578125" style="1" customWidth="1"/>
    <col min="21" max="21" width="11" style="1" customWidth="1"/>
    <col min="22" max="22" width="12.5703125" style="1" bestFit="1" customWidth="1"/>
    <col min="23" max="23" width="20.7109375" style="1" customWidth="1"/>
    <col min="24" max="24" width="13.42578125" style="1" bestFit="1" customWidth="1"/>
    <col min="25" max="16384" width="11.42578125" style="1"/>
  </cols>
  <sheetData>
    <row r="4" spans="3:26" ht="45">
      <c r="C4" s="100" t="s">
        <v>846</v>
      </c>
      <c r="D4" s="100" t="s">
        <v>857</v>
      </c>
      <c r="E4" s="100" t="s">
        <v>847</v>
      </c>
      <c r="F4" s="7" t="s">
        <v>845</v>
      </c>
      <c r="G4" s="6" t="s">
        <v>848</v>
      </c>
      <c r="H4" s="6" t="s">
        <v>46</v>
      </c>
      <c r="I4" s="6" t="s">
        <v>390</v>
      </c>
      <c r="J4" s="6" t="s">
        <v>388</v>
      </c>
      <c r="K4" s="7" t="s">
        <v>853</v>
      </c>
      <c r="L4" s="7" t="s">
        <v>917</v>
      </c>
      <c r="M4" s="66" t="s">
        <v>881</v>
      </c>
      <c r="N4" s="7" t="s">
        <v>849</v>
      </c>
      <c r="O4" s="66" t="s">
        <v>871</v>
      </c>
      <c r="P4" s="7" t="s">
        <v>850</v>
      </c>
      <c r="Q4" s="7" t="s">
        <v>872</v>
      </c>
      <c r="R4" s="7" t="s">
        <v>851</v>
      </c>
      <c r="S4" s="7" t="s">
        <v>873</v>
      </c>
      <c r="T4" s="7" t="s">
        <v>852</v>
      </c>
      <c r="U4" s="6" t="s">
        <v>828</v>
      </c>
      <c r="V4" s="7" t="s">
        <v>855</v>
      </c>
      <c r="W4" s="6" t="s">
        <v>856</v>
      </c>
      <c r="X4" s="6" t="s">
        <v>337</v>
      </c>
      <c r="Y4" s="1" t="s">
        <v>337</v>
      </c>
      <c r="Z4" s="1" t="s">
        <v>52</v>
      </c>
    </row>
    <row r="5" spans="3:26">
      <c r="C5" s="58" t="s">
        <v>15</v>
      </c>
      <c r="D5" s="58" t="s">
        <v>15</v>
      </c>
      <c r="E5" s="120" t="s">
        <v>844</v>
      </c>
      <c r="F5" s="68">
        <v>2672573314</v>
      </c>
      <c r="G5" s="58" t="s">
        <v>438</v>
      </c>
      <c r="H5" s="59">
        <v>8278822</v>
      </c>
      <c r="I5" s="70" t="s">
        <v>730</v>
      </c>
      <c r="J5" s="71" t="s">
        <v>56</v>
      </c>
      <c r="K5" s="70" t="s">
        <v>836</v>
      </c>
      <c r="L5" s="70"/>
      <c r="M5" s="121" t="s">
        <v>292</v>
      </c>
      <c r="N5" s="128">
        <v>45748</v>
      </c>
      <c r="O5" s="132" t="s">
        <v>293</v>
      </c>
      <c r="P5" s="68" t="s">
        <v>733</v>
      </c>
      <c r="Q5" s="71" t="s">
        <v>293</v>
      </c>
      <c r="R5" s="68" t="s">
        <v>733</v>
      </c>
      <c r="S5" s="71" t="s">
        <v>293</v>
      </c>
      <c r="T5" s="68" t="s">
        <v>733</v>
      </c>
      <c r="U5" s="68" t="s">
        <v>829</v>
      </c>
      <c r="V5" s="68" t="s">
        <v>827</v>
      </c>
      <c r="W5" s="68"/>
      <c r="X5" s="134">
        <v>1</v>
      </c>
      <c r="Z5" s="1" t="s">
        <v>53</v>
      </c>
    </row>
    <row r="6" spans="3:26">
      <c r="C6" s="58" t="s">
        <v>15</v>
      </c>
      <c r="D6" s="58" t="s">
        <v>15</v>
      </c>
      <c r="E6" s="120" t="s">
        <v>844</v>
      </c>
      <c r="F6" s="68">
        <v>2672573314</v>
      </c>
      <c r="G6" s="58" t="s">
        <v>515</v>
      </c>
      <c r="H6" s="59">
        <v>8295161</v>
      </c>
      <c r="I6" s="70" t="s">
        <v>730</v>
      </c>
      <c r="J6" s="71" t="s">
        <v>56</v>
      </c>
      <c r="K6" s="70" t="s">
        <v>836</v>
      </c>
      <c r="L6" s="70"/>
      <c r="M6" s="121" t="s">
        <v>868</v>
      </c>
      <c r="N6" s="68" t="s">
        <v>733</v>
      </c>
      <c r="O6" s="132" t="s">
        <v>293</v>
      </c>
      <c r="P6" s="68" t="s">
        <v>733</v>
      </c>
      <c r="Q6" s="71" t="s">
        <v>293</v>
      </c>
      <c r="R6" s="68" t="s">
        <v>733</v>
      </c>
      <c r="S6" s="71" t="s">
        <v>293</v>
      </c>
      <c r="T6" s="68" t="s">
        <v>733</v>
      </c>
      <c r="U6" s="68" t="s">
        <v>827</v>
      </c>
      <c r="V6" s="68" t="s">
        <v>827</v>
      </c>
      <c r="W6" s="68"/>
      <c r="X6" s="134">
        <v>1</v>
      </c>
      <c r="Z6" s="1" t="s">
        <v>727</v>
      </c>
    </row>
    <row r="7" spans="3:26">
      <c r="C7" s="58" t="s">
        <v>15</v>
      </c>
      <c r="D7" s="58" t="s">
        <v>15</v>
      </c>
      <c r="E7" s="120" t="s">
        <v>844</v>
      </c>
      <c r="F7" s="68">
        <v>2672573314</v>
      </c>
      <c r="G7" s="58" t="s">
        <v>421</v>
      </c>
      <c r="H7" s="59">
        <v>25478858</v>
      </c>
      <c r="I7" s="70" t="s">
        <v>730</v>
      </c>
      <c r="J7" s="71" t="s">
        <v>56</v>
      </c>
      <c r="K7" s="70" t="s">
        <v>836</v>
      </c>
      <c r="L7" s="70"/>
      <c r="M7" s="121" t="s">
        <v>292</v>
      </c>
      <c r="N7" s="128">
        <v>45748</v>
      </c>
      <c r="O7" s="132" t="s">
        <v>293</v>
      </c>
      <c r="P7" s="68" t="s">
        <v>733</v>
      </c>
      <c r="Q7" s="71" t="s">
        <v>293</v>
      </c>
      <c r="R7" s="68" t="s">
        <v>733</v>
      </c>
      <c r="S7" s="71" t="s">
        <v>293</v>
      </c>
      <c r="T7" s="68" t="s">
        <v>733</v>
      </c>
      <c r="U7" s="68" t="s">
        <v>829</v>
      </c>
      <c r="V7" s="68" t="s">
        <v>827</v>
      </c>
      <c r="W7" s="68"/>
      <c r="X7" s="134">
        <v>1</v>
      </c>
      <c r="Z7" s="1" t="s">
        <v>389</v>
      </c>
    </row>
    <row r="8" spans="3:26">
      <c r="C8" s="58" t="s">
        <v>15</v>
      </c>
      <c r="D8" s="58" t="s">
        <v>15</v>
      </c>
      <c r="E8" s="120" t="s">
        <v>844</v>
      </c>
      <c r="F8" s="68">
        <v>2672573314</v>
      </c>
      <c r="G8" s="58" t="s">
        <v>437</v>
      </c>
      <c r="H8" s="59">
        <v>13168246</v>
      </c>
      <c r="I8" s="70" t="s">
        <v>730</v>
      </c>
      <c r="J8" s="71" t="s">
        <v>56</v>
      </c>
      <c r="K8" s="70" t="s">
        <v>836</v>
      </c>
      <c r="L8" s="70"/>
      <c r="M8" s="121" t="s">
        <v>292</v>
      </c>
      <c r="N8" s="128">
        <v>45748</v>
      </c>
      <c r="O8" s="132" t="s">
        <v>293</v>
      </c>
      <c r="P8" s="68" t="s">
        <v>733</v>
      </c>
      <c r="Q8" s="71" t="s">
        <v>293</v>
      </c>
      <c r="R8" s="68" t="s">
        <v>733</v>
      </c>
      <c r="S8" s="71" t="s">
        <v>293</v>
      </c>
      <c r="T8" s="68" t="s">
        <v>733</v>
      </c>
      <c r="U8" s="68" t="s">
        <v>827</v>
      </c>
      <c r="V8" s="68" t="s">
        <v>827</v>
      </c>
      <c r="W8" s="68"/>
      <c r="X8" s="134">
        <v>1</v>
      </c>
      <c r="Z8" s="1" t="s">
        <v>405</v>
      </c>
    </row>
    <row r="9" spans="3:26">
      <c r="C9" s="58" t="s">
        <v>15</v>
      </c>
      <c r="D9" s="58" t="s">
        <v>15</v>
      </c>
      <c r="E9" s="120" t="s">
        <v>844</v>
      </c>
      <c r="F9" s="68">
        <v>2672573314</v>
      </c>
      <c r="G9" s="58" t="s">
        <v>511</v>
      </c>
      <c r="H9" s="59">
        <v>28257470</v>
      </c>
      <c r="I9" s="60" t="s">
        <v>725</v>
      </c>
      <c r="J9" s="71" t="s">
        <v>53</v>
      </c>
      <c r="K9" s="70" t="s">
        <v>836</v>
      </c>
      <c r="L9" s="70"/>
      <c r="M9" s="121" t="s">
        <v>868</v>
      </c>
      <c r="N9" s="68" t="s">
        <v>733</v>
      </c>
      <c r="O9" s="132" t="s">
        <v>293</v>
      </c>
      <c r="P9" s="68" t="s">
        <v>733</v>
      </c>
      <c r="Q9" s="71" t="s">
        <v>293</v>
      </c>
      <c r="R9" s="68" t="s">
        <v>733</v>
      </c>
      <c r="S9" s="71" t="s">
        <v>293</v>
      </c>
      <c r="T9" s="68" t="s">
        <v>733</v>
      </c>
      <c r="U9" s="68" t="s">
        <v>829</v>
      </c>
      <c r="V9" s="68" t="s">
        <v>827</v>
      </c>
      <c r="W9" s="68"/>
      <c r="X9" s="134">
        <v>1</v>
      </c>
      <c r="Z9" s="1" t="s">
        <v>750</v>
      </c>
    </row>
    <row r="10" spans="3:26">
      <c r="C10" s="58" t="s">
        <v>15</v>
      </c>
      <c r="D10" s="58" t="s">
        <v>15</v>
      </c>
      <c r="E10" s="120" t="s">
        <v>844</v>
      </c>
      <c r="F10" s="68">
        <v>2672573314</v>
      </c>
      <c r="G10" s="58" t="s">
        <v>427</v>
      </c>
      <c r="H10" s="59">
        <v>27345748</v>
      </c>
      <c r="I10" s="60" t="s">
        <v>725</v>
      </c>
      <c r="J10" s="71" t="s">
        <v>56</v>
      </c>
      <c r="K10" s="70" t="s">
        <v>836</v>
      </c>
      <c r="L10" s="70"/>
      <c r="M10" s="121" t="s">
        <v>292</v>
      </c>
      <c r="N10" s="128">
        <v>45748</v>
      </c>
      <c r="O10" s="132" t="s">
        <v>293</v>
      </c>
      <c r="P10" s="68" t="s">
        <v>733</v>
      </c>
      <c r="Q10" s="71" t="s">
        <v>293</v>
      </c>
      <c r="R10" s="68" t="s">
        <v>733</v>
      </c>
      <c r="S10" s="71" t="s">
        <v>293</v>
      </c>
      <c r="T10" s="68" t="s">
        <v>733</v>
      </c>
      <c r="U10" s="68" t="s">
        <v>829</v>
      </c>
      <c r="V10" s="68" t="s">
        <v>827</v>
      </c>
      <c r="W10" s="68"/>
      <c r="X10" s="134">
        <v>1</v>
      </c>
      <c r="Z10" s="1" t="s">
        <v>55</v>
      </c>
    </row>
    <row r="11" spans="3:26">
      <c r="C11" s="58" t="s">
        <v>15</v>
      </c>
      <c r="D11" s="58" t="s">
        <v>15</v>
      </c>
      <c r="E11" s="120" t="s">
        <v>844</v>
      </c>
      <c r="F11" s="68">
        <v>2672573314</v>
      </c>
      <c r="G11" s="58" t="s">
        <v>426</v>
      </c>
      <c r="H11" s="59">
        <v>25721872</v>
      </c>
      <c r="I11" s="60" t="s">
        <v>725</v>
      </c>
      <c r="J11" s="71" t="s">
        <v>56</v>
      </c>
      <c r="K11" s="70" t="s">
        <v>836</v>
      </c>
      <c r="L11" s="70"/>
      <c r="M11" s="121" t="s">
        <v>292</v>
      </c>
      <c r="N11" s="128">
        <v>45748</v>
      </c>
      <c r="O11" s="132" t="s">
        <v>293</v>
      </c>
      <c r="P11" s="68" t="s">
        <v>733</v>
      </c>
      <c r="Q11" s="71" t="s">
        <v>293</v>
      </c>
      <c r="R11" s="68" t="s">
        <v>733</v>
      </c>
      <c r="S11" s="71" t="s">
        <v>293</v>
      </c>
      <c r="T11" s="68" t="s">
        <v>733</v>
      </c>
      <c r="U11" s="68" t="s">
        <v>829</v>
      </c>
      <c r="V11" s="68" t="s">
        <v>827</v>
      </c>
      <c r="W11" s="68"/>
      <c r="X11" s="134">
        <v>1</v>
      </c>
      <c r="Z11" s="1" t="s">
        <v>414</v>
      </c>
    </row>
    <row r="12" spans="3:26">
      <c r="C12" s="58" t="s">
        <v>15</v>
      </c>
      <c r="D12" s="58" t="s">
        <v>15</v>
      </c>
      <c r="E12" s="120" t="s">
        <v>844</v>
      </c>
      <c r="F12" s="68">
        <v>2672573314</v>
      </c>
      <c r="G12" s="58" t="s">
        <v>685</v>
      </c>
      <c r="H12" s="59">
        <v>21042054</v>
      </c>
      <c r="I12" s="70" t="s">
        <v>730</v>
      </c>
      <c r="J12" s="71" t="s">
        <v>56</v>
      </c>
      <c r="K12" s="70" t="s">
        <v>836</v>
      </c>
      <c r="L12" s="70"/>
      <c r="M12" s="121" t="s">
        <v>868</v>
      </c>
      <c r="N12" s="68" t="s">
        <v>733</v>
      </c>
      <c r="O12" s="132" t="s">
        <v>293</v>
      </c>
      <c r="P12" s="68" t="s">
        <v>733</v>
      </c>
      <c r="Q12" s="71" t="s">
        <v>293</v>
      </c>
      <c r="R12" s="68" t="s">
        <v>733</v>
      </c>
      <c r="S12" s="71" t="s">
        <v>293</v>
      </c>
      <c r="T12" s="68" t="s">
        <v>733</v>
      </c>
      <c r="U12" s="68" t="s">
        <v>829</v>
      </c>
      <c r="V12" s="68" t="s">
        <v>827</v>
      </c>
      <c r="W12" s="68"/>
      <c r="X12" s="134">
        <v>1</v>
      </c>
      <c r="Z12" s="1" t="s">
        <v>56</v>
      </c>
    </row>
    <row r="13" spans="3:26">
      <c r="C13" s="58" t="s">
        <v>15</v>
      </c>
      <c r="D13" s="58" t="s">
        <v>15</v>
      </c>
      <c r="E13" s="120" t="s">
        <v>844</v>
      </c>
      <c r="F13" s="68">
        <v>2672573314</v>
      </c>
      <c r="G13" s="58" t="s">
        <v>422</v>
      </c>
      <c r="H13" s="59">
        <v>28069528</v>
      </c>
      <c r="I13" s="60" t="s">
        <v>725</v>
      </c>
      <c r="J13" s="71" t="s">
        <v>56</v>
      </c>
      <c r="K13" s="70" t="s">
        <v>836</v>
      </c>
      <c r="L13" s="70"/>
      <c r="M13" s="121" t="s">
        <v>292</v>
      </c>
      <c r="N13" s="128">
        <v>45748</v>
      </c>
      <c r="O13" s="132" t="s">
        <v>293</v>
      </c>
      <c r="P13" s="68" t="s">
        <v>733</v>
      </c>
      <c r="Q13" s="71" t="s">
        <v>293</v>
      </c>
      <c r="R13" s="68" t="s">
        <v>733</v>
      </c>
      <c r="S13" s="71" t="s">
        <v>293</v>
      </c>
      <c r="T13" s="68" t="s">
        <v>733</v>
      </c>
      <c r="U13" s="68" t="s">
        <v>829</v>
      </c>
      <c r="V13" s="68" t="s">
        <v>827</v>
      </c>
      <c r="W13" s="68"/>
      <c r="X13" s="134">
        <v>1</v>
      </c>
    </row>
    <row r="14" spans="3:26">
      <c r="C14" s="121" t="s">
        <v>15</v>
      </c>
      <c r="D14" s="121" t="s">
        <v>15</v>
      </c>
      <c r="E14" s="120" t="s">
        <v>844</v>
      </c>
      <c r="F14" s="68">
        <v>2672573314</v>
      </c>
      <c r="G14" s="122" t="s">
        <v>681</v>
      </c>
      <c r="H14" s="59">
        <v>26228015</v>
      </c>
      <c r="I14" s="60" t="s">
        <v>729</v>
      </c>
      <c r="J14" s="71" t="s">
        <v>56</v>
      </c>
      <c r="K14" s="70" t="s">
        <v>836</v>
      </c>
      <c r="L14" s="70"/>
      <c r="M14" s="121" t="s">
        <v>868</v>
      </c>
      <c r="N14" s="68" t="s">
        <v>733</v>
      </c>
      <c r="O14" s="132" t="s">
        <v>293</v>
      </c>
      <c r="P14" s="68" t="s">
        <v>733</v>
      </c>
      <c r="Q14" s="71" t="s">
        <v>293</v>
      </c>
      <c r="R14" s="68" t="s">
        <v>733</v>
      </c>
      <c r="S14" s="71" t="s">
        <v>293</v>
      </c>
      <c r="T14" s="68" t="s">
        <v>733</v>
      </c>
      <c r="U14" s="68" t="s">
        <v>827</v>
      </c>
      <c r="V14" s="68" t="s">
        <v>827</v>
      </c>
      <c r="W14" s="68"/>
      <c r="X14" s="134">
        <v>1</v>
      </c>
    </row>
    <row r="15" spans="3:26">
      <c r="C15" s="121" t="s">
        <v>15</v>
      </c>
      <c r="D15" s="121" t="s">
        <v>15</v>
      </c>
      <c r="E15" s="120" t="s">
        <v>844</v>
      </c>
      <c r="F15" s="68">
        <v>2672573314</v>
      </c>
      <c r="G15" s="121" t="s">
        <v>683</v>
      </c>
      <c r="H15" s="59">
        <v>23998595</v>
      </c>
      <c r="I15" s="60" t="s">
        <v>725</v>
      </c>
      <c r="J15" s="71" t="s">
        <v>56</v>
      </c>
      <c r="K15" s="70" t="s">
        <v>836</v>
      </c>
      <c r="L15" s="70"/>
      <c r="M15" s="121" t="s">
        <v>868</v>
      </c>
      <c r="N15" s="68" t="s">
        <v>733</v>
      </c>
      <c r="O15" s="132" t="s">
        <v>293</v>
      </c>
      <c r="P15" s="68" t="s">
        <v>733</v>
      </c>
      <c r="Q15" s="71" t="s">
        <v>293</v>
      </c>
      <c r="R15" s="68" t="s">
        <v>733</v>
      </c>
      <c r="S15" s="71" t="s">
        <v>293</v>
      </c>
      <c r="T15" s="68" t="s">
        <v>733</v>
      </c>
      <c r="U15" s="68" t="s">
        <v>827</v>
      </c>
      <c r="V15" s="68" t="s">
        <v>827</v>
      </c>
      <c r="W15" s="68"/>
      <c r="X15" s="134">
        <v>1</v>
      </c>
    </row>
    <row r="16" spans="3:26">
      <c r="C16" s="58" t="s">
        <v>15</v>
      </c>
      <c r="D16" s="58" t="s">
        <v>15</v>
      </c>
      <c r="E16" s="120" t="s">
        <v>844</v>
      </c>
      <c r="F16" s="68">
        <v>2672573314</v>
      </c>
      <c r="G16" s="58" t="s">
        <v>432</v>
      </c>
      <c r="H16" s="59">
        <v>16491274</v>
      </c>
      <c r="I16" s="70" t="s">
        <v>730</v>
      </c>
      <c r="J16" s="71" t="s">
        <v>56</v>
      </c>
      <c r="K16" s="70" t="s">
        <v>836</v>
      </c>
      <c r="L16" s="70"/>
      <c r="M16" s="121" t="s">
        <v>292</v>
      </c>
      <c r="N16" s="128">
        <v>45748</v>
      </c>
      <c r="O16" s="132" t="s">
        <v>293</v>
      </c>
      <c r="P16" s="68" t="s">
        <v>733</v>
      </c>
      <c r="Q16" s="71" t="s">
        <v>293</v>
      </c>
      <c r="R16" s="68" t="s">
        <v>733</v>
      </c>
      <c r="S16" s="71" t="s">
        <v>293</v>
      </c>
      <c r="T16" s="68" t="s">
        <v>733</v>
      </c>
      <c r="U16" s="68" t="s">
        <v>829</v>
      </c>
      <c r="V16" s="68" t="s">
        <v>827</v>
      </c>
      <c r="W16" s="68"/>
      <c r="X16" s="134">
        <v>1</v>
      </c>
    </row>
    <row r="17" spans="3:24">
      <c r="C17" s="58" t="s">
        <v>15</v>
      </c>
      <c r="D17" s="58" t="s">
        <v>15</v>
      </c>
      <c r="E17" s="120" t="s">
        <v>844</v>
      </c>
      <c r="F17" s="68">
        <v>2672573314</v>
      </c>
      <c r="G17" s="58" t="s">
        <v>785</v>
      </c>
      <c r="H17" s="52">
        <v>19854126</v>
      </c>
      <c r="I17" s="60" t="s">
        <v>729</v>
      </c>
      <c r="J17" s="71" t="s">
        <v>55</v>
      </c>
      <c r="K17" s="70" t="s">
        <v>836</v>
      </c>
      <c r="L17" s="70"/>
      <c r="M17" s="121" t="s">
        <v>868</v>
      </c>
      <c r="N17" s="68" t="s">
        <v>733</v>
      </c>
      <c r="O17" s="132" t="s">
        <v>293</v>
      </c>
      <c r="P17" s="68" t="s">
        <v>733</v>
      </c>
      <c r="Q17" s="71" t="s">
        <v>293</v>
      </c>
      <c r="R17" s="68" t="s">
        <v>733</v>
      </c>
      <c r="S17" s="71" t="s">
        <v>293</v>
      </c>
      <c r="T17" s="68" t="s">
        <v>733</v>
      </c>
      <c r="U17" s="68" t="s">
        <v>827</v>
      </c>
      <c r="V17" s="68" t="s">
        <v>827</v>
      </c>
      <c r="W17" s="68"/>
      <c r="X17" s="134">
        <v>1</v>
      </c>
    </row>
    <row r="18" spans="3:24">
      <c r="C18" s="58" t="s">
        <v>15</v>
      </c>
      <c r="D18" s="58" t="s">
        <v>15</v>
      </c>
      <c r="E18" s="120" t="s">
        <v>844</v>
      </c>
      <c r="F18" s="68">
        <v>2672573314</v>
      </c>
      <c r="G18" s="58" t="s">
        <v>429</v>
      </c>
      <c r="H18" s="59">
        <v>16055466</v>
      </c>
      <c r="I18" s="60" t="s">
        <v>725</v>
      </c>
      <c r="J18" s="71" t="s">
        <v>56</v>
      </c>
      <c r="K18" s="70" t="s">
        <v>836</v>
      </c>
      <c r="L18" s="70"/>
      <c r="M18" s="121" t="s">
        <v>292</v>
      </c>
      <c r="N18" s="128">
        <v>45748</v>
      </c>
      <c r="O18" s="132" t="s">
        <v>293</v>
      </c>
      <c r="P18" s="68" t="s">
        <v>733</v>
      </c>
      <c r="Q18" s="71" t="s">
        <v>293</v>
      </c>
      <c r="R18" s="68" t="s">
        <v>733</v>
      </c>
      <c r="S18" s="71" t="s">
        <v>293</v>
      </c>
      <c r="T18" s="68" t="s">
        <v>733</v>
      </c>
      <c r="U18" s="68" t="s">
        <v>829</v>
      </c>
      <c r="V18" s="68" t="s">
        <v>827</v>
      </c>
      <c r="W18" s="68"/>
      <c r="X18" s="134">
        <v>1</v>
      </c>
    </row>
    <row r="19" spans="3:24">
      <c r="C19" s="121" t="s">
        <v>15</v>
      </c>
      <c r="D19" s="121" t="s">
        <v>15</v>
      </c>
      <c r="E19" s="120" t="s">
        <v>844</v>
      </c>
      <c r="F19" s="68">
        <v>2672573314</v>
      </c>
      <c r="G19" s="121" t="s">
        <v>682</v>
      </c>
      <c r="H19" s="59">
        <v>19438470</v>
      </c>
      <c r="I19" s="60" t="s">
        <v>410</v>
      </c>
      <c r="J19" s="71" t="s">
        <v>56</v>
      </c>
      <c r="K19" s="70" t="s">
        <v>836</v>
      </c>
      <c r="L19" s="70"/>
      <c r="M19" s="121" t="s">
        <v>868</v>
      </c>
      <c r="N19" s="68" t="s">
        <v>733</v>
      </c>
      <c r="O19" s="132" t="s">
        <v>293</v>
      </c>
      <c r="P19" s="68" t="s">
        <v>733</v>
      </c>
      <c r="Q19" s="71" t="s">
        <v>293</v>
      </c>
      <c r="R19" s="68" t="s">
        <v>733</v>
      </c>
      <c r="S19" s="71" t="s">
        <v>293</v>
      </c>
      <c r="T19" s="68" t="s">
        <v>733</v>
      </c>
      <c r="U19" s="68" t="s">
        <v>829</v>
      </c>
      <c r="V19" s="68" t="s">
        <v>827</v>
      </c>
      <c r="W19" s="68"/>
      <c r="X19" s="134">
        <v>1</v>
      </c>
    </row>
    <row r="20" spans="3:24">
      <c r="C20" s="121" t="s">
        <v>15</v>
      </c>
      <c r="D20" s="121" t="s">
        <v>15</v>
      </c>
      <c r="E20" s="120" t="s">
        <v>844</v>
      </c>
      <c r="F20" s="68">
        <v>2672573314</v>
      </c>
      <c r="G20" s="121" t="s">
        <v>684</v>
      </c>
      <c r="H20" s="59">
        <v>21613295</v>
      </c>
      <c r="I20" s="70" t="s">
        <v>730</v>
      </c>
      <c r="J20" s="71" t="s">
        <v>56</v>
      </c>
      <c r="K20" s="70" t="s">
        <v>836</v>
      </c>
      <c r="L20" s="70"/>
      <c r="M20" s="121" t="s">
        <v>868</v>
      </c>
      <c r="N20" s="68" t="s">
        <v>733</v>
      </c>
      <c r="O20" s="132" t="s">
        <v>293</v>
      </c>
      <c r="P20" s="68" t="s">
        <v>733</v>
      </c>
      <c r="Q20" s="71" t="s">
        <v>293</v>
      </c>
      <c r="R20" s="68" t="s">
        <v>733</v>
      </c>
      <c r="S20" s="71" t="s">
        <v>293</v>
      </c>
      <c r="T20" s="68" t="s">
        <v>733</v>
      </c>
      <c r="U20" s="68" t="s">
        <v>827</v>
      </c>
      <c r="V20" s="68" t="s">
        <v>827</v>
      </c>
      <c r="W20" s="68"/>
      <c r="X20" s="134">
        <v>1</v>
      </c>
    </row>
    <row r="21" spans="3:24" ht="13.5" customHeight="1">
      <c r="C21" s="58" t="s">
        <v>15</v>
      </c>
      <c r="D21" s="58" t="s">
        <v>15</v>
      </c>
      <c r="E21" s="120" t="s">
        <v>844</v>
      </c>
      <c r="F21" s="68">
        <v>2672573314</v>
      </c>
      <c r="G21" s="58" t="s">
        <v>424</v>
      </c>
      <c r="H21" s="59">
        <v>10227502</v>
      </c>
      <c r="I21" s="70" t="s">
        <v>730</v>
      </c>
      <c r="J21" s="71" t="s">
        <v>56</v>
      </c>
      <c r="K21" s="70" t="s">
        <v>836</v>
      </c>
      <c r="L21" s="70"/>
      <c r="M21" s="121" t="s">
        <v>292</v>
      </c>
      <c r="N21" s="128">
        <v>45748</v>
      </c>
      <c r="O21" s="132" t="s">
        <v>293</v>
      </c>
      <c r="P21" s="68" t="s">
        <v>733</v>
      </c>
      <c r="Q21" s="71" t="s">
        <v>293</v>
      </c>
      <c r="R21" s="68" t="s">
        <v>733</v>
      </c>
      <c r="S21" s="71" t="s">
        <v>293</v>
      </c>
      <c r="T21" s="68" t="s">
        <v>733</v>
      </c>
      <c r="U21" s="68" t="s">
        <v>829</v>
      </c>
      <c r="V21" s="68" t="s">
        <v>827</v>
      </c>
      <c r="W21" s="68"/>
      <c r="X21" s="134">
        <v>1</v>
      </c>
    </row>
    <row r="22" spans="3:24">
      <c r="C22" s="58" t="s">
        <v>15</v>
      </c>
      <c r="D22" s="58" t="s">
        <v>15</v>
      </c>
      <c r="E22" s="120" t="s">
        <v>844</v>
      </c>
      <c r="F22" s="68">
        <v>2672573314</v>
      </c>
      <c r="G22" s="58" t="s">
        <v>513</v>
      </c>
      <c r="H22" s="59">
        <v>29838138</v>
      </c>
      <c r="I22" s="60" t="s">
        <v>725</v>
      </c>
      <c r="J22" s="71" t="s">
        <v>56</v>
      </c>
      <c r="K22" s="70" t="s">
        <v>836</v>
      </c>
      <c r="L22" s="70"/>
      <c r="M22" s="121" t="s">
        <v>868</v>
      </c>
      <c r="N22" s="68" t="s">
        <v>733</v>
      </c>
      <c r="O22" s="132" t="s">
        <v>293</v>
      </c>
      <c r="P22" s="68" t="s">
        <v>733</v>
      </c>
      <c r="Q22" s="71" t="s">
        <v>293</v>
      </c>
      <c r="R22" s="68" t="s">
        <v>733</v>
      </c>
      <c r="S22" s="71" t="s">
        <v>293</v>
      </c>
      <c r="T22" s="68" t="s">
        <v>733</v>
      </c>
      <c r="U22" s="68" t="s">
        <v>829</v>
      </c>
      <c r="V22" s="68" t="s">
        <v>827</v>
      </c>
      <c r="W22" s="68"/>
      <c r="X22" s="134">
        <v>1</v>
      </c>
    </row>
    <row r="23" spans="3:24">
      <c r="C23" s="58" t="s">
        <v>15</v>
      </c>
      <c r="D23" s="58" t="s">
        <v>15</v>
      </c>
      <c r="E23" s="120" t="s">
        <v>844</v>
      </c>
      <c r="F23" s="68">
        <v>2672573314</v>
      </c>
      <c r="G23" s="58" t="s">
        <v>423</v>
      </c>
      <c r="H23" s="59">
        <v>22842272</v>
      </c>
      <c r="I23" s="70" t="s">
        <v>730</v>
      </c>
      <c r="J23" s="71" t="s">
        <v>56</v>
      </c>
      <c r="K23" s="70" t="s">
        <v>836</v>
      </c>
      <c r="L23" s="70"/>
      <c r="M23" s="121" t="s">
        <v>292</v>
      </c>
      <c r="N23" s="128">
        <v>45748</v>
      </c>
      <c r="O23" s="132" t="s">
        <v>293</v>
      </c>
      <c r="P23" s="68" t="s">
        <v>733</v>
      </c>
      <c r="Q23" s="71" t="s">
        <v>293</v>
      </c>
      <c r="R23" s="68" t="s">
        <v>733</v>
      </c>
      <c r="S23" s="71" t="s">
        <v>293</v>
      </c>
      <c r="T23" s="68" t="s">
        <v>733</v>
      </c>
      <c r="U23" s="68" t="s">
        <v>829</v>
      </c>
      <c r="V23" s="68" t="s">
        <v>827</v>
      </c>
      <c r="W23" s="68"/>
      <c r="X23" s="134">
        <v>1</v>
      </c>
    </row>
    <row r="24" spans="3:24">
      <c r="C24" s="121" t="s">
        <v>15</v>
      </c>
      <c r="D24" s="121" t="s">
        <v>15</v>
      </c>
      <c r="E24" s="120" t="s">
        <v>844</v>
      </c>
      <c r="F24" s="68">
        <v>2672573314</v>
      </c>
      <c r="G24" s="122" t="s">
        <v>680</v>
      </c>
      <c r="H24" s="59">
        <v>27345053</v>
      </c>
      <c r="I24" s="60" t="s">
        <v>706</v>
      </c>
      <c r="J24" s="71" t="s">
        <v>56</v>
      </c>
      <c r="K24" s="70" t="s">
        <v>836</v>
      </c>
      <c r="L24" s="70"/>
      <c r="M24" s="121" t="s">
        <v>292</v>
      </c>
      <c r="N24" s="128">
        <v>45748</v>
      </c>
      <c r="O24" s="132" t="s">
        <v>292</v>
      </c>
      <c r="P24" s="128">
        <v>45748</v>
      </c>
      <c r="Q24" s="71" t="s">
        <v>293</v>
      </c>
      <c r="R24" s="68" t="s">
        <v>733</v>
      </c>
      <c r="S24" s="71" t="s">
        <v>293</v>
      </c>
      <c r="T24" s="68" t="s">
        <v>733</v>
      </c>
      <c r="U24" s="68" t="s">
        <v>829</v>
      </c>
      <c r="V24" s="68" t="s">
        <v>827</v>
      </c>
      <c r="W24" s="68"/>
      <c r="X24" s="134">
        <v>1</v>
      </c>
    </row>
    <row r="25" spans="3:24">
      <c r="C25" s="58" t="s">
        <v>15</v>
      </c>
      <c r="D25" s="58" t="s">
        <v>15</v>
      </c>
      <c r="E25" s="120" t="s">
        <v>844</v>
      </c>
      <c r="F25" s="68">
        <v>2672573314</v>
      </c>
      <c r="G25" s="58" t="s">
        <v>431</v>
      </c>
      <c r="H25" s="59">
        <v>26109784</v>
      </c>
      <c r="I25" s="70" t="s">
        <v>730</v>
      </c>
      <c r="J25" s="71" t="s">
        <v>56</v>
      </c>
      <c r="K25" s="70" t="s">
        <v>836</v>
      </c>
      <c r="L25" s="70"/>
      <c r="M25" s="121" t="s">
        <v>292</v>
      </c>
      <c r="N25" s="128">
        <v>45748</v>
      </c>
      <c r="O25" s="132" t="s">
        <v>293</v>
      </c>
      <c r="P25" s="68" t="s">
        <v>733</v>
      </c>
      <c r="Q25" s="71" t="s">
        <v>293</v>
      </c>
      <c r="R25" s="68" t="s">
        <v>733</v>
      </c>
      <c r="S25" s="71" t="s">
        <v>293</v>
      </c>
      <c r="T25" s="68" t="s">
        <v>733</v>
      </c>
      <c r="U25" s="68" t="s">
        <v>829</v>
      </c>
      <c r="V25" s="68" t="s">
        <v>827</v>
      </c>
      <c r="W25" s="68"/>
      <c r="X25" s="134">
        <v>1</v>
      </c>
    </row>
    <row r="26" spans="3:24">
      <c r="C26" s="58" t="s">
        <v>15</v>
      </c>
      <c r="D26" s="58" t="s">
        <v>15</v>
      </c>
      <c r="E26" s="120" t="s">
        <v>844</v>
      </c>
      <c r="F26" s="68">
        <v>2672573314</v>
      </c>
      <c r="G26" s="58" t="s">
        <v>519</v>
      </c>
      <c r="H26" s="59">
        <v>28065677</v>
      </c>
      <c r="I26" s="60" t="s">
        <v>725</v>
      </c>
      <c r="J26" s="71" t="s">
        <v>56</v>
      </c>
      <c r="K26" s="70" t="s">
        <v>836</v>
      </c>
      <c r="L26" s="70"/>
      <c r="M26" s="121" t="s">
        <v>868</v>
      </c>
      <c r="N26" s="68" t="s">
        <v>733</v>
      </c>
      <c r="O26" s="132" t="s">
        <v>293</v>
      </c>
      <c r="P26" s="68" t="s">
        <v>733</v>
      </c>
      <c r="Q26" s="71" t="s">
        <v>293</v>
      </c>
      <c r="R26" s="68" t="s">
        <v>733</v>
      </c>
      <c r="S26" s="71" t="s">
        <v>293</v>
      </c>
      <c r="T26" s="68" t="s">
        <v>733</v>
      </c>
      <c r="U26" s="68" t="s">
        <v>829</v>
      </c>
      <c r="V26" s="68" t="s">
        <v>827</v>
      </c>
      <c r="W26" s="68"/>
      <c r="X26" s="134">
        <v>1</v>
      </c>
    </row>
    <row r="27" spans="3:24">
      <c r="C27" s="58" t="s">
        <v>15</v>
      </c>
      <c r="D27" s="58" t="s">
        <v>15</v>
      </c>
      <c r="E27" s="120" t="s">
        <v>844</v>
      </c>
      <c r="F27" s="68">
        <v>2672573314</v>
      </c>
      <c r="G27" s="58" t="s">
        <v>430</v>
      </c>
      <c r="H27" s="59">
        <v>25083549</v>
      </c>
      <c r="I27" s="70" t="s">
        <v>730</v>
      </c>
      <c r="J27" s="71" t="s">
        <v>56</v>
      </c>
      <c r="K27" s="70" t="s">
        <v>836</v>
      </c>
      <c r="L27" s="70"/>
      <c r="M27" s="121" t="s">
        <v>292</v>
      </c>
      <c r="N27" s="128">
        <v>45748</v>
      </c>
      <c r="O27" s="132" t="s">
        <v>293</v>
      </c>
      <c r="P27" s="68" t="s">
        <v>733</v>
      </c>
      <c r="Q27" s="71" t="s">
        <v>293</v>
      </c>
      <c r="R27" s="68" t="s">
        <v>733</v>
      </c>
      <c r="S27" s="71" t="s">
        <v>293</v>
      </c>
      <c r="T27" s="68" t="s">
        <v>733</v>
      </c>
      <c r="U27" s="68" t="s">
        <v>827</v>
      </c>
      <c r="V27" s="68" t="s">
        <v>827</v>
      </c>
      <c r="W27" s="68"/>
      <c r="X27" s="134">
        <v>1</v>
      </c>
    </row>
    <row r="28" spans="3:24">
      <c r="C28" s="58" t="s">
        <v>15</v>
      </c>
      <c r="D28" s="58" t="s">
        <v>15</v>
      </c>
      <c r="E28" s="120" t="s">
        <v>844</v>
      </c>
      <c r="F28" s="68">
        <v>2672573314</v>
      </c>
      <c r="G28" s="58" t="s">
        <v>798</v>
      </c>
      <c r="H28" s="59">
        <v>25898015</v>
      </c>
      <c r="I28" s="60" t="s">
        <v>729</v>
      </c>
      <c r="J28" s="71" t="s">
        <v>55</v>
      </c>
      <c r="K28" s="70" t="s">
        <v>836</v>
      </c>
      <c r="L28" s="70"/>
      <c r="M28" s="121" t="s">
        <v>868</v>
      </c>
      <c r="N28" s="68" t="s">
        <v>733</v>
      </c>
      <c r="O28" s="132" t="s">
        <v>293</v>
      </c>
      <c r="P28" s="68" t="s">
        <v>733</v>
      </c>
      <c r="Q28" s="71" t="s">
        <v>293</v>
      </c>
      <c r="R28" s="68" t="s">
        <v>733</v>
      </c>
      <c r="S28" s="71" t="s">
        <v>293</v>
      </c>
      <c r="T28" s="68" t="s">
        <v>733</v>
      </c>
      <c r="U28" s="68" t="s">
        <v>827</v>
      </c>
      <c r="V28" s="68" t="s">
        <v>827</v>
      </c>
      <c r="W28" s="68"/>
      <c r="X28" s="134">
        <v>1</v>
      </c>
    </row>
    <row r="29" spans="3:24">
      <c r="C29" s="58" t="s">
        <v>15</v>
      </c>
      <c r="D29" s="58" t="s">
        <v>15</v>
      </c>
      <c r="E29" s="120" t="s">
        <v>844</v>
      </c>
      <c r="F29" s="68">
        <v>2672573314</v>
      </c>
      <c r="G29" s="58" t="s">
        <v>435</v>
      </c>
      <c r="H29" s="59">
        <v>23517606</v>
      </c>
      <c r="I29" s="70" t="s">
        <v>730</v>
      </c>
      <c r="J29" s="71" t="s">
        <v>56</v>
      </c>
      <c r="K29" s="70" t="s">
        <v>836</v>
      </c>
      <c r="L29" s="70"/>
      <c r="M29" s="121" t="s">
        <v>292</v>
      </c>
      <c r="N29" s="128">
        <v>45748</v>
      </c>
      <c r="O29" s="132" t="s">
        <v>293</v>
      </c>
      <c r="P29" s="68" t="s">
        <v>733</v>
      </c>
      <c r="Q29" s="71" t="s">
        <v>293</v>
      </c>
      <c r="R29" s="68" t="s">
        <v>733</v>
      </c>
      <c r="S29" s="71" t="s">
        <v>293</v>
      </c>
      <c r="T29" s="68" t="s">
        <v>733</v>
      </c>
      <c r="U29" s="68" t="s">
        <v>829</v>
      </c>
      <c r="V29" s="68" t="s">
        <v>827</v>
      </c>
      <c r="W29" s="68"/>
      <c r="X29" s="134">
        <v>1</v>
      </c>
    </row>
    <row r="30" spans="3:24">
      <c r="C30" s="58" t="s">
        <v>15</v>
      </c>
      <c r="D30" s="58" t="s">
        <v>15</v>
      </c>
      <c r="E30" s="120" t="s">
        <v>844</v>
      </c>
      <c r="F30" s="68">
        <v>2672573314</v>
      </c>
      <c r="G30" s="58" t="s">
        <v>434</v>
      </c>
      <c r="H30" s="59">
        <v>31685684</v>
      </c>
      <c r="I30" s="60" t="s">
        <v>725</v>
      </c>
      <c r="J30" s="71" t="s">
        <v>56</v>
      </c>
      <c r="K30" s="70" t="s">
        <v>836</v>
      </c>
      <c r="L30" s="70"/>
      <c r="M30" s="121" t="s">
        <v>292</v>
      </c>
      <c r="N30" s="128">
        <v>45748</v>
      </c>
      <c r="O30" s="132" t="s">
        <v>293</v>
      </c>
      <c r="P30" s="68" t="s">
        <v>733</v>
      </c>
      <c r="Q30" s="71" t="s">
        <v>293</v>
      </c>
      <c r="R30" s="68" t="s">
        <v>733</v>
      </c>
      <c r="S30" s="71" t="s">
        <v>293</v>
      </c>
      <c r="T30" s="68" t="s">
        <v>733</v>
      </c>
      <c r="U30" s="68" t="s">
        <v>827</v>
      </c>
      <c r="V30" s="68" t="s">
        <v>827</v>
      </c>
      <c r="W30" s="68"/>
      <c r="X30" s="134">
        <v>1</v>
      </c>
    </row>
    <row r="31" spans="3:24">
      <c r="C31" s="58" t="s">
        <v>15</v>
      </c>
      <c r="D31" s="58" t="s">
        <v>15</v>
      </c>
      <c r="E31" s="120" t="s">
        <v>844</v>
      </c>
      <c r="F31" s="68">
        <v>2672573314</v>
      </c>
      <c r="G31" s="58" t="s">
        <v>518</v>
      </c>
      <c r="H31" s="59">
        <v>26070568</v>
      </c>
      <c r="I31" s="60" t="s">
        <v>725</v>
      </c>
      <c r="J31" s="71" t="s">
        <v>56</v>
      </c>
      <c r="K31" s="70" t="s">
        <v>836</v>
      </c>
      <c r="L31" s="70"/>
      <c r="M31" s="121" t="s">
        <v>868</v>
      </c>
      <c r="N31" s="68" t="s">
        <v>733</v>
      </c>
      <c r="O31" s="132" t="s">
        <v>293</v>
      </c>
      <c r="P31" s="68" t="s">
        <v>733</v>
      </c>
      <c r="Q31" s="71" t="s">
        <v>293</v>
      </c>
      <c r="R31" s="68" t="s">
        <v>733</v>
      </c>
      <c r="S31" s="71" t="s">
        <v>293</v>
      </c>
      <c r="T31" s="68" t="s">
        <v>733</v>
      </c>
      <c r="U31" s="68" t="s">
        <v>829</v>
      </c>
      <c r="V31" s="68" t="s">
        <v>827</v>
      </c>
      <c r="W31" s="68"/>
      <c r="X31" s="134">
        <v>1</v>
      </c>
    </row>
    <row r="32" spans="3:24">
      <c r="C32" s="58" t="s">
        <v>15</v>
      </c>
      <c r="D32" s="58" t="s">
        <v>15</v>
      </c>
      <c r="E32" s="120" t="s">
        <v>844</v>
      </c>
      <c r="F32" s="68">
        <v>2672573314</v>
      </c>
      <c r="G32" s="58" t="s">
        <v>425</v>
      </c>
      <c r="H32" s="59">
        <v>21311779</v>
      </c>
      <c r="I32" s="70" t="s">
        <v>730</v>
      </c>
      <c r="J32" s="71" t="s">
        <v>56</v>
      </c>
      <c r="K32" s="70" t="s">
        <v>836</v>
      </c>
      <c r="L32" s="70"/>
      <c r="M32" s="121" t="s">
        <v>292</v>
      </c>
      <c r="N32" s="128">
        <v>45748</v>
      </c>
      <c r="O32" s="132" t="s">
        <v>293</v>
      </c>
      <c r="P32" s="68" t="s">
        <v>733</v>
      </c>
      <c r="Q32" s="71" t="s">
        <v>293</v>
      </c>
      <c r="R32" s="68" t="s">
        <v>733</v>
      </c>
      <c r="S32" s="71" t="s">
        <v>293</v>
      </c>
      <c r="T32" s="68" t="s">
        <v>733</v>
      </c>
      <c r="U32" s="68" t="s">
        <v>829</v>
      </c>
      <c r="V32" s="68" t="s">
        <v>827</v>
      </c>
      <c r="W32" s="68"/>
      <c r="X32" s="134">
        <v>1</v>
      </c>
    </row>
    <row r="33" spans="3:24">
      <c r="C33" s="58" t="s">
        <v>15</v>
      </c>
      <c r="D33" s="58" t="s">
        <v>15</v>
      </c>
      <c r="E33" s="120" t="s">
        <v>844</v>
      </c>
      <c r="F33" s="68">
        <v>2672573314</v>
      </c>
      <c r="G33" s="58" t="s">
        <v>814</v>
      </c>
      <c r="H33" s="59">
        <v>24392353</v>
      </c>
      <c r="I33" s="60" t="s">
        <v>725</v>
      </c>
      <c r="J33" s="70" t="s">
        <v>727</v>
      </c>
      <c r="K33" s="70" t="s">
        <v>836</v>
      </c>
      <c r="L33" s="70"/>
      <c r="M33" s="121" t="s">
        <v>868</v>
      </c>
      <c r="N33" s="68" t="s">
        <v>733</v>
      </c>
      <c r="O33" s="132" t="s">
        <v>293</v>
      </c>
      <c r="P33" s="68" t="s">
        <v>733</v>
      </c>
      <c r="Q33" s="71" t="s">
        <v>293</v>
      </c>
      <c r="R33" s="68" t="s">
        <v>733</v>
      </c>
      <c r="S33" s="71" t="s">
        <v>293</v>
      </c>
      <c r="T33" s="68" t="s">
        <v>733</v>
      </c>
      <c r="U33" s="68" t="s">
        <v>829</v>
      </c>
      <c r="V33" s="68" t="s">
        <v>827</v>
      </c>
      <c r="W33" s="68"/>
      <c r="X33" s="134">
        <v>1</v>
      </c>
    </row>
    <row r="34" spans="3:24">
      <c r="C34" s="58" t="s">
        <v>15</v>
      </c>
      <c r="D34" s="58" t="s">
        <v>15</v>
      </c>
      <c r="E34" s="120" t="s">
        <v>844</v>
      </c>
      <c r="F34" s="68">
        <v>2672573314</v>
      </c>
      <c r="G34" s="58" t="s">
        <v>514</v>
      </c>
      <c r="H34" s="59">
        <v>17536067</v>
      </c>
      <c r="I34" s="60" t="s">
        <v>725</v>
      </c>
      <c r="J34" s="71" t="s">
        <v>56</v>
      </c>
      <c r="K34" s="70" t="s">
        <v>836</v>
      </c>
      <c r="L34" s="70"/>
      <c r="M34" s="121" t="s">
        <v>868</v>
      </c>
      <c r="N34" s="68" t="s">
        <v>733</v>
      </c>
      <c r="O34" s="132" t="s">
        <v>293</v>
      </c>
      <c r="P34" s="68" t="s">
        <v>733</v>
      </c>
      <c r="Q34" s="71" t="s">
        <v>293</v>
      </c>
      <c r="R34" s="68" t="s">
        <v>733</v>
      </c>
      <c r="S34" s="71" t="s">
        <v>293</v>
      </c>
      <c r="T34" s="68" t="s">
        <v>733</v>
      </c>
      <c r="U34" s="68" t="s">
        <v>829</v>
      </c>
      <c r="V34" s="68" t="s">
        <v>827</v>
      </c>
      <c r="W34" s="68"/>
      <c r="X34" s="134">
        <v>1</v>
      </c>
    </row>
    <row r="35" spans="3:24">
      <c r="C35" s="58" t="s">
        <v>15</v>
      </c>
      <c r="D35" s="58" t="s">
        <v>15</v>
      </c>
      <c r="E35" s="120" t="s">
        <v>844</v>
      </c>
      <c r="F35" s="68">
        <v>2672573314</v>
      </c>
      <c r="G35" s="58" t="s">
        <v>787</v>
      </c>
      <c r="H35" s="52">
        <v>20330026</v>
      </c>
      <c r="I35" s="60" t="s">
        <v>729</v>
      </c>
      <c r="J35" s="71" t="s">
        <v>55</v>
      </c>
      <c r="K35" s="70" t="s">
        <v>836</v>
      </c>
      <c r="L35" s="70"/>
      <c r="M35" s="121" t="s">
        <v>868</v>
      </c>
      <c r="N35" s="68" t="s">
        <v>733</v>
      </c>
      <c r="O35" s="132" t="s">
        <v>293</v>
      </c>
      <c r="P35" s="68" t="s">
        <v>733</v>
      </c>
      <c r="Q35" s="71" t="s">
        <v>293</v>
      </c>
      <c r="R35" s="68" t="s">
        <v>733</v>
      </c>
      <c r="S35" s="71" t="s">
        <v>293</v>
      </c>
      <c r="T35" s="68" t="s">
        <v>733</v>
      </c>
      <c r="U35" s="68" t="s">
        <v>829</v>
      </c>
      <c r="V35" s="68" t="s">
        <v>827</v>
      </c>
      <c r="W35" s="68"/>
      <c r="X35" s="134">
        <v>1</v>
      </c>
    </row>
    <row r="36" spans="3:24">
      <c r="C36" s="58" t="s">
        <v>15</v>
      </c>
      <c r="D36" s="58" t="s">
        <v>15</v>
      </c>
      <c r="E36" s="120" t="s">
        <v>844</v>
      </c>
      <c r="F36" s="68">
        <v>2672573314</v>
      </c>
      <c r="G36" s="58" t="s">
        <v>439</v>
      </c>
      <c r="H36" s="59">
        <v>28159627</v>
      </c>
      <c r="I36" s="60" t="s">
        <v>725</v>
      </c>
      <c r="J36" s="71" t="s">
        <v>56</v>
      </c>
      <c r="K36" s="70" t="s">
        <v>836</v>
      </c>
      <c r="L36" s="70"/>
      <c r="M36" s="121" t="s">
        <v>292</v>
      </c>
      <c r="N36" s="128">
        <v>45748</v>
      </c>
      <c r="O36" s="132" t="s">
        <v>293</v>
      </c>
      <c r="P36" s="68" t="s">
        <v>733</v>
      </c>
      <c r="Q36" s="71" t="s">
        <v>293</v>
      </c>
      <c r="R36" s="68" t="s">
        <v>733</v>
      </c>
      <c r="S36" s="71" t="s">
        <v>293</v>
      </c>
      <c r="T36" s="68" t="s">
        <v>733</v>
      </c>
      <c r="U36" s="68" t="s">
        <v>829</v>
      </c>
      <c r="V36" s="68" t="s">
        <v>827</v>
      </c>
      <c r="W36" s="68"/>
      <c r="X36" s="134">
        <v>1</v>
      </c>
    </row>
    <row r="37" spans="3:24">
      <c r="C37" s="58" t="s">
        <v>15</v>
      </c>
      <c r="D37" s="58" t="s">
        <v>15</v>
      </c>
      <c r="E37" s="120" t="s">
        <v>844</v>
      </c>
      <c r="F37" s="68">
        <v>2672573314</v>
      </c>
      <c r="G37" s="58" t="s">
        <v>686</v>
      </c>
      <c r="H37" s="59">
        <v>27928441</v>
      </c>
      <c r="I37" s="70" t="s">
        <v>730</v>
      </c>
      <c r="J37" s="71" t="s">
        <v>56</v>
      </c>
      <c r="K37" s="70" t="s">
        <v>836</v>
      </c>
      <c r="L37" s="70"/>
      <c r="M37" s="121" t="s">
        <v>868</v>
      </c>
      <c r="N37" s="68" t="s">
        <v>733</v>
      </c>
      <c r="O37" s="132" t="s">
        <v>293</v>
      </c>
      <c r="P37" s="68" t="s">
        <v>733</v>
      </c>
      <c r="Q37" s="71" t="s">
        <v>293</v>
      </c>
      <c r="R37" s="68" t="s">
        <v>733</v>
      </c>
      <c r="S37" s="71" t="s">
        <v>293</v>
      </c>
      <c r="T37" s="68" t="s">
        <v>733</v>
      </c>
      <c r="U37" s="68" t="s">
        <v>829</v>
      </c>
      <c r="V37" s="68" t="s">
        <v>827</v>
      </c>
      <c r="W37" s="68"/>
      <c r="X37" s="134">
        <v>1</v>
      </c>
    </row>
    <row r="38" spans="3:24">
      <c r="C38" s="58" t="s">
        <v>15</v>
      </c>
      <c r="D38" s="58" t="s">
        <v>15</v>
      </c>
      <c r="E38" s="120" t="s">
        <v>844</v>
      </c>
      <c r="F38" s="68">
        <v>2672573314</v>
      </c>
      <c r="G38" s="58" t="s">
        <v>830</v>
      </c>
      <c r="H38" s="59">
        <v>27080096</v>
      </c>
      <c r="I38" s="60" t="s">
        <v>706</v>
      </c>
      <c r="J38" s="71" t="s">
        <v>727</v>
      </c>
      <c r="K38" s="70" t="s">
        <v>836</v>
      </c>
      <c r="L38" s="70"/>
      <c r="M38" s="121" t="s">
        <v>868</v>
      </c>
      <c r="N38" s="68" t="s">
        <v>733</v>
      </c>
      <c r="O38" s="132" t="s">
        <v>293</v>
      </c>
      <c r="P38" s="68" t="s">
        <v>733</v>
      </c>
      <c r="Q38" s="71" t="s">
        <v>293</v>
      </c>
      <c r="R38" s="68" t="s">
        <v>733</v>
      </c>
      <c r="S38" s="71" t="s">
        <v>293</v>
      </c>
      <c r="T38" s="68" t="s">
        <v>733</v>
      </c>
      <c r="U38" s="68" t="s">
        <v>829</v>
      </c>
      <c r="V38" s="68" t="s">
        <v>827</v>
      </c>
      <c r="W38" s="68"/>
      <c r="X38" s="134">
        <v>1</v>
      </c>
    </row>
    <row r="39" spans="3:24">
      <c r="C39" s="58" t="s">
        <v>15</v>
      </c>
      <c r="D39" s="58" t="s">
        <v>15</v>
      </c>
      <c r="E39" s="120" t="s">
        <v>844</v>
      </c>
      <c r="F39" s="68">
        <v>2672573314</v>
      </c>
      <c r="G39" s="58" t="s">
        <v>436</v>
      </c>
      <c r="H39" s="59">
        <v>14828999</v>
      </c>
      <c r="I39" s="70" t="s">
        <v>730</v>
      </c>
      <c r="J39" s="71" t="s">
        <v>56</v>
      </c>
      <c r="K39" s="70" t="s">
        <v>836</v>
      </c>
      <c r="L39" s="70"/>
      <c r="M39" s="121" t="s">
        <v>292</v>
      </c>
      <c r="N39" s="128">
        <v>45748</v>
      </c>
      <c r="O39" s="132" t="s">
        <v>293</v>
      </c>
      <c r="P39" s="68" t="s">
        <v>733</v>
      </c>
      <c r="Q39" s="71" t="s">
        <v>293</v>
      </c>
      <c r="R39" s="68" t="s">
        <v>733</v>
      </c>
      <c r="S39" s="71" t="s">
        <v>293</v>
      </c>
      <c r="T39" s="68" t="s">
        <v>733</v>
      </c>
      <c r="U39" s="68" t="s">
        <v>829</v>
      </c>
      <c r="V39" s="68" t="s">
        <v>827</v>
      </c>
      <c r="W39" s="68"/>
      <c r="X39" s="134">
        <v>1</v>
      </c>
    </row>
    <row r="40" spans="3:24">
      <c r="C40" s="94" t="s">
        <v>15</v>
      </c>
      <c r="D40" s="94" t="s">
        <v>15</v>
      </c>
      <c r="E40" s="123" t="s">
        <v>844</v>
      </c>
      <c r="F40" s="98">
        <v>2672573314</v>
      </c>
      <c r="G40" s="94" t="s">
        <v>517</v>
      </c>
      <c r="H40" s="95">
        <v>19961459</v>
      </c>
      <c r="I40" s="94" t="s">
        <v>730</v>
      </c>
      <c r="J40" s="97" t="s">
        <v>56</v>
      </c>
      <c r="K40" s="94" t="s">
        <v>836</v>
      </c>
      <c r="L40" s="94"/>
      <c r="M40" s="97" t="s">
        <v>868</v>
      </c>
      <c r="N40" s="98" t="s">
        <v>733</v>
      </c>
      <c r="O40" s="130" t="s">
        <v>869</v>
      </c>
      <c r="P40" s="99" t="s">
        <v>733</v>
      </c>
      <c r="Q40" s="97" t="s">
        <v>869</v>
      </c>
      <c r="R40" s="99" t="s">
        <v>733</v>
      </c>
      <c r="S40" s="97" t="s">
        <v>869</v>
      </c>
      <c r="T40" s="98" t="s">
        <v>733</v>
      </c>
      <c r="U40" s="98" t="s">
        <v>829</v>
      </c>
      <c r="V40" s="98" t="s">
        <v>827</v>
      </c>
      <c r="W40" s="98" t="s">
        <v>863</v>
      </c>
      <c r="X40" s="139">
        <v>1</v>
      </c>
    </row>
    <row r="41" spans="3:24">
      <c r="C41" s="58" t="s">
        <v>15</v>
      </c>
      <c r="D41" s="58" t="s">
        <v>15</v>
      </c>
      <c r="E41" s="120" t="s">
        <v>844</v>
      </c>
      <c r="F41" s="68">
        <v>2672573314</v>
      </c>
      <c r="G41" s="58" t="s">
        <v>512</v>
      </c>
      <c r="H41" s="59">
        <v>27949628</v>
      </c>
      <c r="I41" s="70" t="s">
        <v>730</v>
      </c>
      <c r="J41" s="71" t="s">
        <v>56</v>
      </c>
      <c r="K41" s="70" t="s">
        <v>836</v>
      </c>
      <c r="L41" s="70"/>
      <c r="M41" s="121" t="s">
        <v>868</v>
      </c>
      <c r="N41" s="68" t="s">
        <v>733</v>
      </c>
      <c r="O41" s="132" t="s">
        <v>293</v>
      </c>
      <c r="P41" s="68" t="s">
        <v>733</v>
      </c>
      <c r="Q41" s="71" t="s">
        <v>293</v>
      </c>
      <c r="R41" s="68" t="s">
        <v>733</v>
      </c>
      <c r="S41" s="71" t="s">
        <v>293</v>
      </c>
      <c r="T41" s="68" t="s">
        <v>733</v>
      </c>
      <c r="U41" s="68" t="s">
        <v>829</v>
      </c>
      <c r="V41" s="68" t="s">
        <v>827</v>
      </c>
      <c r="W41" s="68"/>
      <c r="X41" s="134">
        <v>1</v>
      </c>
    </row>
    <row r="42" spans="3:24">
      <c r="C42" s="58" t="s">
        <v>15</v>
      </c>
      <c r="D42" s="58" t="s">
        <v>15</v>
      </c>
      <c r="E42" s="120" t="s">
        <v>844</v>
      </c>
      <c r="F42" s="68">
        <v>2672573314</v>
      </c>
      <c r="G42" s="58" t="s">
        <v>790</v>
      </c>
      <c r="H42" s="52">
        <v>21080443</v>
      </c>
      <c r="I42" s="60" t="s">
        <v>729</v>
      </c>
      <c r="J42" s="71" t="s">
        <v>55</v>
      </c>
      <c r="K42" s="70" t="s">
        <v>836</v>
      </c>
      <c r="L42" s="70"/>
      <c r="M42" s="121" t="s">
        <v>868</v>
      </c>
      <c r="N42" s="68" t="s">
        <v>733</v>
      </c>
      <c r="O42" s="132" t="s">
        <v>293</v>
      </c>
      <c r="P42" s="68" t="s">
        <v>733</v>
      </c>
      <c r="Q42" s="71" t="s">
        <v>293</v>
      </c>
      <c r="R42" s="68" t="s">
        <v>733</v>
      </c>
      <c r="S42" s="71" t="s">
        <v>293</v>
      </c>
      <c r="T42" s="68" t="s">
        <v>733</v>
      </c>
      <c r="U42" s="68" t="s">
        <v>829</v>
      </c>
      <c r="V42" s="68" t="s">
        <v>827</v>
      </c>
      <c r="W42" s="68"/>
      <c r="X42" s="134">
        <v>1</v>
      </c>
    </row>
    <row r="43" spans="3:24">
      <c r="C43" s="58" t="s">
        <v>15</v>
      </c>
      <c r="D43" s="58" t="s">
        <v>15</v>
      </c>
      <c r="E43" s="120" t="s">
        <v>844</v>
      </c>
      <c r="F43" s="68">
        <v>2672573314</v>
      </c>
      <c r="G43" s="58" t="s">
        <v>772</v>
      </c>
      <c r="H43" s="52">
        <v>27299368</v>
      </c>
      <c r="I43" s="60" t="s">
        <v>729</v>
      </c>
      <c r="J43" s="71" t="s">
        <v>755</v>
      </c>
      <c r="K43" s="70" t="s">
        <v>836</v>
      </c>
      <c r="L43" s="70"/>
      <c r="M43" s="121" t="s">
        <v>868</v>
      </c>
      <c r="N43" s="68" t="s">
        <v>733</v>
      </c>
      <c r="O43" s="132" t="s">
        <v>293</v>
      </c>
      <c r="P43" s="68" t="s">
        <v>733</v>
      </c>
      <c r="Q43" s="71" t="s">
        <v>293</v>
      </c>
      <c r="R43" s="68" t="s">
        <v>733</v>
      </c>
      <c r="S43" s="71" t="s">
        <v>293</v>
      </c>
      <c r="T43" s="68" t="s">
        <v>733</v>
      </c>
      <c r="U43" s="68" t="s">
        <v>829</v>
      </c>
      <c r="V43" s="68" t="s">
        <v>827</v>
      </c>
      <c r="W43" s="68"/>
      <c r="X43" s="134">
        <v>1</v>
      </c>
    </row>
    <row r="44" spans="3:24">
      <c r="C44" s="58" t="s">
        <v>15</v>
      </c>
      <c r="D44" s="58" t="s">
        <v>15</v>
      </c>
      <c r="E44" s="120" t="s">
        <v>844</v>
      </c>
      <c r="F44" s="68">
        <v>2672573314</v>
      </c>
      <c r="G44" s="58" t="s">
        <v>831</v>
      </c>
      <c r="H44" s="59">
        <v>25244932</v>
      </c>
      <c r="I44" s="60" t="s">
        <v>410</v>
      </c>
      <c r="J44" s="71" t="s">
        <v>752</v>
      </c>
      <c r="K44" s="70" t="s">
        <v>836</v>
      </c>
      <c r="L44" s="70"/>
      <c r="M44" s="121" t="s">
        <v>868</v>
      </c>
      <c r="N44" s="68" t="s">
        <v>733</v>
      </c>
      <c r="O44" s="132" t="s">
        <v>293</v>
      </c>
      <c r="P44" s="68" t="s">
        <v>733</v>
      </c>
      <c r="Q44" s="71" t="s">
        <v>293</v>
      </c>
      <c r="R44" s="68" t="s">
        <v>733</v>
      </c>
      <c r="S44" s="71" t="s">
        <v>293</v>
      </c>
      <c r="T44" s="68" t="s">
        <v>733</v>
      </c>
      <c r="U44" s="68" t="s">
        <v>829</v>
      </c>
      <c r="V44" s="68" t="s">
        <v>827</v>
      </c>
      <c r="W44" s="68"/>
      <c r="X44" s="134">
        <v>1</v>
      </c>
    </row>
    <row r="45" spans="3:24">
      <c r="C45" s="58" t="s">
        <v>15</v>
      </c>
      <c r="D45" s="58" t="s">
        <v>15</v>
      </c>
      <c r="E45" s="120" t="s">
        <v>844</v>
      </c>
      <c r="F45" s="68">
        <v>2672573314</v>
      </c>
      <c r="G45" s="58" t="s">
        <v>688</v>
      </c>
      <c r="H45" s="59">
        <v>28560105</v>
      </c>
      <c r="I45" s="70" t="s">
        <v>730</v>
      </c>
      <c r="J45" s="71" t="s">
        <v>56</v>
      </c>
      <c r="K45" s="70" t="s">
        <v>836</v>
      </c>
      <c r="L45" s="70"/>
      <c r="M45" s="121" t="s">
        <v>868</v>
      </c>
      <c r="N45" s="68" t="s">
        <v>733</v>
      </c>
      <c r="O45" s="132" t="s">
        <v>293</v>
      </c>
      <c r="P45" s="68" t="s">
        <v>733</v>
      </c>
      <c r="Q45" s="71" t="s">
        <v>293</v>
      </c>
      <c r="R45" s="68" t="s">
        <v>733</v>
      </c>
      <c r="S45" s="71" t="s">
        <v>293</v>
      </c>
      <c r="T45" s="68" t="s">
        <v>733</v>
      </c>
      <c r="U45" s="68" t="s">
        <v>829</v>
      </c>
      <c r="V45" s="68" t="s">
        <v>827</v>
      </c>
      <c r="W45" s="68"/>
      <c r="X45" s="134">
        <v>1</v>
      </c>
    </row>
    <row r="46" spans="3:24">
      <c r="C46" s="58" t="s">
        <v>15</v>
      </c>
      <c r="D46" s="58" t="s">
        <v>15</v>
      </c>
      <c r="E46" s="120" t="s">
        <v>844</v>
      </c>
      <c r="F46" s="68">
        <v>2672573314</v>
      </c>
      <c r="G46" s="58" t="s">
        <v>687</v>
      </c>
      <c r="H46" s="59">
        <v>29807214</v>
      </c>
      <c r="I46" s="70" t="s">
        <v>730</v>
      </c>
      <c r="J46" s="71" t="s">
        <v>56</v>
      </c>
      <c r="K46" s="70" t="s">
        <v>836</v>
      </c>
      <c r="L46" s="70"/>
      <c r="M46" s="121" t="s">
        <v>868</v>
      </c>
      <c r="N46" s="68" t="s">
        <v>733</v>
      </c>
      <c r="O46" s="132" t="s">
        <v>293</v>
      </c>
      <c r="P46" s="68" t="s">
        <v>733</v>
      </c>
      <c r="Q46" s="71" t="s">
        <v>293</v>
      </c>
      <c r="R46" s="68" t="s">
        <v>733</v>
      </c>
      <c r="S46" s="71" t="s">
        <v>293</v>
      </c>
      <c r="T46" s="68" t="s">
        <v>733</v>
      </c>
      <c r="U46" s="68" t="s">
        <v>829</v>
      </c>
      <c r="V46" s="68" t="s">
        <v>827</v>
      </c>
      <c r="W46" s="68"/>
      <c r="X46" s="134">
        <v>1</v>
      </c>
    </row>
    <row r="47" spans="3:24">
      <c r="C47" s="58" t="s">
        <v>15</v>
      </c>
      <c r="D47" s="58" t="s">
        <v>15</v>
      </c>
      <c r="E47" s="120" t="s">
        <v>844</v>
      </c>
      <c r="F47" s="68">
        <v>2672573314</v>
      </c>
      <c r="G47" s="58" t="s">
        <v>420</v>
      </c>
      <c r="H47" s="59">
        <v>24827965</v>
      </c>
      <c r="I47" s="70" t="s">
        <v>730</v>
      </c>
      <c r="J47" s="71" t="s">
        <v>56</v>
      </c>
      <c r="K47" s="70" t="s">
        <v>836</v>
      </c>
      <c r="L47" s="70"/>
      <c r="M47" s="121" t="s">
        <v>292</v>
      </c>
      <c r="N47" s="128">
        <v>45748</v>
      </c>
      <c r="O47" s="132" t="s">
        <v>293</v>
      </c>
      <c r="P47" s="68" t="s">
        <v>733</v>
      </c>
      <c r="Q47" s="71" t="s">
        <v>293</v>
      </c>
      <c r="R47" s="68" t="s">
        <v>733</v>
      </c>
      <c r="S47" s="71" t="s">
        <v>293</v>
      </c>
      <c r="T47" s="68" t="s">
        <v>733</v>
      </c>
      <c r="U47" s="68" t="s">
        <v>829</v>
      </c>
      <c r="V47" s="68" t="s">
        <v>827</v>
      </c>
      <c r="W47" s="68"/>
      <c r="X47" s="134">
        <v>1</v>
      </c>
    </row>
    <row r="48" spans="3:24" s="70" customFormat="1">
      <c r="C48" s="58" t="s">
        <v>15</v>
      </c>
      <c r="D48" s="58" t="s">
        <v>15</v>
      </c>
      <c r="E48" s="120" t="s">
        <v>844</v>
      </c>
      <c r="F48" s="68">
        <v>2672573314</v>
      </c>
      <c r="G48" s="58" t="s">
        <v>832</v>
      </c>
      <c r="H48" s="59">
        <v>19854687</v>
      </c>
      <c r="I48" s="60" t="s">
        <v>706</v>
      </c>
      <c r="J48" s="71" t="s">
        <v>750</v>
      </c>
      <c r="K48" s="70" t="s">
        <v>836</v>
      </c>
      <c r="M48" s="121" t="s">
        <v>868</v>
      </c>
      <c r="N48" s="68" t="s">
        <v>733</v>
      </c>
      <c r="O48" s="132" t="s">
        <v>293</v>
      </c>
      <c r="P48" s="68" t="s">
        <v>733</v>
      </c>
      <c r="Q48" s="71" t="s">
        <v>293</v>
      </c>
      <c r="R48" s="68" t="s">
        <v>733</v>
      </c>
      <c r="S48" s="71" t="s">
        <v>293</v>
      </c>
      <c r="T48" s="68" t="s">
        <v>733</v>
      </c>
      <c r="U48" s="68" t="s">
        <v>829</v>
      </c>
      <c r="V48" s="68" t="s">
        <v>827</v>
      </c>
      <c r="W48" s="68"/>
      <c r="X48" s="134">
        <v>1</v>
      </c>
    </row>
    <row r="49" spans="3:24" s="70" customFormat="1">
      <c r="C49" s="58" t="s">
        <v>15</v>
      </c>
      <c r="D49" s="58" t="s">
        <v>15</v>
      </c>
      <c r="E49" s="120" t="s">
        <v>844</v>
      </c>
      <c r="F49" s="68">
        <v>2672573314</v>
      </c>
      <c r="G49" s="58" t="s">
        <v>510</v>
      </c>
      <c r="H49" s="59">
        <v>28580507</v>
      </c>
      <c r="I49" s="60" t="s">
        <v>725</v>
      </c>
      <c r="J49" s="71" t="s">
        <v>53</v>
      </c>
      <c r="K49" s="70" t="s">
        <v>836</v>
      </c>
      <c r="M49" s="121" t="s">
        <v>868</v>
      </c>
      <c r="N49" s="68" t="s">
        <v>733</v>
      </c>
      <c r="O49" s="132" t="s">
        <v>293</v>
      </c>
      <c r="P49" s="68" t="s">
        <v>733</v>
      </c>
      <c r="Q49" s="71" t="s">
        <v>293</v>
      </c>
      <c r="R49" s="68" t="s">
        <v>733</v>
      </c>
      <c r="S49" s="71" t="s">
        <v>293</v>
      </c>
      <c r="T49" s="68" t="s">
        <v>733</v>
      </c>
      <c r="U49" s="68" t="s">
        <v>829</v>
      </c>
      <c r="V49" s="68" t="s">
        <v>827</v>
      </c>
      <c r="W49" s="68"/>
      <c r="X49" s="134">
        <v>1</v>
      </c>
    </row>
    <row r="50" spans="3:24" s="70" customFormat="1">
      <c r="C50" s="58" t="s">
        <v>15</v>
      </c>
      <c r="D50" s="58" t="s">
        <v>15</v>
      </c>
      <c r="E50" s="120" t="s">
        <v>844</v>
      </c>
      <c r="F50" s="68">
        <v>2672573314</v>
      </c>
      <c r="G50" s="58" t="s">
        <v>516</v>
      </c>
      <c r="H50" s="59">
        <v>20096292</v>
      </c>
      <c r="I50" s="70" t="s">
        <v>730</v>
      </c>
      <c r="J50" s="71" t="s">
        <v>56</v>
      </c>
      <c r="K50" s="70" t="s">
        <v>836</v>
      </c>
      <c r="M50" s="121" t="s">
        <v>868</v>
      </c>
      <c r="N50" s="68" t="s">
        <v>733</v>
      </c>
      <c r="O50" s="132" t="s">
        <v>293</v>
      </c>
      <c r="P50" s="68" t="s">
        <v>733</v>
      </c>
      <c r="Q50" s="71" t="s">
        <v>293</v>
      </c>
      <c r="R50" s="68" t="s">
        <v>733</v>
      </c>
      <c r="S50" s="71" t="s">
        <v>293</v>
      </c>
      <c r="T50" s="68" t="s">
        <v>733</v>
      </c>
      <c r="U50" s="68" t="s">
        <v>829</v>
      </c>
      <c r="V50" s="68" t="s">
        <v>827</v>
      </c>
      <c r="W50" s="68"/>
      <c r="X50" s="134">
        <v>1</v>
      </c>
    </row>
    <row r="51" spans="3:24" s="70" customFormat="1">
      <c r="C51" s="58" t="s">
        <v>15</v>
      </c>
      <c r="D51" s="58" t="s">
        <v>15</v>
      </c>
      <c r="E51" s="120" t="s">
        <v>844</v>
      </c>
      <c r="F51" s="68">
        <v>2672573314</v>
      </c>
      <c r="G51" s="58" t="s">
        <v>433</v>
      </c>
      <c r="H51" s="59">
        <v>28625242</v>
      </c>
      <c r="I51" s="70" t="s">
        <v>730</v>
      </c>
      <c r="J51" s="71" t="s">
        <v>56</v>
      </c>
      <c r="K51" s="70" t="s">
        <v>836</v>
      </c>
      <c r="M51" s="121" t="s">
        <v>292</v>
      </c>
      <c r="N51" s="128">
        <v>45748</v>
      </c>
      <c r="O51" s="132" t="s">
        <v>293</v>
      </c>
      <c r="P51" s="68" t="s">
        <v>733</v>
      </c>
      <c r="Q51" s="71" t="s">
        <v>293</v>
      </c>
      <c r="R51" s="68" t="s">
        <v>733</v>
      </c>
      <c r="S51" s="71" t="s">
        <v>293</v>
      </c>
      <c r="T51" s="68" t="s">
        <v>733</v>
      </c>
      <c r="U51" s="68" t="s">
        <v>827</v>
      </c>
      <c r="V51" s="68" t="s">
        <v>827</v>
      </c>
      <c r="W51" s="68"/>
      <c r="X51" s="134">
        <v>1</v>
      </c>
    </row>
    <row r="52" spans="3:24" s="70" customFormat="1">
      <c r="C52" s="58" t="s">
        <v>15</v>
      </c>
      <c r="D52" s="58" t="s">
        <v>15</v>
      </c>
      <c r="E52" s="120" t="s">
        <v>844</v>
      </c>
      <c r="F52" s="68">
        <v>2672573314</v>
      </c>
      <c r="G52" s="58" t="s">
        <v>833</v>
      </c>
      <c r="H52" s="59">
        <v>27299256</v>
      </c>
      <c r="I52" s="60" t="s">
        <v>410</v>
      </c>
      <c r="J52" s="71" t="s">
        <v>727</v>
      </c>
      <c r="K52" s="70" t="s">
        <v>836</v>
      </c>
      <c r="M52" s="121" t="s">
        <v>868</v>
      </c>
      <c r="N52" s="68" t="s">
        <v>733</v>
      </c>
      <c r="O52" s="132" t="s">
        <v>293</v>
      </c>
      <c r="P52" s="68" t="s">
        <v>733</v>
      </c>
      <c r="Q52" s="71" t="s">
        <v>293</v>
      </c>
      <c r="R52" s="68" t="s">
        <v>733</v>
      </c>
      <c r="S52" s="71" t="s">
        <v>293</v>
      </c>
      <c r="T52" s="68" t="s">
        <v>733</v>
      </c>
      <c r="U52" s="68" t="s">
        <v>829</v>
      </c>
      <c r="V52" s="68" t="s">
        <v>827</v>
      </c>
      <c r="W52" s="68"/>
      <c r="X52" s="134">
        <v>1</v>
      </c>
    </row>
    <row r="53" spans="3:24" s="70" customFormat="1">
      <c r="C53" s="58" t="s">
        <v>15</v>
      </c>
      <c r="D53" s="58" t="s">
        <v>15</v>
      </c>
      <c r="E53" s="120" t="s">
        <v>844</v>
      </c>
      <c r="F53" s="68">
        <v>2672573314</v>
      </c>
      <c r="G53" s="58" t="s">
        <v>428</v>
      </c>
      <c r="H53" s="59">
        <v>17972077</v>
      </c>
      <c r="I53" s="70" t="s">
        <v>730</v>
      </c>
      <c r="J53" s="71" t="s">
        <v>56</v>
      </c>
      <c r="K53" s="70" t="s">
        <v>836</v>
      </c>
      <c r="M53" s="121" t="s">
        <v>292</v>
      </c>
      <c r="N53" s="128">
        <v>45748</v>
      </c>
      <c r="O53" s="132" t="s">
        <v>293</v>
      </c>
      <c r="P53" s="68" t="s">
        <v>733</v>
      </c>
      <c r="Q53" s="71" t="s">
        <v>293</v>
      </c>
      <c r="R53" s="68" t="s">
        <v>733</v>
      </c>
      <c r="S53" s="71" t="s">
        <v>293</v>
      </c>
      <c r="T53" s="68" t="s">
        <v>733</v>
      </c>
      <c r="U53" s="68" t="s">
        <v>829</v>
      </c>
      <c r="V53" s="68" t="s">
        <v>827</v>
      </c>
      <c r="W53" s="68"/>
      <c r="X53" s="134">
        <v>1</v>
      </c>
    </row>
    <row r="54" spans="3:24">
      <c r="C54" s="58" t="s">
        <v>257</v>
      </c>
      <c r="D54" s="58" t="s">
        <v>257</v>
      </c>
      <c r="E54" s="120" t="s">
        <v>844</v>
      </c>
      <c r="F54" s="68">
        <v>2672573314</v>
      </c>
      <c r="G54" s="58" t="s">
        <v>520</v>
      </c>
      <c r="H54" s="59">
        <v>7927906</v>
      </c>
      <c r="I54" s="60" t="s">
        <v>410</v>
      </c>
      <c r="J54" s="71" t="s">
        <v>56</v>
      </c>
      <c r="K54" s="70" t="s">
        <v>838</v>
      </c>
      <c r="L54" s="70"/>
      <c r="M54" s="121" t="s">
        <v>868</v>
      </c>
      <c r="N54" s="68" t="s">
        <v>733</v>
      </c>
      <c r="O54" s="132" t="s">
        <v>293</v>
      </c>
      <c r="P54" s="68" t="s">
        <v>733</v>
      </c>
      <c r="Q54" s="71" t="s">
        <v>293</v>
      </c>
      <c r="R54" s="68" t="s">
        <v>733</v>
      </c>
      <c r="S54" s="71" t="s">
        <v>293</v>
      </c>
      <c r="T54" s="68" t="s">
        <v>733</v>
      </c>
      <c r="U54" s="68"/>
      <c r="V54" s="68" t="s">
        <v>827</v>
      </c>
      <c r="W54" s="68"/>
      <c r="X54" s="134">
        <v>1</v>
      </c>
    </row>
    <row r="55" spans="3:24">
      <c r="C55" s="58" t="s">
        <v>257</v>
      </c>
      <c r="D55" s="58" t="s">
        <v>257</v>
      </c>
      <c r="E55" s="120" t="s">
        <v>844</v>
      </c>
      <c r="F55" s="68">
        <v>2672573314</v>
      </c>
      <c r="G55" s="58" t="s">
        <v>521</v>
      </c>
      <c r="H55" s="59">
        <v>19405719</v>
      </c>
      <c r="I55" s="70" t="s">
        <v>730</v>
      </c>
      <c r="J55" s="71" t="s">
        <v>56</v>
      </c>
      <c r="K55" s="70" t="s">
        <v>838</v>
      </c>
      <c r="L55" s="70"/>
      <c r="M55" s="121" t="s">
        <v>868</v>
      </c>
      <c r="N55" s="68" t="s">
        <v>733</v>
      </c>
      <c r="O55" s="132" t="s">
        <v>293</v>
      </c>
      <c r="P55" s="68" t="s">
        <v>733</v>
      </c>
      <c r="Q55" s="71" t="s">
        <v>293</v>
      </c>
      <c r="R55" s="68" t="s">
        <v>733</v>
      </c>
      <c r="S55" s="71" t="s">
        <v>293</v>
      </c>
      <c r="T55" s="68" t="s">
        <v>733</v>
      </c>
      <c r="U55" s="68"/>
      <c r="V55" s="68" t="s">
        <v>827</v>
      </c>
      <c r="W55" s="68"/>
      <c r="X55" s="134">
        <v>1</v>
      </c>
    </row>
    <row r="56" spans="3:24">
      <c r="C56" s="58" t="s">
        <v>257</v>
      </c>
      <c r="D56" s="58" t="s">
        <v>257</v>
      </c>
      <c r="E56" s="120" t="s">
        <v>844</v>
      </c>
      <c r="F56" s="68">
        <v>2672573314</v>
      </c>
      <c r="G56" s="58" t="s">
        <v>522</v>
      </c>
      <c r="H56" s="59">
        <v>18147774</v>
      </c>
      <c r="I56" s="60" t="s">
        <v>725</v>
      </c>
      <c r="J56" s="71" t="s">
        <v>56</v>
      </c>
      <c r="K56" s="70" t="s">
        <v>838</v>
      </c>
      <c r="L56" s="70"/>
      <c r="M56" s="121" t="s">
        <v>868</v>
      </c>
      <c r="N56" s="68" t="s">
        <v>733</v>
      </c>
      <c r="O56" s="132" t="s">
        <v>293</v>
      </c>
      <c r="P56" s="68" t="s">
        <v>733</v>
      </c>
      <c r="Q56" s="71" t="s">
        <v>293</v>
      </c>
      <c r="R56" s="68" t="s">
        <v>733</v>
      </c>
      <c r="S56" s="71" t="s">
        <v>293</v>
      </c>
      <c r="T56" s="68" t="s">
        <v>733</v>
      </c>
      <c r="U56" s="68"/>
      <c r="V56" s="68" t="s">
        <v>827</v>
      </c>
      <c r="W56" s="68"/>
      <c r="X56" s="134">
        <v>1</v>
      </c>
    </row>
    <row r="57" spans="3:24">
      <c r="C57" s="58" t="s">
        <v>257</v>
      </c>
      <c r="D57" s="58" t="s">
        <v>257</v>
      </c>
      <c r="E57" s="120" t="s">
        <v>844</v>
      </c>
      <c r="F57" s="68">
        <v>2672573314</v>
      </c>
      <c r="G57" s="58" t="s">
        <v>525</v>
      </c>
      <c r="H57" s="59">
        <v>27698895</v>
      </c>
      <c r="I57" s="60" t="s">
        <v>725</v>
      </c>
      <c r="J57" s="71" t="s">
        <v>56</v>
      </c>
      <c r="K57" s="70" t="s">
        <v>838</v>
      </c>
      <c r="L57" s="70"/>
      <c r="M57" s="121" t="s">
        <v>868</v>
      </c>
      <c r="N57" s="68" t="s">
        <v>733</v>
      </c>
      <c r="O57" s="132" t="s">
        <v>293</v>
      </c>
      <c r="P57" s="68" t="s">
        <v>733</v>
      </c>
      <c r="Q57" s="71" t="s">
        <v>293</v>
      </c>
      <c r="R57" s="68" t="s">
        <v>733</v>
      </c>
      <c r="S57" s="71" t="s">
        <v>293</v>
      </c>
      <c r="T57" s="68" t="s">
        <v>733</v>
      </c>
      <c r="U57" s="68"/>
      <c r="V57" s="68" t="s">
        <v>827</v>
      </c>
      <c r="W57" s="68"/>
      <c r="X57" s="134">
        <v>1</v>
      </c>
    </row>
    <row r="58" spans="3:24">
      <c r="C58" s="58" t="s">
        <v>69</v>
      </c>
      <c r="D58" s="58" t="s">
        <v>69</v>
      </c>
      <c r="E58" s="120" t="s">
        <v>844</v>
      </c>
      <c r="F58" s="68">
        <v>2672573314</v>
      </c>
      <c r="G58" s="58" t="s">
        <v>523</v>
      </c>
      <c r="H58" s="59">
        <v>29559448</v>
      </c>
      <c r="I58" s="60" t="s">
        <v>725</v>
      </c>
      <c r="J58" s="71" t="s">
        <v>389</v>
      </c>
      <c r="K58" s="58" t="s">
        <v>841</v>
      </c>
      <c r="L58" s="58"/>
      <c r="M58" s="121" t="s">
        <v>868</v>
      </c>
      <c r="N58" s="68" t="s">
        <v>733</v>
      </c>
      <c r="O58" s="132" t="s">
        <v>292</v>
      </c>
      <c r="P58" s="73">
        <v>46023</v>
      </c>
      <c r="Q58" s="71" t="s">
        <v>293</v>
      </c>
      <c r="R58" s="68" t="s">
        <v>733</v>
      </c>
      <c r="S58" s="71" t="s">
        <v>293</v>
      </c>
      <c r="T58" s="68" t="s">
        <v>733</v>
      </c>
      <c r="U58" s="68"/>
      <c r="V58" s="68" t="s">
        <v>827</v>
      </c>
      <c r="W58" s="68"/>
      <c r="X58" s="134">
        <v>1</v>
      </c>
    </row>
    <row r="59" spans="3:24">
      <c r="C59" s="58" t="s">
        <v>69</v>
      </c>
      <c r="D59" s="58" t="s">
        <v>69</v>
      </c>
      <c r="E59" s="120" t="s">
        <v>844</v>
      </c>
      <c r="F59" s="68">
        <v>2672573314</v>
      </c>
      <c r="G59" s="58" t="s">
        <v>678</v>
      </c>
      <c r="H59" s="59">
        <v>17608365</v>
      </c>
      <c r="I59" s="60" t="s">
        <v>706</v>
      </c>
      <c r="J59" s="71" t="s">
        <v>56</v>
      </c>
      <c r="K59" s="58" t="s">
        <v>841</v>
      </c>
      <c r="L59" s="58"/>
      <c r="M59" s="121" t="s">
        <v>868</v>
      </c>
      <c r="N59" s="68" t="s">
        <v>733</v>
      </c>
      <c r="O59" s="132" t="s">
        <v>292</v>
      </c>
      <c r="P59" s="73">
        <v>46023</v>
      </c>
      <c r="Q59" s="71" t="s">
        <v>293</v>
      </c>
      <c r="R59" s="68" t="s">
        <v>733</v>
      </c>
      <c r="S59" s="71" t="s">
        <v>293</v>
      </c>
      <c r="T59" s="68" t="s">
        <v>733</v>
      </c>
      <c r="U59" s="68"/>
      <c r="V59" s="68" t="s">
        <v>827</v>
      </c>
      <c r="W59" s="68"/>
      <c r="X59" s="134">
        <v>1</v>
      </c>
    </row>
    <row r="60" spans="3:24">
      <c r="C60" s="94" t="s">
        <v>69</v>
      </c>
      <c r="D60" s="94" t="s">
        <v>69</v>
      </c>
      <c r="E60" s="123" t="s">
        <v>844</v>
      </c>
      <c r="F60" s="98">
        <v>2672573314</v>
      </c>
      <c r="G60" s="94" t="s">
        <v>415</v>
      </c>
      <c r="H60" s="95">
        <v>18117004</v>
      </c>
      <c r="I60" s="96" t="s">
        <v>725</v>
      </c>
      <c r="J60" s="97" t="s">
        <v>56</v>
      </c>
      <c r="K60" s="94" t="s">
        <v>841</v>
      </c>
      <c r="L60" s="94"/>
      <c r="M60" s="97" t="s">
        <v>868</v>
      </c>
      <c r="N60" s="98" t="s">
        <v>733</v>
      </c>
      <c r="O60" s="130" t="s">
        <v>292</v>
      </c>
      <c r="P60" s="99">
        <v>46023</v>
      </c>
      <c r="Q60" s="97" t="s">
        <v>293</v>
      </c>
      <c r="R60" s="98" t="s">
        <v>733</v>
      </c>
      <c r="S60" s="97" t="s">
        <v>293</v>
      </c>
      <c r="T60" s="98" t="s">
        <v>733</v>
      </c>
      <c r="U60" s="98"/>
      <c r="V60" s="98" t="s">
        <v>827</v>
      </c>
      <c r="W60" s="98" t="s">
        <v>920</v>
      </c>
      <c r="X60" s="139">
        <v>1</v>
      </c>
    </row>
    <row r="61" spans="3:24">
      <c r="C61" s="58" t="s">
        <v>69</v>
      </c>
      <c r="D61" s="58" t="s">
        <v>69</v>
      </c>
      <c r="E61" s="120" t="s">
        <v>844</v>
      </c>
      <c r="F61" s="68">
        <v>2672573314</v>
      </c>
      <c r="G61" s="58" t="s">
        <v>761</v>
      </c>
      <c r="H61" s="59">
        <v>17768920</v>
      </c>
      <c r="I61" s="60" t="s">
        <v>729</v>
      </c>
      <c r="J61" s="71" t="s">
        <v>55</v>
      </c>
      <c r="K61" s="58" t="s">
        <v>841</v>
      </c>
      <c r="L61" s="58"/>
      <c r="M61" s="121" t="s">
        <v>868</v>
      </c>
      <c r="N61" s="68" t="s">
        <v>733</v>
      </c>
      <c r="O61" s="132" t="s">
        <v>292</v>
      </c>
      <c r="P61" s="73">
        <v>46023</v>
      </c>
      <c r="Q61" s="71" t="s">
        <v>293</v>
      </c>
      <c r="R61" s="68" t="s">
        <v>733</v>
      </c>
      <c r="S61" s="71" t="s">
        <v>293</v>
      </c>
      <c r="T61" s="68" t="s">
        <v>733</v>
      </c>
      <c r="U61" s="68"/>
      <c r="V61" s="68" t="s">
        <v>827</v>
      </c>
      <c r="W61" s="68"/>
      <c r="X61" s="134">
        <v>1</v>
      </c>
    </row>
    <row r="62" spans="3:24">
      <c r="C62" s="94" t="s">
        <v>69</v>
      </c>
      <c r="D62" s="94" t="s">
        <v>69</v>
      </c>
      <c r="E62" s="123" t="s">
        <v>844</v>
      </c>
      <c r="F62" s="98">
        <v>2672573314</v>
      </c>
      <c r="G62" s="94" t="s">
        <v>677</v>
      </c>
      <c r="H62" s="95">
        <v>28179047</v>
      </c>
      <c r="I62" s="96" t="s">
        <v>725</v>
      </c>
      <c r="J62" s="97" t="s">
        <v>389</v>
      </c>
      <c r="K62" s="94" t="s">
        <v>841</v>
      </c>
      <c r="L62" s="94"/>
      <c r="M62" s="97" t="s">
        <v>868</v>
      </c>
      <c r="N62" s="98" t="s">
        <v>733</v>
      </c>
      <c r="O62" s="130" t="s">
        <v>869</v>
      </c>
      <c r="P62" s="99" t="s">
        <v>733</v>
      </c>
      <c r="Q62" s="97" t="s">
        <v>869</v>
      </c>
      <c r="R62" s="99" t="s">
        <v>733</v>
      </c>
      <c r="S62" s="97" t="s">
        <v>869</v>
      </c>
      <c r="T62" s="98" t="s">
        <v>733</v>
      </c>
      <c r="U62" s="98"/>
      <c r="V62" s="98" t="s">
        <v>827</v>
      </c>
      <c r="W62" s="98" t="s">
        <v>823</v>
      </c>
      <c r="X62" s="134">
        <v>1</v>
      </c>
    </row>
    <row r="63" spans="3:24">
      <c r="C63" s="58" t="s">
        <v>69</v>
      </c>
      <c r="D63" s="58" t="s">
        <v>69</v>
      </c>
      <c r="E63" s="120" t="s">
        <v>844</v>
      </c>
      <c r="F63" s="68">
        <v>2672573314</v>
      </c>
      <c r="G63" s="58" t="s">
        <v>441</v>
      </c>
      <c r="H63" s="59">
        <v>16791597</v>
      </c>
      <c r="I63" s="70" t="s">
        <v>730</v>
      </c>
      <c r="J63" s="71" t="s">
        <v>56</v>
      </c>
      <c r="K63" s="58" t="s">
        <v>841</v>
      </c>
      <c r="L63" s="58"/>
      <c r="M63" s="121" t="s">
        <v>868</v>
      </c>
      <c r="N63" s="68" t="s">
        <v>733</v>
      </c>
      <c r="O63" s="132" t="s">
        <v>292</v>
      </c>
      <c r="P63" s="73">
        <v>46023</v>
      </c>
      <c r="Q63" s="71" t="s">
        <v>293</v>
      </c>
      <c r="R63" s="68" t="s">
        <v>733</v>
      </c>
      <c r="S63" s="71" t="s">
        <v>293</v>
      </c>
      <c r="T63" s="68" t="s">
        <v>733</v>
      </c>
      <c r="U63" s="68"/>
      <c r="V63" s="68" t="s">
        <v>827</v>
      </c>
      <c r="W63" s="68"/>
      <c r="X63" s="134">
        <v>1</v>
      </c>
    </row>
    <row r="64" spans="3:24">
      <c r="C64" s="58" t="s">
        <v>69</v>
      </c>
      <c r="D64" s="58" t="s">
        <v>69</v>
      </c>
      <c r="E64" s="120" t="s">
        <v>844</v>
      </c>
      <c r="F64" s="68">
        <v>2672573314</v>
      </c>
      <c r="G64" s="58" t="s">
        <v>527</v>
      </c>
      <c r="H64" s="59">
        <v>28546747</v>
      </c>
      <c r="I64" s="60" t="s">
        <v>725</v>
      </c>
      <c r="J64" s="71" t="s">
        <v>56</v>
      </c>
      <c r="K64" s="58" t="s">
        <v>841</v>
      </c>
      <c r="L64" s="58"/>
      <c r="M64" s="121" t="s">
        <v>868</v>
      </c>
      <c r="N64" s="68" t="s">
        <v>733</v>
      </c>
      <c r="O64" s="132" t="s">
        <v>292</v>
      </c>
      <c r="P64" s="73">
        <v>46023</v>
      </c>
      <c r="Q64" s="71" t="s">
        <v>293</v>
      </c>
      <c r="R64" s="68" t="s">
        <v>733</v>
      </c>
      <c r="S64" s="71" t="s">
        <v>293</v>
      </c>
      <c r="T64" s="68" t="s">
        <v>733</v>
      </c>
      <c r="U64" s="68"/>
      <c r="V64" s="68" t="s">
        <v>827</v>
      </c>
      <c r="W64" s="68"/>
      <c r="X64" s="134">
        <v>1</v>
      </c>
    </row>
    <row r="65" spans="3:26">
      <c r="C65" s="58" t="s">
        <v>69</v>
      </c>
      <c r="D65" s="58" t="s">
        <v>69</v>
      </c>
      <c r="E65" s="120" t="s">
        <v>844</v>
      </c>
      <c r="F65" s="68">
        <v>2672573314</v>
      </c>
      <c r="G65" s="58" t="s">
        <v>679</v>
      </c>
      <c r="H65" s="59">
        <v>16488211</v>
      </c>
      <c r="I65" s="70" t="s">
        <v>730</v>
      </c>
      <c r="J65" s="71" t="s">
        <v>56</v>
      </c>
      <c r="K65" s="58" t="s">
        <v>841</v>
      </c>
      <c r="L65" s="58"/>
      <c r="M65" s="121" t="s">
        <v>868</v>
      </c>
      <c r="N65" s="68" t="s">
        <v>733</v>
      </c>
      <c r="O65" s="132" t="s">
        <v>292</v>
      </c>
      <c r="P65" s="73">
        <v>46023</v>
      </c>
      <c r="Q65" s="71" t="s">
        <v>293</v>
      </c>
      <c r="R65" s="68" t="s">
        <v>733</v>
      </c>
      <c r="S65" s="71" t="s">
        <v>293</v>
      </c>
      <c r="T65" s="68" t="s">
        <v>733</v>
      </c>
      <c r="U65" s="68"/>
      <c r="V65" s="68" t="s">
        <v>827</v>
      </c>
      <c r="W65" s="68"/>
      <c r="X65" s="134">
        <v>1</v>
      </c>
    </row>
    <row r="66" spans="3:26">
      <c r="C66" s="58" t="s">
        <v>69</v>
      </c>
      <c r="D66" s="58" t="s">
        <v>69</v>
      </c>
      <c r="E66" s="120" t="s">
        <v>844</v>
      </c>
      <c r="F66" s="68">
        <v>2672573314</v>
      </c>
      <c r="G66" s="58" t="s">
        <v>526</v>
      </c>
      <c r="H66" s="59">
        <v>12204043</v>
      </c>
      <c r="I66" s="70" t="s">
        <v>730</v>
      </c>
      <c r="J66" s="71" t="s">
        <v>56</v>
      </c>
      <c r="K66" s="58" t="s">
        <v>841</v>
      </c>
      <c r="L66" s="58"/>
      <c r="M66" s="121" t="s">
        <v>868</v>
      </c>
      <c r="N66" s="68" t="s">
        <v>733</v>
      </c>
      <c r="O66" s="132" t="s">
        <v>292</v>
      </c>
      <c r="P66" s="73">
        <v>46023</v>
      </c>
      <c r="Q66" s="71" t="s">
        <v>293</v>
      </c>
      <c r="R66" s="68" t="s">
        <v>733</v>
      </c>
      <c r="S66" s="71" t="s">
        <v>293</v>
      </c>
      <c r="T66" s="68" t="s">
        <v>733</v>
      </c>
      <c r="U66" s="68"/>
      <c r="V66" s="68" t="s">
        <v>827</v>
      </c>
      <c r="W66" s="68"/>
      <c r="X66" s="134">
        <v>1</v>
      </c>
    </row>
    <row r="67" spans="3:26">
      <c r="C67" s="58" t="s">
        <v>69</v>
      </c>
      <c r="D67" s="58" t="s">
        <v>69</v>
      </c>
      <c r="E67" s="120" t="s">
        <v>844</v>
      </c>
      <c r="F67" s="68">
        <v>2672573314</v>
      </c>
      <c r="G67" s="58" t="s">
        <v>528</v>
      </c>
      <c r="H67" s="59">
        <v>25033526</v>
      </c>
      <c r="I67" s="60" t="s">
        <v>725</v>
      </c>
      <c r="J67" s="71" t="s">
        <v>56</v>
      </c>
      <c r="K67" s="58" t="s">
        <v>841</v>
      </c>
      <c r="L67" s="58"/>
      <c r="M67" s="121" t="s">
        <v>868</v>
      </c>
      <c r="N67" s="68" t="s">
        <v>733</v>
      </c>
      <c r="O67" s="132" t="s">
        <v>292</v>
      </c>
      <c r="P67" s="73">
        <v>46023</v>
      </c>
      <c r="Q67" s="71" t="s">
        <v>293</v>
      </c>
      <c r="R67" s="68" t="s">
        <v>733</v>
      </c>
      <c r="S67" s="71" t="s">
        <v>293</v>
      </c>
      <c r="T67" s="68" t="s">
        <v>733</v>
      </c>
      <c r="U67" s="68"/>
      <c r="V67" s="68" t="s">
        <v>827</v>
      </c>
      <c r="W67" s="68"/>
      <c r="X67" s="134">
        <v>1</v>
      </c>
    </row>
    <row r="68" spans="3:26">
      <c r="C68" s="58" t="s">
        <v>69</v>
      </c>
      <c r="D68" s="58" t="s">
        <v>69</v>
      </c>
      <c r="E68" s="120" t="s">
        <v>844</v>
      </c>
      <c r="F68" s="68">
        <v>2672573314</v>
      </c>
      <c r="G68" s="58" t="s">
        <v>440</v>
      </c>
      <c r="H68" s="59">
        <v>18558936</v>
      </c>
      <c r="I68" s="70" t="s">
        <v>730</v>
      </c>
      <c r="J68" s="71" t="s">
        <v>389</v>
      </c>
      <c r="K68" s="58" t="s">
        <v>841</v>
      </c>
      <c r="L68" s="58"/>
      <c r="M68" s="121" t="s">
        <v>868</v>
      </c>
      <c r="N68" s="68" t="s">
        <v>733</v>
      </c>
      <c r="O68" s="132" t="s">
        <v>292</v>
      </c>
      <c r="P68" s="73">
        <v>46023</v>
      </c>
      <c r="Q68" s="71" t="s">
        <v>293</v>
      </c>
      <c r="R68" s="68" t="s">
        <v>733</v>
      </c>
      <c r="S68" s="71" t="s">
        <v>293</v>
      </c>
      <c r="T68" s="68" t="s">
        <v>733</v>
      </c>
      <c r="U68" s="68"/>
      <c r="V68" s="68" t="s">
        <v>827</v>
      </c>
      <c r="W68" s="68"/>
      <c r="X68" s="134">
        <v>1</v>
      </c>
    </row>
    <row r="69" spans="3:26">
      <c r="C69" s="58" t="s">
        <v>69</v>
      </c>
      <c r="D69" s="58" t="s">
        <v>69</v>
      </c>
      <c r="E69" s="120" t="s">
        <v>844</v>
      </c>
      <c r="F69" s="68">
        <v>2672573314</v>
      </c>
      <c r="G69" s="58" t="s">
        <v>530</v>
      </c>
      <c r="H69" s="59">
        <v>16475090</v>
      </c>
      <c r="I69" s="60" t="s">
        <v>725</v>
      </c>
      <c r="J69" s="71" t="s">
        <v>56</v>
      </c>
      <c r="K69" s="58" t="s">
        <v>841</v>
      </c>
      <c r="L69" s="58"/>
      <c r="M69" s="121" t="s">
        <v>868</v>
      </c>
      <c r="N69" s="68" t="s">
        <v>733</v>
      </c>
      <c r="O69" s="132" t="s">
        <v>292</v>
      </c>
      <c r="P69" s="73">
        <v>46023</v>
      </c>
      <c r="Q69" s="71" t="s">
        <v>293</v>
      </c>
      <c r="R69" s="68" t="s">
        <v>733</v>
      </c>
      <c r="S69" s="71" t="s">
        <v>293</v>
      </c>
      <c r="T69" s="68" t="s">
        <v>733</v>
      </c>
      <c r="U69" s="68"/>
      <c r="V69" s="68" t="s">
        <v>827</v>
      </c>
      <c r="W69" s="68"/>
      <c r="X69" s="134">
        <v>1</v>
      </c>
    </row>
    <row r="70" spans="3:26">
      <c r="C70" s="58" t="s">
        <v>69</v>
      </c>
      <c r="D70" s="58" t="s">
        <v>69</v>
      </c>
      <c r="E70" s="120" t="s">
        <v>844</v>
      </c>
      <c r="F70" s="68">
        <v>2672573314</v>
      </c>
      <c r="G70" s="58" t="s">
        <v>529</v>
      </c>
      <c r="H70" s="59">
        <v>19187119</v>
      </c>
      <c r="I70" s="70" t="s">
        <v>730</v>
      </c>
      <c r="J70" s="71" t="s">
        <v>56</v>
      </c>
      <c r="K70" s="58" t="s">
        <v>841</v>
      </c>
      <c r="L70" s="58"/>
      <c r="M70" s="121" t="s">
        <v>868</v>
      </c>
      <c r="N70" s="68" t="s">
        <v>733</v>
      </c>
      <c r="O70" s="132" t="s">
        <v>292</v>
      </c>
      <c r="P70" s="73">
        <v>46023</v>
      </c>
      <c r="Q70" s="71" t="s">
        <v>293</v>
      </c>
      <c r="R70" s="68" t="s">
        <v>733</v>
      </c>
      <c r="S70" s="71" t="s">
        <v>293</v>
      </c>
      <c r="T70" s="68" t="s">
        <v>733</v>
      </c>
      <c r="U70" s="68"/>
      <c r="V70" s="68" t="s">
        <v>827</v>
      </c>
      <c r="W70" s="68"/>
      <c r="X70" s="134">
        <v>1</v>
      </c>
    </row>
    <row r="71" spans="3:26">
      <c r="C71" s="58" t="s">
        <v>69</v>
      </c>
      <c r="D71" s="58" t="s">
        <v>69</v>
      </c>
      <c r="E71" s="120" t="s">
        <v>844</v>
      </c>
      <c r="F71" s="68">
        <v>2672573314</v>
      </c>
      <c r="G71" s="58" t="s">
        <v>676</v>
      </c>
      <c r="H71" s="59">
        <v>19069992</v>
      </c>
      <c r="I71" s="60" t="s">
        <v>410</v>
      </c>
      <c r="J71" s="71" t="s">
        <v>56</v>
      </c>
      <c r="K71" s="58" t="s">
        <v>841</v>
      </c>
      <c r="L71" s="58"/>
      <c r="M71" s="121" t="s">
        <v>868</v>
      </c>
      <c r="N71" s="68" t="s">
        <v>733</v>
      </c>
      <c r="O71" s="132" t="s">
        <v>292</v>
      </c>
      <c r="P71" s="73">
        <v>46023</v>
      </c>
      <c r="Q71" s="71" t="s">
        <v>293</v>
      </c>
      <c r="R71" s="68" t="s">
        <v>733</v>
      </c>
      <c r="S71" s="71" t="s">
        <v>293</v>
      </c>
      <c r="T71" s="68" t="s">
        <v>733</v>
      </c>
      <c r="U71" s="68"/>
      <c r="V71" s="68" t="s">
        <v>827</v>
      </c>
      <c r="W71" s="68"/>
      <c r="X71" s="134">
        <v>1</v>
      </c>
    </row>
    <row r="72" spans="3:26">
      <c r="C72" s="58" t="s">
        <v>69</v>
      </c>
      <c r="D72" s="58" t="s">
        <v>69</v>
      </c>
      <c r="E72" s="120" t="s">
        <v>844</v>
      </c>
      <c r="F72" s="68">
        <v>2672573314</v>
      </c>
      <c r="G72" s="58" t="s">
        <v>524</v>
      </c>
      <c r="H72" s="59">
        <v>25468705</v>
      </c>
      <c r="I72" s="60" t="s">
        <v>725</v>
      </c>
      <c r="J72" s="71" t="s">
        <v>389</v>
      </c>
      <c r="K72" s="58" t="s">
        <v>841</v>
      </c>
      <c r="L72" s="58"/>
      <c r="M72" s="121" t="s">
        <v>868</v>
      </c>
      <c r="N72" s="68" t="s">
        <v>733</v>
      </c>
      <c r="O72" s="132" t="s">
        <v>292</v>
      </c>
      <c r="P72" s="73">
        <v>46023</v>
      </c>
      <c r="Q72" s="71" t="s">
        <v>293</v>
      </c>
      <c r="R72" s="68" t="s">
        <v>733</v>
      </c>
      <c r="S72" s="71" t="s">
        <v>293</v>
      </c>
      <c r="T72" s="68" t="s">
        <v>733</v>
      </c>
      <c r="U72" s="68"/>
      <c r="V72" s="68" t="s">
        <v>827</v>
      </c>
      <c r="W72" s="68"/>
      <c r="X72" s="134">
        <v>1</v>
      </c>
    </row>
    <row r="73" spans="3:26">
      <c r="C73" s="58" t="s">
        <v>0</v>
      </c>
      <c r="D73" s="58" t="s">
        <v>0</v>
      </c>
      <c r="E73" s="120" t="s">
        <v>844</v>
      </c>
      <c r="F73" s="68">
        <v>2672573314</v>
      </c>
      <c r="G73" s="58" t="s">
        <v>689</v>
      </c>
      <c r="H73" s="59">
        <v>21031246</v>
      </c>
      <c r="I73" s="60" t="s">
        <v>706</v>
      </c>
      <c r="J73" s="71" t="s">
        <v>56</v>
      </c>
      <c r="K73" s="70" t="s">
        <v>870</v>
      </c>
      <c r="L73" s="70"/>
      <c r="M73" s="121" t="s">
        <v>868</v>
      </c>
      <c r="N73" s="68" t="s">
        <v>733</v>
      </c>
      <c r="O73" s="132" t="s">
        <v>293</v>
      </c>
      <c r="P73" s="68" t="s">
        <v>733</v>
      </c>
      <c r="Q73" s="71" t="s">
        <v>293</v>
      </c>
      <c r="R73" s="68" t="s">
        <v>733</v>
      </c>
      <c r="S73" s="71" t="s">
        <v>293</v>
      </c>
      <c r="T73" s="68" t="s">
        <v>733</v>
      </c>
      <c r="U73" s="68"/>
      <c r="V73" s="68" t="s">
        <v>827</v>
      </c>
      <c r="W73" s="68"/>
      <c r="X73" s="134">
        <v>1</v>
      </c>
    </row>
    <row r="74" spans="3:26">
      <c r="C74" s="58" t="s">
        <v>0</v>
      </c>
      <c r="D74" s="58" t="s">
        <v>0</v>
      </c>
      <c r="E74" s="120" t="s">
        <v>844</v>
      </c>
      <c r="F74" s="68">
        <v>2672573314</v>
      </c>
      <c r="G74" s="58" t="s">
        <v>690</v>
      </c>
      <c r="H74" s="59">
        <v>25303300</v>
      </c>
      <c r="I74" s="60" t="s">
        <v>410</v>
      </c>
      <c r="J74" s="71" t="s">
        <v>56</v>
      </c>
      <c r="K74" s="70" t="s">
        <v>870</v>
      </c>
      <c r="L74" s="70"/>
      <c r="M74" s="121" t="s">
        <v>868</v>
      </c>
      <c r="N74" s="68" t="s">
        <v>733</v>
      </c>
      <c r="O74" s="132" t="s">
        <v>293</v>
      </c>
      <c r="P74" s="68" t="s">
        <v>733</v>
      </c>
      <c r="Q74" s="71" t="s">
        <v>293</v>
      </c>
      <c r="R74" s="68" t="s">
        <v>733</v>
      </c>
      <c r="S74" s="71" t="s">
        <v>293</v>
      </c>
      <c r="T74" s="68" t="s">
        <v>733</v>
      </c>
      <c r="U74" s="68"/>
      <c r="V74" s="68" t="s">
        <v>827</v>
      </c>
      <c r="W74" s="68"/>
      <c r="X74" s="134">
        <v>1</v>
      </c>
    </row>
    <row r="75" spans="3:26">
      <c r="C75" s="58" t="s">
        <v>0</v>
      </c>
      <c r="D75" s="58" t="s">
        <v>0</v>
      </c>
      <c r="E75" s="120" t="s">
        <v>844</v>
      </c>
      <c r="F75" s="68">
        <v>2672573314</v>
      </c>
      <c r="G75" s="58" t="s">
        <v>691</v>
      </c>
      <c r="H75" s="59">
        <v>12524865</v>
      </c>
      <c r="I75" s="60" t="s">
        <v>706</v>
      </c>
      <c r="J75" s="71" t="s">
        <v>56</v>
      </c>
      <c r="K75" s="70" t="s">
        <v>870</v>
      </c>
      <c r="L75" s="70"/>
      <c r="M75" s="121" t="s">
        <v>868</v>
      </c>
      <c r="N75" s="68" t="s">
        <v>733</v>
      </c>
      <c r="O75" s="132" t="s">
        <v>293</v>
      </c>
      <c r="P75" s="68" t="s">
        <v>733</v>
      </c>
      <c r="Q75" s="71" t="s">
        <v>293</v>
      </c>
      <c r="R75" s="68" t="s">
        <v>733</v>
      </c>
      <c r="S75" s="71" t="s">
        <v>293</v>
      </c>
      <c r="T75" s="68" t="s">
        <v>733</v>
      </c>
      <c r="U75" s="68"/>
      <c r="V75" s="68" t="s">
        <v>827</v>
      </c>
      <c r="W75" s="68"/>
      <c r="X75" s="134">
        <v>1</v>
      </c>
    </row>
    <row r="76" spans="3:26">
      <c r="C76" s="58" t="s">
        <v>0</v>
      </c>
      <c r="D76" s="58" t="s">
        <v>0</v>
      </c>
      <c r="E76" s="120" t="s">
        <v>844</v>
      </c>
      <c r="F76" s="68">
        <v>2672573314</v>
      </c>
      <c r="G76" s="58" t="s">
        <v>692</v>
      </c>
      <c r="H76" s="59">
        <v>31129214</v>
      </c>
      <c r="I76" s="60" t="s">
        <v>729</v>
      </c>
      <c r="J76" s="71" t="s">
        <v>56</v>
      </c>
      <c r="K76" s="70" t="s">
        <v>870</v>
      </c>
      <c r="L76" s="70"/>
      <c r="M76" s="121" t="s">
        <v>868</v>
      </c>
      <c r="N76" s="68" t="s">
        <v>733</v>
      </c>
      <c r="O76" s="132" t="s">
        <v>293</v>
      </c>
      <c r="P76" s="68" t="s">
        <v>733</v>
      </c>
      <c r="Q76" s="71" t="s">
        <v>293</v>
      </c>
      <c r="R76" s="68" t="s">
        <v>733</v>
      </c>
      <c r="S76" s="71" t="s">
        <v>293</v>
      </c>
      <c r="T76" s="68" t="s">
        <v>733</v>
      </c>
      <c r="U76" s="68"/>
      <c r="V76" s="68" t="s">
        <v>827</v>
      </c>
      <c r="W76" s="68"/>
      <c r="X76" s="134">
        <v>1</v>
      </c>
    </row>
    <row r="77" spans="3:26">
      <c r="C77" s="58" t="s">
        <v>0</v>
      </c>
      <c r="D77" s="58" t="s">
        <v>0</v>
      </c>
      <c r="E77" s="120" t="s">
        <v>844</v>
      </c>
      <c r="F77" s="68">
        <v>2672573314</v>
      </c>
      <c r="G77" s="58" t="s">
        <v>693</v>
      </c>
      <c r="H77" s="59">
        <v>25107590</v>
      </c>
      <c r="I77" s="60" t="s">
        <v>729</v>
      </c>
      <c r="J77" s="71" t="s">
        <v>56</v>
      </c>
      <c r="K77" s="70" t="s">
        <v>870</v>
      </c>
      <c r="L77" s="70"/>
      <c r="M77" s="121" t="s">
        <v>868</v>
      </c>
      <c r="N77" s="68" t="s">
        <v>733</v>
      </c>
      <c r="O77" s="132" t="s">
        <v>293</v>
      </c>
      <c r="P77" s="68" t="s">
        <v>733</v>
      </c>
      <c r="Q77" s="71" t="s">
        <v>293</v>
      </c>
      <c r="R77" s="68" t="s">
        <v>733</v>
      </c>
      <c r="S77" s="71" t="s">
        <v>293</v>
      </c>
      <c r="T77" s="68" t="s">
        <v>733</v>
      </c>
      <c r="U77" s="68"/>
      <c r="V77" s="68" t="s">
        <v>827</v>
      </c>
      <c r="W77" s="68"/>
      <c r="X77" s="134">
        <v>1</v>
      </c>
    </row>
    <row r="78" spans="3:26">
      <c r="C78" s="148" t="s">
        <v>0</v>
      </c>
      <c r="D78" s="148" t="s">
        <v>0</v>
      </c>
      <c r="E78" s="149" t="s">
        <v>844</v>
      </c>
      <c r="F78" s="150">
        <v>2672573314</v>
      </c>
      <c r="G78" s="148" t="s">
        <v>694</v>
      </c>
      <c r="H78" s="151">
        <v>31233143</v>
      </c>
      <c r="I78" s="155" t="s">
        <v>729</v>
      </c>
      <c r="J78" s="152" t="s">
        <v>56</v>
      </c>
      <c r="K78" s="148" t="s">
        <v>870</v>
      </c>
      <c r="L78" s="148"/>
      <c r="M78" s="152" t="s">
        <v>868</v>
      </c>
      <c r="N78" s="150" t="s">
        <v>733</v>
      </c>
      <c r="O78" s="153" t="s">
        <v>293</v>
      </c>
      <c r="P78" s="150" t="s">
        <v>733</v>
      </c>
      <c r="Q78" s="152" t="s">
        <v>293</v>
      </c>
      <c r="R78" s="150" t="s">
        <v>733</v>
      </c>
      <c r="S78" s="152" t="s">
        <v>293</v>
      </c>
      <c r="T78" s="150" t="s">
        <v>733</v>
      </c>
      <c r="U78" s="150"/>
      <c r="V78" s="150" t="s">
        <v>827</v>
      </c>
      <c r="W78" s="150" t="s">
        <v>919</v>
      </c>
      <c r="X78" s="150">
        <v>1</v>
      </c>
      <c r="Y78" s="148"/>
      <c r="Z78" s="148"/>
    </row>
    <row r="79" spans="3:26">
      <c r="C79" s="94" t="s">
        <v>0</v>
      </c>
      <c r="D79" s="94" t="s">
        <v>0</v>
      </c>
      <c r="E79" s="123" t="s">
        <v>844</v>
      </c>
      <c r="F79" s="98">
        <v>2672573314</v>
      </c>
      <c r="G79" s="94" t="s">
        <v>695</v>
      </c>
      <c r="H79" s="95">
        <v>19990082</v>
      </c>
      <c r="I79" s="96" t="s">
        <v>729</v>
      </c>
      <c r="J79" s="97" t="s">
        <v>56</v>
      </c>
      <c r="K79" s="94"/>
      <c r="L79" s="94"/>
      <c r="M79" s="97" t="s">
        <v>868</v>
      </c>
      <c r="N79" s="98" t="s">
        <v>733</v>
      </c>
      <c r="O79" s="130" t="s">
        <v>869</v>
      </c>
      <c r="P79" s="99" t="s">
        <v>733</v>
      </c>
      <c r="Q79" s="97" t="s">
        <v>869</v>
      </c>
      <c r="R79" s="99" t="s">
        <v>733</v>
      </c>
      <c r="S79" s="97" t="s">
        <v>869</v>
      </c>
      <c r="T79" s="98" t="s">
        <v>733</v>
      </c>
      <c r="U79" s="98"/>
      <c r="V79" s="98" t="s">
        <v>827</v>
      </c>
      <c r="W79" s="98" t="s">
        <v>744</v>
      </c>
      <c r="X79" s="134">
        <v>1</v>
      </c>
    </row>
    <row r="80" spans="3:26">
      <c r="C80" s="58" t="s">
        <v>0</v>
      </c>
      <c r="D80" s="58" t="s">
        <v>0</v>
      </c>
      <c r="E80" s="120" t="s">
        <v>844</v>
      </c>
      <c r="F80" s="68">
        <v>2672573314</v>
      </c>
      <c r="G80" s="58" t="s">
        <v>696</v>
      </c>
      <c r="H80" s="59">
        <v>23412420</v>
      </c>
      <c r="I80" s="60" t="s">
        <v>729</v>
      </c>
      <c r="J80" s="71" t="s">
        <v>56</v>
      </c>
      <c r="K80" s="70" t="s">
        <v>870</v>
      </c>
      <c r="L80" s="70"/>
      <c r="M80" s="121" t="s">
        <v>868</v>
      </c>
      <c r="N80" s="68" t="s">
        <v>733</v>
      </c>
      <c r="O80" s="132" t="s">
        <v>293</v>
      </c>
      <c r="P80" s="68" t="s">
        <v>733</v>
      </c>
      <c r="Q80" s="71" t="s">
        <v>293</v>
      </c>
      <c r="R80" s="68" t="s">
        <v>733</v>
      </c>
      <c r="S80" s="71" t="s">
        <v>293</v>
      </c>
      <c r="T80" s="68" t="s">
        <v>733</v>
      </c>
      <c r="U80" s="68"/>
      <c r="V80" s="68" t="s">
        <v>827</v>
      </c>
      <c r="W80" s="68"/>
      <c r="X80" s="134">
        <v>1</v>
      </c>
    </row>
    <row r="81" spans="3:24">
      <c r="C81" s="58" t="s">
        <v>0</v>
      </c>
      <c r="D81" s="58" t="s">
        <v>0</v>
      </c>
      <c r="E81" s="120" t="s">
        <v>844</v>
      </c>
      <c r="F81" s="68">
        <v>2672573314</v>
      </c>
      <c r="G81" s="58" t="s">
        <v>697</v>
      </c>
      <c r="H81" s="59">
        <v>30641035</v>
      </c>
      <c r="I81" s="60" t="s">
        <v>729</v>
      </c>
      <c r="J81" s="71" t="s">
        <v>56</v>
      </c>
      <c r="K81" s="70" t="s">
        <v>870</v>
      </c>
      <c r="L81" s="70"/>
      <c r="M81" s="121" t="s">
        <v>868</v>
      </c>
      <c r="N81" s="68" t="s">
        <v>733</v>
      </c>
      <c r="O81" s="132" t="s">
        <v>293</v>
      </c>
      <c r="P81" s="68" t="s">
        <v>733</v>
      </c>
      <c r="Q81" s="71" t="s">
        <v>293</v>
      </c>
      <c r="R81" s="68" t="s">
        <v>733</v>
      </c>
      <c r="S81" s="71" t="s">
        <v>293</v>
      </c>
      <c r="T81" s="68" t="s">
        <v>733</v>
      </c>
      <c r="U81" s="68"/>
      <c r="V81" s="68" t="s">
        <v>827</v>
      </c>
      <c r="W81" s="68"/>
      <c r="X81" s="134">
        <v>1</v>
      </c>
    </row>
    <row r="82" spans="3:24">
      <c r="C82" s="58" t="s">
        <v>0</v>
      </c>
      <c r="D82" s="58" t="s">
        <v>0</v>
      </c>
      <c r="E82" s="120" t="s">
        <v>844</v>
      </c>
      <c r="F82" s="68">
        <v>2672573314</v>
      </c>
      <c r="G82" s="58" t="s">
        <v>698</v>
      </c>
      <c r="H82" s="59">
        <v>30889139</v>
      </c>
      <c r="I82" s="60" t="s">
        <v>729</v>
      </c>
      <c r="J82" s="71" t="s">
        <v>56</v>
      </c>
      <c r="K82" s="70" t="s">
        <v>870</v>
      </c>
      <c r="L82" s="70"/>
      <c r="M82" s="121" t="s">
        <v>868</v>
      </c>
      <c r="N82" s="68" t="s">
        <v>733</v>
      </c>
      <c r="O82" s="132" t="s">
        <v>293</v>
      </c>
      <c r="P82" s="68" t="s">
        <v>733</v>
      </c>
      <c r="Q82" s="71" t="s">
        <v>293</v>
      </c>
      <c r="R82" s="68" t="s">
        <v>733</v>
      </c>
      <c r="S82" s="71" t="s">
        <v>293</v>
      </c>
      <c r="T82" s="68" t="s">
        <v>733</v>
      </c>
      <c r="U82" s="68"/>
      <c r="V82" s="68" t="s">
        <v>827</v>
      </c>
      <c r="W82" s="68"/>
      <c r="X82" s="134">
        <v>1</v>
      </c>
    </row>
    <row r="83" spans="3:24">
      <c r="C83" s="58" t="s">
        <v>0</v>
      </c>
      <c r="D83" s="58" t="s">
        <v>0</v>
      </c>
      <c r="E83" s="120" t="s">
        <v>844</v>
      </c>
      <c r="F83" s="68">
        <v>2672573314</v>
      </c>
      <c r="G83" s="58" t="s">
        <v>442</v>
      </c>
      <c r="H83" s="59">
        <v>19772009</v>
      </c>
      <c r="I83" s="70" t="s">
        <v>730</v>
      </c>
      <c r="J83" s="71" t="s">
        <v>53</v>
      </c>
      <c r="K83" s="70" t="s">
        <v>870</v>
      </c>
      <c r="L83" s="70"/>
      <c r="M83" s="121" t="s">
        <v>292</v>
      </c>
      <c r="N83" s="128">
        <v>45748</v>
      </c>
      <c r="O83" s="132" t="s">
        <v>292</v>
      </c>
      <c r="P83" s="73">
        <v>45962</v>
      </c>
      <c r="Q83" s="71" t="s">
        <v>293</v>
      </c>
      <c r="R83" s="68" t="s">
        <v>733</v>
      </c>
      <c r="S83" s="71" t="s">
        <v>293</v>
      </c>
      <c r="T83" s="68" t="s">
        <v>733</v>
      </c>
      <c r="U83" s="68"/>
      <c r="V83" s="68" t="s">
        <v>827</v>
      </c>
      <c r="W83" s="68"/>
      <c r="X83" s="134">
        <v>1</v>
      </c>
    </row>
    <row r="84" spans="3:24">
      <c r="C84" s="58" t="s">
        <v>0</v>
      </c>
      <c r="D84" s="58" t="s">
        <v>0</v>
      </c>
      <c r="E84" s="120" t="s">
        <v>844</v>
      </c>
      <c r="F84" s="68">
        <v>2672573314</v>
      </c>
      <c r="G84" s="58" t="s">
        <v>443</v>
      </c>
      <c r="H84" s="59">
        <v>20729516</v>
      </c>
      <c r="I84" s="70" t="s">
        <v>730</v>
      </c>
      <c r="J84" s="71" t="s">
        <v>53</v>
      </c>
      <c r="K84" s="70" t="s">
        <v>870</v>
      </c>
      <c r="L84" s="70"/>
      <c r="M84" s="121" t="s">
        <v>292</v>
      </c>
      <c r="N84" s="128">
        <v>45748</v>
      </c>
      <c r="O84" s="132" t="s">
        <v>292</v>
      </c>
      <c r="P84" s="73">
        <v>45962</v>
      </c>
      <c r="Q84" s="71" t="s">
        <v>293</v>
      </c>
      <c r="R84" s="68" t="s">
        <v>733</v>
      </c>
      <c r="S84" s="71" t="s">
        <v>293</v>
      </c>
      <c r="T84" s="68" t="s">
        <v>733</v>
      </c>
      <c r="U84" s="68"/>
      <c r="V84" s="68" t="s">
        <v>827</v>
      </c>
      <c r="W84" s="68"/>
      <c r="X84" s="134">
        <v>1</v>
      </c>
    </row>
    <row r="85" spans="3:24">
      <c r="C85" s="58" t="s">
        <v>0</v>
      </c>
      <c r="D85" s="58" t="s">
        <v>0</v>
      </c>
      <c r="E85" s="120" t="s">
        <v>844</v>
      </c>
      <c r="F85" s="68">
        <v>2672573314</v>
      </c>
      <c r="G85" s="58" t="s">
        <v>444</v>
      </c>
      <c r="H85" s="59">
        <v>16309906</v>
      </c>
      <c r="I85" s="70" t="s">
        <v>730</v>
      </c>
      <c r="J85" s="71" t="s">
        <v>53</v>
      </c>
      <c r="K85" s="70" t="s">
        <v>870</v>
      </c>
      <c r="L85" s="70"/>
      <c r="M85" s="121" t="s">
        <v>292</v>
      </c>
      <c r="N85" s="128">
        <v>45748</v>
      </c>
      <c r="O85" s="132" t="s">
        <v>292</v>
      </c>
      <c r="P85" s="73">
        <v>45962</v>
      </c>
      <c r="Q85" s="71" t="s">
        <v>293</v>
      </c>
      <c r="R85" s="68" t="s">
        <v>733</v>
      </c>
      <c r="S85" s="71" t="s">
        <v>293</v>
      </c>
      <c r="T85" s="68" t="s">
        <v>733</v>
      </c>
      <c r="U85" s="68"/>
      <c r="V85" s="68" t="s">
        <v>827</v>
      </c>
      <c r="W85" s="68"/>
      <c r="X85" s="134">
        <v>1</v>
      </c>
    </row>
    <row r="86" spans="3:24">
      <c r="C86" s="58" t="s">
        <v>0</v>
      </c>
      <c r="D86" s="58" t="s">
        <v>0</v>
      </c>
      <c r="E86" s="120" t="s">
        <v>844</v>
      </c>
      <c r="F86" s="68">
        <v>2672573314</v>
      </c>
      <c r="G86" s="58" t="s">
        <v>445</v>
      </c>
      <c r="H86" s="59">
        <v>26195951</v>
      </c>
      <c r="I86" s="70" t="s">
        <v>730</v>
      </c>
      <c r="J86" s="71" t="s">
        <v>53</v>
      </c>
      <c r="K86" s="70" t="s">
        <v>870</v>
      </c>
      <c r="L86" s="70"/>
      <c r="M86" s="121" t="s">
        <v>292</v>
      </c>
      <c r="N86" s="128">
        <v>45748</v>
      </c>
      <c r="O86" s="132" t="s">
        <v>292</v>
      </c>
      <c r="P86" s="73">
        <v>45962</v>
      </c>
      <c r="Q86" s="71" t="s">
        <v>293</v>
      </c>
      <c r="R86" s="68" t="s">
        <v>733</v>
      </c>
      <c r="S86" s="71" t="s">
        <v>293</v>
      </c>
      <c r="T86" s="68" t="s">
        <v>733</v>
      </c>
      <c r="U86" s="68"/>
      <c r="V86" s="68" t="s">
        <v>827</v>
      </c>
      <c r="W86" s="68"/>
      <c r="X86" s="134">
        <v>1</v>
      </c>
    </row>
    <row r="87" spans="3:24">
      <c r="C87" s="58" t="s">
        <v>0</v>
      </c>
      <c r="D87" s="58" t="s">
        <v>0</v>
      </c>
      <c r="E87" s="120" t="s">
        <v>844</v>
      </c>
      <c r="F87" s="68">
        <v>2672573314</v>
      </c>
      <c r="G87" s="58" t="s">
        <v>447</v>
      </c>
      <c r="H87" s="59">
        <v>28465788</v>
      </c>
      <c r="I87" s="60" t="s">
        <v>725</v>
      </c>
      <c r="J87" s="71" t="s">
        <v>53</v>
      </c>
      <c r="K87" s="70" t="s">
        <v>870</v>
      </c>
      <c r="L87" s="70"/>
      <c r="M87" s="121" t="s">
        <v>292</v>
      </c>
      <c r="N87" s="128">
        <v>45748</v>
      </c>
      <c r="O87" s="132" t="s">
        <v>292</v>
      </c>
      <c r="P87" s="73">
        <v>45962</v>
      </c>
      <c r="Q87" s="71" t="s">
        <v>293</v>
      </c>
      <c r="R87" s="68" t="s">
        <v>733</v>
      </c>
      <c r="S87" s="71" t="s">
        <v>293</v>
      </c>
      <c r="T87" s="68" t="s">
        <v>733</v>
      </c>
      <c r="U87" s="68"/>
      <c r="V87" s="68" t="s">
        <v>827</v>
      </c>
      <c r="W87" s="68"/>
      <c r="X87" s="134">
        <v>1</v>
      </c>
    </row>
    <row r="88" spans="3:24">
      <c r="C88" s="58" t="s">
        <v>0</v>
      </c>
      <c r="D88" s="58" t="s">
        <v>0</v>
      </c>
      <c r="E88" s="120" t="s">
        <v>844</v>
      </c>
      <c r="F88" s="68">
        <v>2672573314</v>
      </c>
      <c r="G88" s="58" t="s">
        <v>448</v>
      </c>
      <c r="H88" s="59">
        <v>31139417</v>
      </c>
      <c r="I88" s="60" t="s">
        <v>725</v>
      </c>
      <c r="J88" s="71" t="s">
        <v>53</v>
      </c>
      <c r="K88" s="70" t="s">
        <v>870</v>
      </c>
      <c r="L88" s="70"/>
      <c r="M88" s="121" t="s">
        <v>292</v>
      </c>
      <c r="N88" s="128">
        <v>45748</v>
      </c>
      <c r="O88" s="132" t="s">
        <v>292</v>
      </c>
      <c r="P88" s="73">
        <v>45962</v>
      </c>
      <c r="Q88" s="71" t="s">
        <v>293</v>
      </c>
      <c r="R88" s="68" t="s">
        <v>733</v>
      </c>
      <c r="S88" s="71" t="s">
        <v>293</v>
      </c>
      <c r="T88" s="68" t="s">
        <v>733</v>
      </c>
      <c r="U88" s="68"/>
      <c r="V88" s="68" t="s">
        <v>827</v>
      </c>
      <c r="W88" s="68"/>
      <c r="X88" s="134">
        <v>1</v>
      </c>
    </row>
    <row r="89" spans="3:24">
      <c r="C89" s="58" t="s">
        <v>0</v>
      </c>
      <c r="D89" s="58" t="s">
        <v>0</v>
      </c>
      <c r="E89" s="120" t="s">
        <v>844</v>
      </c>
      <c r="F89" s="68">
        <v>2672573314</v>
      </c>
      <c r="G89" s="58" t="s">
        <v>449</v>
      </c>
      <c r="H89" s="59">
        <v>18501116</v>
      </c>
      <c r="I89" s="70" t="s">
        <v>730</v>
      </c>
      <c r="J89" s="71" t="s">
        <v>56</v>
      </c>
      <c r="K89" s="70" t="s">
        <v>870</v>
      </c>
      <c r="L89" s="70"/>
      <c r="M89" s="121" t="s">
        <v>292</v>
      </c>
      <c r="N89" s="128">
        <v>45748</v>
      </c>
      <c r="O89" s="132" t="s">
        <v>292</v>
      </c>
      <c r="P89" s="73">
        <v>45962</v>
      </c>
      <c r="Q89" s="71" t="s">
        <v>293</v>
      </c>
      <c r="R89" s="68" t="s">
        <v>733</v>
      </c>
      <c r="S89" s="71" t="s">
        <v>293</v>
      </c>
      <c r="T89" s="68" t="s">
        <v>733</v>
      </c>
      <c r="U89" s="68"/>
      <c r="V89" s="68" t="s">
        <v>827</v>
      </c>
      <c r="W89" s="68"/>
      <c r="X89" s="134">
        <v>1</v>
      </c>
    </row>
    <row r="90" spans="3:24">
      <c r="C90" s="58" t="s">
        <v>0</v>
      </c>
      <c r="D90" s="58" t="s">
        <v>0</v>
      </c>
      <c r="E90" s="120" t="s">
        <v>844</v>
      </c>
      <c r="F90" s="68">
        <v>2672573314</v>
      </c>
      <c r="G90" s="58" t="s">
        <v>450</v>
      </c>
      <c r="H90" s="59">
        <v>12035109</v>
      </c>
      <c r="I90" s="70" t="s">
        <v>730</v>
      </c>
      <c r="J90" s="71" t="s">
        <v>56</v>
      </c>
      <c r="K90" s="70" t="s">
        <v>870</v>
      </c>
      <c r="L90" s="70"/>
      <c r="M90" s="121" t="s">
        <v>292</v>
      </c>
      <c r="N90" s="128">
        <v>45748</v>
      </c>
      <c r="O90" s="132" t="s">
        <v>292</v>
      </c>
      <c r="P90" s="73">
        <v>45962</v>
      </c>
      <c r="Q90" s="71" t="s">
        <v>293</v>
      </c>
      <c r="R90" s="68" t="s">
        <v>733</v>
      </c>
      <c r="S90" s="71" t="s">
        <v>293</v>
      </c>
      <c r="T90" s="68" t="s">
        <v>733</v>
      </c>
      <c r="U90" s="68"/>
      <c r="V90" s="68" t="s">
        <v>827</v>
      </c>
      <c r="W90" s="68"/>
      <c r="X90" s="134">
        <v>1</v>
      </c>
    </row>
    <row r="91" spans="3:24">
      <c r="C91" s="58" t="s">
        <v>0</v>
      </c>
      <c r="D91" s="58" t="s">
        <v>0</v>
      </c>
      <c r="E91" s="120" t="s">
        <v>844</v>
      </c>
      <c r="F91" s="68">
        <v>2672573314</v>
      </c>
      <c r="G91" s="58" t="s">
        <v>451</v>
      </c>
      <c r="H91" s="59">
        <v>20622416</v>
      </c>
      <c r="I91" s="70" t="s">
        <v>730</v>
      </c>
      <c r="J91" s="71" t="s">
        <v>56</v>
      </c>
      <c r="K91" s="70" t="s">
        <v>870</v>
      </c>
      <c r="L91" s="70"/>
      <c r="M91" s="121" t="s">
        <v>292</v>
      </c>
      <c r="N91" s="128">
        <v>45748</v>
      </c>
      <c r="O91" s="132" t="s">
        <v>292</v>
      </c>
      <c r="P91" s="73">
        <v>45962</v>
      </c>
      <c r="Q91" s="71" t="s">
        <v>293</v>
      </c>
      <c r="R91" s="68" t="s">
        <v>733</v>
      </c>
      <c r="S91" s="71" t="s">
        <v>293</v>
      </c>
      <c r="T91" s="68" t="s">
        <v>733</v>
      </c>
      <c r="U91" s="68"/>
      <c r="V91" s="68" t="s">
        <v>827</v>
      </c>
      <c r="W91" s="68"/>
      <c r="X91" s="134">
        <v>1</v>
      </c>
    </row>
    <row r="92" spans="3:24">
      <c r="C92" s="58" t="s">
        <v>0</v>
      </c>
      <c r="D92" s="58" t="s">
        <v>0</v>
      </c>
      <c r="E92" s="120" t="s">
        <v>844</v>
      </c>
      <c r="F92" s="68">
        <v>2672573314</v>
      </c>
      <c r="G92" s="58" t="s">
        <v>452</v>
      </c>
      <c r="H92" s="59">
        <v>19320480</v>
      </c>
      <c r="I92" s="70" t="s">
        <v>730</v>
      </c>
      <c r="J92" s="71" t="s">
        <v>56</v>
      </c>
      <c r="K92" s="70" t="s">
        <v>870</v>
      </c>
      <c r="L92" s="70"/>
      <c r="M92" s="121" t="s">
        <v>292</v>
      </c>
      <c r="N92" s="128">
        <v>45748</v>
      </c>
      <c r="O92" s="132" t="s">
        <v>292</v>
      </c>
      <c r="P92" s="73">
        <v>45962</v>
      </c>
      <c r="Q92" s="71" t="s">
        <v>293</v>
      </c>
      <c r="R92" s="68" t="s">
        <v>733</v>
      </c>
      <c r="S92" s="71" t="s">
        <v>293</v>
      </c>
      <c r="T92" s="68" t="s">
        <v>733</v>
      </c>
      <c r="U92" s="68"/>
      <c r="V92" s="68" t="s">
        <v>827</v>
      </c>
      <c r="W92" s="68"/>
      <c r="X92" s="134">
        <v>1</v>
      </c>
    </row>
    <row r="93" spans="3:24">
      <c r="C93" s="58" t="s">
        <v>0</v>
      </c>
      <c r="D93" s="58" t="s">
        <v>0</v>
      </c>
      <c r="E93" s="120" t="s">
        <v>844</v>
      </c>
      <c r="F93" s="68">
        <v>2672573314</v>
      </c>
      <c r="G93" s="58" t="s">
        <v>453</v>
      </c>
      <c r="H93" s="59">
        <v>26233269</v>
      </c>
      <c r="I93" s="70" t="s">
        <v>730</v>
      </c>
      <c r="J93" s="71" t="s">
        <v>56</v>
      </c>
      <c r="K93" s="70" t="s">
        <v>870</v>
      </c>
      <c r="L93" s="70"/>
      <c r="M93" s="121" t="s">
        <v>292</v>
      </c>
      <c r="N93" s="128">
        <v>45748</v>
      </c>
      <c r="O93" s="132" t="s">
        <v>292</v>
      </c>
      <c r="P93" s="73">
        <v>45962</v>
      </c>
      <c r="Q93" s="71" t="s">
        <v>293</v>
      </c>
      <c r="R93" s="68" t="s">
        <v>733</v>
      </c>
      <c r="S93" s="71" t="s">
        <v>293</v>
      </c>
      <c r="T93" s="68" t="s">
        <v>733</v>
      </c>
      <c r="U93" s="68"/>
      <c r="V93" s="68" t="s">
        <v>827</v>
      </c>
      <c r="W93" s="68"/>
      <c r="X93" s="134">
        <v>1</v>
      </c>
    </row>
    <row r="94" spans="3:24">
      <c r="C94" s="58" t="s">
        <v>0</v>
      </c>
      <c r="D94" s="58" t="s">
        <v>0</v>
      </c>
      <c r="E94" s="120" t="s">
        <v>844</v>
      </c>
      <c r="F94" s="68">
        <v>2672573314</v>
      </c>
      <c r="G94" s="58" t="s">
        <v>454</v>
      </c>
      <c r="H94" s="59">
        <v>19188704</v>
      </c>
      <c r="I94" s="70" t="s">
        <v>730</v>
      </c>
      <c r="J94" s="71" t="s">
        <v>56</v>
      </c>
      <c r="K94" s="70" t="s">
        <v>870</v>
      </c>
      <c r="L94" s="70"/>
      <c r="M94" s="121" t="s">
        <v>292</v>
      </c>
      <c r="N94" s="128">
        <v>45748</v>
      </c>
      <c r="O94" s="132" t="s">
        <v>292</v>
      </c>
      <c r="P94" s="73">
        <v>45962</v>
      </c>
      <c r="Q94" s="71" t="s">
        <v>293</v>
      </c>
      <c r="R94" s="68" t="s">
        <v>733</v>
      </c>
      <c r="S94" s="71" t="s">
        <v>293</v>
      </c>
      <c r="T94" s="68" t="s">
        <v>733</v>
      </c>
      <c r="U94" s="68"/>
      <c r="V94" s="68" t="s">
        <v>827</v>
      </c>
      <c r="W94" s="68"/>
      <c r="X94" s="134">
        <v>1</v>
      </c>
    </row>
    <row r="95" spans="3:24">
      <c r="C95" s="58" t="s">
        <v>0</v>
      </c>
      <c r="D95" s="58" t="s">
        <v>0</v>
      </c>
      <c r="E95" s="120" t="s">
        <v>844</v>
      </c>
      <c r="F95" s="68">
        <v>2672573314</v>
      </c>
      <c r="G95" s="58" t="s">
        <v>455</v>
      </c>
      <c r="H95" s="59">
        <v>13271486</v>
      </c>
      <c r="I95" s="70" t="s">
        <v>730</v>
      </c>
      <c r="J95" s="71" t="s">
        <v>56</v>
      </c>
      <c r="K95" s="70" t="s">
        <v>870</v>
      </c>
      <c r="L95" s="70"/>
      <c r="M95" s="121" t="s">
        <v>292</v>
      </c>
      <c r="N95" s="128">
        <v>45748</v>
      </c>
      <c r="O95" s="132" t="s">
        <v>292</v>
      </c>
      <c r="P95" s="73">
        <v>45962</v>
      </c>
      <c r="Q95" s="71" t="s">
        <v>293</v>
      </c>
      <c r="R95" s="68" t="s">
        <v>733</v>
      </c>
      <c r="S95" s="71" t="s">
        <v>293</v>
      </c>
      <c r="T95" s="68" t="s">
        <v>733</v>
      </c>
      <c r="U95" s="68"/>
      <c r="V95" s="68" t="s">
        <v>827</v>
      </c>
      <c r="W95" s="68"/>
      <c r="X95" s="134">
        <v>1</v>
      </c>
    </row>
    <row r="96" spans="3:24">
      <c r="C96" s="94" t="s">
        <v>0</v>
      </c>
      <c r="D96" s="94" t="s">
        <v>0</v>
      </c>
      <c r="E96" s="123" t="s">
        <v>844</v>
      </c>
      <c r="F96" s="98">
        <v>2672573314</v>
      </c>
      <c r="G96" s="94" t="s">
        <v>456</v>
      </c>
      <c r="H96" s="95">
        <v>22213364</v>
      </c>
      <c r="I96" s="94" t="s">
        <v>730</v>
      </c>
      <c r="J96" s="97" t="s">
        <v>56</v>
      </c>
      <c r="K96" s="94"/>
      <c r="L96" s="94"/>
      <c r="M96" s="97" t="s">
        <v>292</v>
      </c>
      <c r="N96" s="129">
        <v>45748</v>
      </c>
      <c r="O96" s="130" t="s">
        <v>292</v>
      </c>
      <c r="P96" s="98"/>
      <c r="Q96" s="97" t="s">
        <v>869</v>
      </c>
      <c r="R96" s="98"/>
      <c r="S96" s="97" t="s">
        <v>869</v>
      </c>
      <c r="T96" s="94"/>
      <c r="U96" s="98"/>
      <c r="V96" s="98" t="s">
        <v>827</v>
      </c>
      <c r="W96" s="98" t="s">
        <v>826</v>
      </c>
      <c r="X96" s="134">
        <v>1</v>
      </c>
    </row>
    <row r="97" spans="3:24">
      <c r="C97" s="58" t="s">
        <v>0</v>
      </c>
      <c r="D97" s="58" t="s">
        <v>0</v>
      </c>
      <c r="E97" s="120" t="s">
        <v>844</v>
      </c>
      <c r="F97" s="68">
        <v>2672573314</v>
      </c>
      <c r="G97" s="58" t="s">
        <v>457</v>
      </c>
      <c r="H97" s="59">
        <v>19843415</v>
      </c>
      <c r="I97" s="60" t="s">
        <v>725</v>
      </c>
      <c r="J97" s="71" t="s">
        <v>56</v>
      </c>
      <c r="K97" s="70" t="s">
        <v>870</v>
      </c>
      <c r="L97" s="70"/>
      <c r="M97" s="121" t="s">
        <v>292</v>
      </c>
      <c r="N97" s="128">
        <v>45748</v>
      </c>
      <c r="O97" s="132" t="s">
        <v>292</v>
      </c>
      <c r="P97" s="73">
        <v>45962</v>
      </c>
      <c r="Q97" s="71" t="s">
        <v>293</v>
      </c>
      <c r="R97" s="68" t="s">
        <v>733</v>
      </c>
      <c r="S97" s="71" t="s">
        <v>293</v>
      </c>
      <c r="T97" s="68" t="s">
        <v>733</v>
      </c>
      <c r="U97" s="68"/>
      <c r="V97" s="68" t="s">
        <v>827</v>
      </c>
      <c r="W97" s="68"/>
      <c r="X97" s="134">
        <v>1</v>
      </c>
    </row>
    <row r="98" spans="3:24">
      <c r="C98" s="58" t="s">
        <v>0</v>
      </c>
      <c r="D98" s="58" t="s">
        <v>0</v>
      </c>
      <c r="E98" s="120" t="s">
        <v>844</v>
      </c>
      <c r="F98" s="68">
        <v>2672573314</v>
      </c>
      <c r="G98" s="58" t="s">
        <v>458</v>
      </c>
      <c r="H98" s="59">
        <v>19130427</v>
      </c>
      <c r="I98" s="60" t="s">
        <v>725</v>
      </c>
      <c r="J98" s="71" t="s">
        <v>56</v>
      </c>
      <c r="K98" s="70" t="s">
        <v>870</v>
      </c>
      <c r="L98" s="70"/>
      <c r="M98" s="121" t="s">
        <v>292</v>
      </c>
      <c r="N98" s="128">
        <v>45748</v>
      </c>
      <c r="O98" s="132" t="s">
        <v>292</v>
      </c>
      <c r="P98" s="73">
        <v>45962</v>
      </c>
      <c r="Q98" s="71" t="s">
        <v>293</v>
      </c>
      <c r="R98" s="68" t="s">
        <v>733</v>
      </c>
      <c r="S98" s="71" t="s">
        <v>293</v>
      </c>
      <c r="T98" s="68" t="s">
        <v>733</v>
      </c>
      <c r="U98" s="68"/>
      <c r="V98" s="68" t="s">
        <v>827</v>
      </c>
      <c r="W98" s="68"/>
      <c r="X98" s="134">
        <v>1</v>
      </c>
    </row>
    <row r="99" spans="3:24">
      <c r="C99" s="58" t="s">
        <v>0</v>
      </c>
      <c r="D99" s="58" t="s">
        <v>0</v>
      </c>
      <c r="E99" s="120" t="s">
        <v>844</v>
      </c>
      <c r="F99" s="68">
        <v>2672573314</v>
      </c>
      <c r="G99" s="58" t="s">
        <v>459</v>
      </c>
      <c r="H99" s="59">
        <v>18999575</v>
      </c>
      <c r="I99" s="60" t="s">
        <v>725</v>
      </c>
      <c r="J99" s="71" t="s">
        <v>56</v>
      </c>
      <c r="K99" s="70" t="s">
        <v>870</v>
      </c>
      <c r="L99" s="70"/>
      <c r="M99" s="121" t="s">
        <v>292</v>
      </c>
      <c r="N99" s="128">
        <v>45748</v>
      </c>
      <c r="O99" s="132" t="s">
        <v>292</v>
      </c>
      <c r="P99" s="73">
        <v>45962</v>
      </c>
      <c r="Q99" s="71" t="s">
        <v>293</v>
      </c>
      <c r="R99" s="68" t="s">
        <v>733</v>
      </c>
      <c r="S99" s="71" t="s">
        <v>293</v>
      </c>
      <c r="T99" s="68" t="s">
        <v>733</v>
      </c>
      <c r="U99" s="68"/>
      <c r="V99" s="68" t="s">
        <v>827</v>
      </c>
      <c r="W99" s="68"/>
      <c r="X99" s="134">
        <v>1</v>
      </c>
    </row>
    <row r="100" spans="3:24">
      <c r="C100" s="58" t="s">
        <v>0</v>
      </c>
      <c r="D100" s="58" t="s">
        <v>0</v>
      </c>
      <c r="E100" s="120" t="s">
        <v>844</v>
      </c>
      <c r="F100" s="68">
        <v>2672573314</v>
      </c>
      <c r="G100" s="58" t="s">
        <v>460</v>
      </c>
      <c r="H100" s="59">
        <v>15897980</v>
      </c>
      <c r="I100" s="70" t="s">
        <v>730</v>
      </c>
      <c r="J100" s="71" t="s">
        <v>56</v>
      </c>
      <c r="K100" s="70" t="s">
        <v>870</v>
      </c>
      <c r="L100" s="70"/>
      <c r="M100" s="121" t="s">
        <v>292</v>
      </c>
      <c r="N100" s="128">
        <v>45748</v>
      </c>
      <c r="O100" s="132" t="s">
        <v>292</v>
      </c>
      <c r="P100" s="73">
        <v>45962</v>
      </c>
      <c r="Q100" s="71" t="s">
        <v>293</v>
      </c>
      <c r="R100" s="68" t="s">
        <v>733</v>
      </c>
      <c r="S100" s="71" t="s">
        <v>293</v>
      </c>
      <c r="T100" s="68" t="s">
        <v>733</v>
      </c>
      <c r="U100" s="68"/>
      <c r="V100" s="68" t="s">
        <v>827</v>
      </c>
      <c r="W100" s="68"/>
      <c r="X100" s="134">
        <v>1</v>
      </c>
    </row>
    <row r="101" spans="3:24">
      <c r="C101" s="58" t="s">
        <v>0</v>
      </c>
      <c r="D101" s="58" t="s">
        <v>0</v>
      </c>
      <c r="E101" s="120" t="s">
        <v>844</v>
      </c>
      <c r="F101" s="68">
        <v>2672573314</v>
      </c>
      <c r="G101" s="58" t="s">
        <v>461</v>
      </c>
      <c r="H101" s="59">
        <v>26019988</v>
      </c>
      <c r="I101" s="60" t="s">
        <v>725</v>
      </c>
      <c r="J101" s="71" t="s">
        <v>56</v>
      </c>
      <c r="K101" s="70" t="s">
        <v>870</v>
      </c>
      <c r="L101" s="70"/>
      <c r="M101" s="121" t="s">
        <v>292</v>
      </c>
      <c r="N101" s="128">
        <v>45748</v>
      </c>
      <c r="O101" s="132" t="s">
        <v>292</v>
      </c>
      <c r="P101" s="73">
        <v>45962</v>
      </c>
      <c r="Q101" s="71" t="s">
        <v>293</v>
      </c>
      <c r="R101" s="68" t="s">
        <v>733</v>
      </c>
      <c r="S101" s="71" t="s">
        <v>293</v>
      </c>
      <c r="T101" s="68" t="s">
        <v>733</v>
      </c>
      <c r="U101" s="68"/>
      <c r="V101" s="68" t="s">
        <v>827</v>
      </c>
      <c r="W101" s="68"/>
      <c r="X101" s="134">
        <v>1</v>
      </c>
    </row>
    <row r="102" spans="3:24">
      <c r="C102" s="58" t="s">
        <v>0</v>
      </c>
      <c r="D102" s="58" t="s">
        <v>0</v>
      </c>
      <c r="E102" s="120" t="s">
        <v>844</v>
      </c>
      <c r="F102" s="68">
        <v>2672573314</v>
      </c>
      <c r="G102" s="58" t="s">
        <v>462</v>
      </c>
      <c r="H102" s="59">
        <v>30639871</v>
      </c>
      <c r="I102" s="60" t="s">
        <v>725</v>
      </c>
      <c r="J102" s="71" t="s">
        <v>56</v>
      </c>
      <c r="K102" s="70" t="s">
        <v>870</v>
      </c>
      <c r="L102" s="70"/>
      <c r="M102" s="121" t="s">
        <v>292</v>
      </c>
      <c r="N102" s="128">
        <v>45748</v>
      </c>
      <c r="O102" s="132" t="s">
        <v>292</v>
      </c>
      <c r="P102" s="73">
        <v>45962</v>
      </c>
      <c r="Q102" s="71" t="s">
        <v>293</v>
      </c>
      <c r="R102" s="68" t="s">
        <v>733</v>
      </c>
      <c r="S102" s="71" t="s">
        <v>293</v>
      </c>
      <c r="T102" s="68" t="s">
        <v>733</v>
      </c>
      <c r="U102" s="68"/>
      <c r="V102" s="68" t="s">
        <v>827</v>
      </c>
      <c r="W102" s="68"/>
      <c r="X102" s="134">
        <v>1</v>
      </c>
    </row>
    <row r="103" spans="3:24">
      <c r="C103" s="58" t="s">
        <v>0</v>
      </c>
      <c r="D103" s="58" t="s">
        <v>0</v>
      </c>
      <c r="E103" s="120" t="s">
        <v>844</v>
      </c>
      <c r="F103" s="68">
        <v>2672573314</v>
      </c>
      <c r="G103" s="58" t="s">
        <v>463</v>
      </c>
      <c r="H103" s="59">
        <v>21029364</v>
      </c>
      <c r="I103" s="60" t="s">
        <v>725</v>
      </c>
      <c r="J103" s="71" t="s">
        <v>56</v>
      </c>
      <c r="K103" s="70" t="s">
        <v>870</v>
      </c>
      <c r="L103" s="70"/>
      <c r="M103" s="121" t="s">
        <v>292</v>
      </c>
      <c r="N103" s="128">
        <v>45748</v>
      </c>
      <c r="O103" s="132" t="s">
        <v>292</v>
      </c>
      <c r="P103" s="73">
        <v>45962</v>
      </c>
      <c r="Q103" s="71" t="s">
        <v>293</v>
      </c>
      <c r="R103" s="68" t="s">
        <v>733</v>
      </c>
      <c r="S103" s="71" t="s">
        <v>293</v>
      </c>
      <c r="T103" s="68" t="s">
        <v>733</v>
      </c>
      <c r="U103" s="68"/>
      <c r="V103" s="68" t="s">
        <v>827</v>
      </c>
      <c r="W103" s="68"/>
      <c r="X103" s="134">
        <v>1</v>
      </c>
    </row>
    <row r="104" spans="3:24">
      <c r="C104" s="58" t="s">
        <v>0</v>
      </c>
      <c r="D104" s="58" t="s">
        <v>0</v>
      </c>
      <c r="E104" s="120" t="s">
        <v>844</v>
      </c>
      <c r="F104" s="68">
        <v>2672573314</v>
      </c>
      <c r="G104" s="58" t="s">
        <v>464</v>
      </c>
      <c r="H104" s="59">
        <v>24443641</v>
      </c>
      <c r="I104" s="60" t="s">
        <v>725</v>
      </c>
      <c r="J104" s="71" t="s">
        <v>56</v>
      </c>
      <c r="K104" s="70" t="s">
        <v>870</v>
      </c>
      <c r="L104" s="70"/>
      <c r="M104" s="121" t="s">
        <v>292</v>
      </c>
      <c r="N104" s="128">
        <v>45748</v>
      </c>
      <c r="O104" s="132" t="s">
        <v>292</v>
      </c>
      <c r="P104" s="73">
        <v>45962</v>
      </c>
      <c r="Q104" s="71" t="s">
        <v>293</v>
      </c>
      <c r="R104" s="68" t="s">
        <v>733</v>
      </c>
      <c r="S104" s="71" t="s">
        <v>293</v>
      </c>
      <c r="T104" s="68" t="s">
        <v>733</v>
      </c>
      <c r="U104" s="68"/>
      <c r="V104" s="68" t="s">
        <v>827</v>
      </c>
      <c r="W104" s="68"/>
      <c r="X104" s="134">
        <v>1</v>
      </c>
    </row>
    <row r="105" spans="3:24">
      <c r="C105" s="58" t="s">
        <v>0</v>
      </c>
      <c r="D105" s="58" t="s">
        <v>0</v>
      </c>
      <c r="E105" s="120" t="s">
        <v>844</v>
      </c>
      <c r="F105" s="68">
        <v>2672573314</v>
      </c>
      <c r="G105" s="58" t="s">
        <v>465</v>
      </c>
      <c r="H105" s="59">
        <v>18748734</v>
      </c>
      <c r="I105" s="60" t="s">
        <v>725</v>
      </c>
      <c r="J105" s="71" t="s">
        <v>56</v>
      </c>
      <c r="K105" s="70" t="s">
        <v>870</v>
      </c>
      <c r="L105" s="70"/>
      <c r="M105" s="121" t="s">
        <v>292</v>
      </c>
      <c r="N105" s="128">
        <v>45748</v>
      </c>
      <c r="O105" s="132" t="s">
        <v>292</v>
      </c>
      <c r="P105" s="73">
        <v>45962</v>
      </c>
      <c r="Q105" s="71" t="s">
        <v>293</v>
      </c>
      <c r="R105" s="68" t="s">
        <v>733</v>
      </c>
      <c r="S105" s="71" t="s">
        <v>293</v>
      </c>
      <c r="T105" s="68" t="s">
        <v>733</v>
      </c>
      <c r="U105" s="68"/>
      <c r="V105" s="68" t="s">
        <v>827</v>
      </c>
      <c r="W105" s="68"/>
      <c r="X105" s="134">
        <v>1</v>
      </c>
    </row>
    <row r="106" spans="3:24">
      <c r="C106" s="58" t="s">
        <v>0</v>
      </c>
      <c r="D106" s="58" t="s">
        <v>0</v>
      </c>
      <c r="E106" s="120" t="s">
        <v>844</v>
      </c>
      <c r="F106" s="68">
        <v>2672573314</v>
      </c>
      <c r="G106" s="58" t="s">
        <v>97</v>
      </c>
      <c r="H106" s="59">
        <v>24629986</v>
      </c>
      <c r="I106" s="70" t="s">
        <v>730</v>
      </c>
      <c r="J106" s="71" t="s">
        <v>55</v>
      </c>
      <c r="K106" s="70" t="s">
        <v>870</v>
      </c>
      <c r="L106" s="70"/>
      <c r="M106" s="121" t="s">
        <v>292</v>
      </c>
      <c r="N106" s="128">
        <v>45748</v>
      </c>
      <c r="O106" s="132" t="s">
        <v>292</v>
      </c>
      <c r="P106" s="73">
        <v>45962</v>
      </c>
      <c r="Q106" s="71" t="s">
        <v>293</v>
      </c>
      <c r="R106" s="68" t="s">
        <v>733</v>
      </c>
      <c r="S106" s="71" t="s">
        <v>293</v>
      </c>
      <c r="T106" s="68" t="s">
        <v>733</v>
      </c>
      <c r="U106" s="68"/>
      <c r="V106" s="68" t="s">
        <v>827</v>
      </c>
      <c r="W106" s="68"/>
      <c r="X106" s="134">
        <v>1</v>
      </c>
    </row>
    <row r="107" spans="3:24">
      <c r="C107" s="58" t="s">
        <v>0</v>
      </c>
      <c r="D107" s="58" t="s">
        <v>0</v>
      </c>
      <c r="E107" s="120" t="s">
        <v>844</v>
      </c>
      <c r="F107" s="68">
        <v>2672573314</v>
      </c>
      <c r="G107" s="58" t="s">
        <v>98</v>
      </c>
      <c r="H107" s="59">
        <v>16449647</v>
      </c>
      <c r="I107" s="60" t="s">
        <v>725</v>
      </c>
      <c r="J107" s="71" t="s">
        <v>55</v>
      </c>
      <c r="K107" s="70" t="s">
        <v>870</v>
      </c>
      <c r="L107" s="70"/>
      <c r="M107" s="121" t="s">
        <v>292</v>
      </c>
      <c r="N107" s="128">
        <v>45748</v>
      </c>
      <c r="O107" s="132" t="s">
        <v>292</v>
      </c>
      <c r="P107" s="73">
        <v>45962</v>
      </c>
      <c r="Q107" s="71" t="s">
        <v>293</v>
      </c>
      <c r="R107" s="68" t="s">
        <v>733</v>
      </c>
      <c r="S107" s="71" t="s">
        <v>293</v>
      </c>
      <c r="T107" s="68" t="s">
        <v>733</v>
      </c>
      <c r="U107" s="68"/>
      <c r="V107" s="68" t="s">
        <v>827</v>
      </c>
      <c r="W107" s="68"/>
      <c r="X107" s="134">
        <v>1</v>
      </c>
    </row>
    <row r="108" spans="3:24">
      <c r="C108" s="58" t="s">
        <v>0</v>
      </c>
      <c r="D108" s="58" t="s">
        <v>0</v>
      </c>
      <c r="E108" s="120" t="s">
        <v>844</v>
      </c>
      <c r="F108" s="68">
        <v>2672573314</v>
      </c>
      <c r="G108" s="58" t="s">
        <v>99</v>
      </c>
      <c r="H108" s="59">
        <v>27111205</v>
      </c>
      <c r="I108" s="70" t="s">
        <v>730</v>
      </c>
      <c r="J108" s="71" t="s">
        <v>55</v>
      </c>
      <c r="K108" s="70" t="s">
        <v>870</v>
      </c>
      <c r="L108" s="70"/>
      <c r="M108" s="121" t="s">
        <v>292</v>
      </c>
      <c r="N108" s="128">
        <v>45748</v>
      </c>
      <c r="O108" s="132" t="s">
        <v>292</v>
      </c>
      <c r="P108" s="73">
        <v>45962</v>
      </c>
      <c r="Q108" s="71" t="s">
        <v>293</v>
      </c>
      <c r="R108" s="68" t="s">
        <v>733</v>
      </c>
      <c r="S108" s="71" t="s">
        <v>293</v>
      </c>
      <c r="T108" s="68" t="s">
        <v>733</v>
      </c>
      <c r="U108" s="68"/>
      <c r="V108" s="68" t="s">
        <v>827</v>
      </c>
      <c r="W108" s="68"/>
      <c r="X108" s="134">
        <v>1</v>
      </c>
    </row>
    <row r="109" spans="3:24">
      <c r="C109" s="58" t="s">
        <v>0</v>
      </c>
      <c r="D109" s="58" t="s">
        <v>0</v>
      </c>
      <c r="E109" s="120" t="s">
        <v>844</v>
      </c>
      <c r="F109" s="68">
        <v>2672573314</v>
      </c>
      <c r="G109" s="58" t="s">
        <v>100</v>
      </c>
      <c r="H109" s="59">
        <v>27548643</v>
      </c>
      <c r="I109" s="60" t="s">
        <v>725</v>
      </c>
      <c r="J109" s="71" t="s">
        <v>55</v>
      </c>
      <c r="K109" s="70" t="s">
        <v>870</v>
      </c>
      <c r="L109" s="70"/>
      <c r="M109" s="121" t="s">
        <v>292</v>
      </c>
      <c r="N109" s="128">
        <v>45748</v>
      </c>
      <c r="O109" s="132" t="s">
        <v>292</v>
      </c>
      <c r="P109" s="73">
        <v>45962</v>
      </c>
      <c r="Q109" s="71" t="s">
        <v>293</v>
      </c>
      <c r="R109" s="68" t="s">
        <v>733</v>
      </c>
      <c r="S109" s="71" t="s">
        <v>293</v>
      </c>
      <c r="T109" s="68" t="s">
        <v>733</v>
      </c>
      <c r="U109" s="68"/>
      <c r="V109" s="68" t="s">
        <v>827</v>
      </c>
      <c r="W109" s="68"/>
      <c r="X109" s="134">
        <v>1</v>
      </c>
    </row>
    <row r="110" spans="3:24">
      <c r="C110" s="58" t="s">
        <v>0</v>
      </c>
      <c r="D110" s="58" t="s">
        <v>0</v>
      </c>
      <c r="E110" s="120" t="s">
        <v>844</v>
      </c>
      <c r="F110" s="68">
        <v>2672573314</v>
      </c>
      <c r="G110" s="58" t="s">
        <v>101</v>
      </c>
      <c r="H110" s="59">
        <v>28113122</v>
      </c>
      <c r="I110" s="60" t="s">
        <v>725</v>
      </c>
      <c r="J110" s="71" t="s">
        <v>55</v>
      </c>
      <c r="K110" s="70" t="s">
        <v>870</v>
      </c>
      <c r="L110" s="70"/>
      <c r="M110" s="121" t="s">
        <v>292</v>
      </c>
      <c r="N110" s="128">
        <v>45748</v>
      </c>
      <c r="O110" s="132" t="s">
        <v>292</v>
      </c>
      <c r="P110" s="73">
        <v>45962</v>
      </c>
      <c r="Q110" s="71" t="s">
        <v>293</v>
      </c>
      <c r="R110" s="68" t="s">
        <v>733</v>
      </c>
      <c r="S110" s="71" t="s">
        <v>293</v>
      </c>
      <c r="T110" s="68" t="s">
        <v>733</v>
      </c>
      <c r="U110" s="68"/>
      <c r="V110" s="68" t="s">
        <v>827</v>
      </c>
      <c r="W110" s="68"/>
      <c r="X110" s="134">
        <v>1</v>
      </c>
    </row>
    <row r="111" spans="3:24">
      <c r="C111" s="58" t="s">
        <v>0</v>
      </c>
      <c r="D111" s="58" t="s">
        <v>0</v>
      </c>
      <c r="E111" s="120" t="s">
        <v>844</v>
      </c>
      <c r="F111" s="68">
        <v>2672573314</v>
      </c>
      <c r="G111" s="58" t="s">
        <v>466</v>
      </c>
      <c r="H111" s="59">
        <v>19021730</v>
      </c>
      <c r="I111" s="70" t="s">
        <v>730</v>
      </c>
      <c r="J111" s="71" t="s">
        <v>55</v>
      </c>
      <c r="K111" s="70" t="s">
        <v>870</v>
      </c>
      <c r="L111" s="70"/>
      <c r="M111" s="121" t="s">
        <v>292</v>
      </c>
      <c r="N111" s="128">
        <v>45748</v>
      </c>
      <c r="O111" s="132" t="s">
        <v>292</v>
      </c>
      <c r="P111" s="73">
        <v>45962</v>
      </c>
      <c r="Q111" s="71" t="s">
        <v>293</v>
      </c>
      <c r="R111" s="68" t="s">
        <v>733</v>
      </c>
      <c r="S111" s="71" t="s">
        <v>293</v>
      </c>
      <c r="T111" s="68" t="s">
        <v>733</v>
      </c>
      <c r="U111" s="68"/>
      <c r="V111" s="68" t="s">
        <v>827</v>
      </c>
      <c r="W111" s="68"/>
      <c r="X111" s="134">
        <v>1</v>
      </c>
    </row>
    <row r="112" spans="3:24">
      <c r="C112" s="58" t="s">
        <v>0</v>
      </c>
      <c r="D112" s="58" t="s">
        <v>0</v>
      </c>
      <c r="E112" s="120" t="s">
        <v>844</v>
      </c>
      <c r="F112" s="68">
        <v>2672573314</v>
      </c>
      <c r="G112" s="58" t="s">
        <v>103</v>
      </c>
      <c r="H112" s="59">
        <v>20700562</v>
      </c>
      <c r="I112" s="70" t="s">
        <v>730</v>
      </c>
      <c r="J112" s="71" t="s">
        <v>55</v>
      </c>
      <c r="K112" s="70" t="s">
        <v>870</v>
      </c>
      <c r="L112" s="70"/>
      <c r="M112" s="121" t="s">
        <v>292</v>
      </c>
      <c r="N112" s="128">
        <v>45748</v>
      </c>
      <c r="O112" s="132" t="s">
        <v>292</v>
      </c>
      <c r="P112" s="73">
        <v>45962</v>
      </c>
      <c r="Q112" s="71" t="s">
        <v>293</v>
      </c>
      <c r="R112" s="68" t="s">
        <v>733</v>
      </c>
      <c r="S112" s="71" t="s">
        <v>293</v>
      </c>
      <c r="T112" s="68" t="s">
        <v>733</v>
      </c>
      <c r="U112" s="68"/>
      <c r="V112" s="68" t="s">
        <v>827</v>
      </c>
      <c r="W112" s="68"/>
      <c r="X112" s="134">
        <v>1</v>
      </c>
    </row>
    <row r="113" spans="3:24">
      <c r="C113" s="58" t="s">
        <v>0</v>
      </c>
      <c r="D113" s="58" t="s">
        <v>0</v>
      </c>
      <c r="E113" s="120" t="s">
        <v>844</v>
      </c>
      <c r="F113" s="68">
        <v>2672573314</v>
      </c>
      <c r="G113" s="58" t="s">
        <v>104</v>
      </c>
      <c r="H113" s="59">
        <v>30096039</v>
      </c>
      <c r="I113" s="60" t="s">
        <v>725</v>
      </c>
      <c r="J113" s="71" t="s">
        <v>55</v>
      </c>
      <c r="K113" s="70" t="s">
        <v>870</v>
      </c>
      <c r="L113" s="70"/>
      <c r="M113" s="121" t="s">
        <v>292</v>
      </c>
      <c r="N113" s="128">
        <v>45748</v>
      </c>
      <c r="O113" s="132" t="s">
        <v>292</v>
      </c>
      <c r="P113" s="73">
        <v>45962</v>
      </c>
      <c r="Q113" s="71" t="s">
        <v>293</v>
      </c>
      <c r="R113" s="68" t="s">
        <v>733</v>
      </c>
      <c r="S113" s="71" t="s">
        <v>293</v>
      </c>
      <c r="T113" s="68" t="s">
        <v>733</v>
      </c>
      <c r="U113" s="68"/>
      <c r="V113" s="68" t="s">
        <v>827</v>
      </c>
      <c r="W113" s="68"/>
      <c r="X113" s="134">
        <v>1</v>
      </c>
    </row>
    <row r="114" spans="3:24">
      <c r="C114" s="58" t="s">
        <v>0</v>
      </c>
      <c r="D114" s="58" t="s">
        <v>0</v>
      </c>
      <c r="E114" s="120" t="s">
        <v>844</v>
      </c>
      <c r="F114" s="68">
        <v>2672573314</v>
      </c>
      <c r="G114" s="58" t="s">
        <v>105</v>
      </c>
      <c r="H114" s="59">
        <v>19781281</v>
      </c>
      <c r="I114" s="60" t="s">
        <v>725</v>
      </c>
      <c r="J114" s="71" t="s">
        <v>56</v>
      </c>
      <c r="K114" s="70" t="s">
        <v>870</v>
      </c>
      <c r="L114" s="70"/>
      <c r="M114" s="121" t="s">
        <v>292</v>
      </c>
      <c r="N114" s="128">
        <v>45748</v>
      </c>
      <c r="O114" s="132" t="s">
        <v>292</v>
      </c>
      <c r="P114" s="73">
        <v>45962</v>
      </c>
      <c r="Q114" s="71" t="s">
        <v>293</v>
      </c>
      <c r="R114" s="68" t="s">
        <v>733</v>
      </c>
      <c r="S114" s="71" t="s">
        <v>293</v>
      </c>
      <c r="T114" s="68" t="s">
        <v>733</v>
      </c>
      <c r="U114" s="68"/>
      <c r="V114" s="68" t="s">
        <v>827</v>
      </c>
      <c r="W114" s="68"/>
      <c r="X114" s="134">
        <v>1</v>
      </c>
    </row>
    <row r="115" spans="3:24">
      <c r="C115" s="58" t="s">
        <v>0</v>
      </c>
      <c r="D115" s="58" t="s">
        <v>0</v>
      </c>
      <c r="E115" s="120" t="s">
        <v>844</v>
      </c>
      <c r="F115" s="68">
        <v>2672573314</v>
      </c>
      <c r="G115" s="58" t="s">
        <v>106</v>
      </c>
      <c r="H115" s="59">
        <v>14571391</v>
      </c>
      <c r="I115" s="60" t="s">
        <v>725</v>
      </c>
      <c r="J115" s="71" t="s">
        <v>56</v>
      </c>
      <c r="K115" s="70" t="s">
        <v>870</v>
      </c>
      <c r="L115" s="70"/>
      <c r="M115" s="121" t="s">
        <v>292</v>
      </c>
      <c r="N115" s="128">
        <v>45748</v>
      </c>
      <c r="O115" s="132" t="s">
        <v>292</v>
      </c>
      <c r="P115" s="73">
        <v>45962</v>
      </c>
      <c r="Q115" s="71" t="s">
        <v>293</v>
      </c>
      <c r="R115" s="68" t="s">
        <v>733</v>
      </c>
      <c r="S115" s="71" t="s">
        <v>293</v>
      </c>
      <c r="T115" s="68" t="s">
        <v>733</v>
      </c>
      <c r="U115" s="68"/>
      <c r="V115" s="68" t="s">
        <v>827</v>
      </c>
      <c r="W115" s="68"/>
      <c r="X115" s="134">
        <v>1</v>
      </c>
    </row>
    <row r="116" spans="3:24">
      <c r="C116" s="58" t="s">
        <v>0</v>
      </c>
      <c r="D116" s="58" t="s">
        <v>0</v>
      </c>
      <c r="E116" s="120" t="s">
        <v>844</v>
      </c>
      <c r="F116" s="68">
        <v>2672573314</v>
      </c>
      <c r="G116" s="58" t="s">
        <v>107</v>
      </c>
      <c r="H116" s="59">
        <v>25969677</v>
      </c>
      <c r="I116" s="70" t="s">
        <v>730</v>
      </c>
      <c r="J116" s="71" t="s">
        <v>56</v>
      </c>
      <c r="K116" s="70" t="s">
        <v>870</v>
      </c>
      <c r="L116" s="70"/>
      <c r="M116" s="121" t="s">
        <v>292</v>
      </c>
      <c r="N116" s="128">
        <v>45748</v>
      </c>
      <c r="O116" s="132" t="s">
        <v>292</v>
      </c>
      <c r="P116" s="73">
        <v>45962</v>
      </c>
      <c r="Q116" s="71" t="s">
        <v>293</v>
      </c>
      <c r="R116" s="68" t="s">
        <v>733</v>
      </c>
      <c r="S116" s="71" t="s">
        <v>293</v>
      </c>
      <c r="T116" s="68" t="s">
        <v>733</v>
      </c>
      <c r="U116" s="68"/>
      <c r="V116" s="68" t="s">
        <v>827</v>
      </c>
      <c r="W116" s="68"/>
      <c r="X116" s="134">
        <v>1</v>
      </c>
    </row>
    <row r="117" spans="3:24">
      <c r="C117" s="94" t="s">
        <v>0</v>
      </c>
      <c r="D117" s="94" t="s">
        <v>0</v>
      </c>
      <c r="E117" s="123" t="s">
        <v>844</v>
      </c>
      <c r="F117" s="98">
        <v>2672573314</v>
      </c>
      <c r="G117" s="94" t="s">
        <v>108</v>
      </c>
      <c r="H117" s="95">
        <v>24968477</v>
      </c>
      <c r="I117" s="96" t="s">
        <v>725</v>
      </c>
      <c r="J117" s="97" t="s">
        <v>56</v>
      </c>
      <c r="K117" s="94"/>
      <c r="L117" s="94"/>
      <c r="M117" s="97" t="s">
        <v>292</v>
      </c>
      <c r="N117" s="129">
        <v>45748</v>
      </c>
      <c r="O117" s="130" t="s">
        <v>292</v>
      </c>
      <c r="P117" s="99">
        <v>45962</v>
      </c>
      <c r="Q117" s="97" t="s">
        <v>869</v>
      </c>
      <c r="R117" s="98"/>
      <c r="S117" s="97" t="s">
        <v>869</v>
      </c>
      <c r="T117" s="94"/>
      <c r="U117" s="98"/>
      <c r="V117" s="98" t="s">
        <v>827</v>
      </c>
      <c r="W117" s="98" t="s">
        <v>744</v>
      </c>
      <c r="X117" s="134">
        <v>1</v>
      </c>
    </row>
    <row r="118" spans="3:24">
      <c r="C118" s="58" t="s">
        <v>0</v>
      </c>
      <c r="D118" s="58" t="s">
        <v>0</v>
      </c>
      <c r="E118" s="120" t="s">
        <v>844</v>
      </c>
      <c r="F118" s="68">
        <v>2672573314</v>
      </c>
      <c r="G118" s="58" t="s">
        <v>467</v>
      </c>
      <c r="H118" s="59">
        <v>29525255</v>
      </c>
      <c r="I118" s="60" t="s">
        <v>706</v>
      </c>
      <c r="J118" s="71" t="s">
        <v>56</v>
      </c>
      <c r="K118" s="70" t="s">
        <v>870</v>
      </c>
      <c r="L118" s="70"/>
      <c r="M118" s="121" t="s">
        <v>292</v>
      </c>
      <c r="N118" s="128">
        <v>45748</v>
      </c>
      <c r="O118" s="132" t="s">
        <v>292</v>
      </c>
      <c r="P118" s="73">
        <v>45962</v>
      </c>
      <c r="Q118" s="71" t="s">
        <v>293</v>
      </c>
      <c r="R118" s="68" t="s">
        <v>733</v>
      </c>
      <c r="S118" s="71" t="s">
        <v>293</v>
      </c>
      <c r="T118" s="68" t="s">
        <v>733</v>
      </c>
      <c r="U118" s="68"/>
      <c r="V118" s="68" t="s">
        <v>827</v>
      </c>
      <c r="W118" s="68"/>
      <c r="X118" s="134">
        <v>1</v>
      </c>
    </row>
    <row r="119" spans="3:24">
      <c r="C119" s="58" t="s">
        <v>0</v>
      </c>
      <c r="D119" s="58" t="s">
        <v>0</v>
      </c>
      <c r="E119" s="120" t="s">
        <v>844</v>
      </c>
      <c r="F119" s="68">
        <v>2672573314</v>
      </c>
      <c r="G119" s="58" t="s">
        <v>468</v>
      </c>
      <c r="H119" s="59">
        <v>27228497</v>
      </c>
      <c r="I119" s="70" t="s">
        <v>410</v>
      </c>
      <c r="J119" s="71" t="s">
        <v>56</v>
      </c>
      <c r="K119" s="70" t="s">
        <v>870</v>
      </c>
      <c r="L119" s="70"/>
      <c r="M119" s="121" t="s">
        <v>292</v>
      </c>
      <c r="N119" s="128">
        <v>45748</v>
      </c>
      <c r="O119" s="132" t="s">
        <v>292</v>
      </c>
      <c r="P119" s="73">
        <v>45962</v>
      </c>
      <c r="Q119" s="71" t="s">
        <v>293</v>
      </c>
      <c r="R119" s="68" t="s">
        <v>733</v>
      </c>
      <c r="S119" s="71" t="s">
        <v>293</v>
      </c>
      <c r="T119" s="68" t="s">
        <v>733</v>
      </c>
      <c r="U119" s="68"/>
      <c r="V119" s="68" t="s">
        <v>827</v>
      </c>
      <c r="W119" s="68"/>
      <c r="X119" s="134">
        <v>1</v>
      </c>
    </row>
    <row r="120" spans="3:24">
      <c r="C120" s="58" t="s">
        <v>0</v>
      </c>
      <c r="D120" s="58" t="s">
        <v>0</v>
      </c>
      <c r="E120" s="120" t="s">
        <v>844</v>
      </c>
      <c r="F120" s="68">
        <v>2672573314</v>
      </c>
      <c r="G120" s="58" t="s">
        <v>469</v>
      </c>
      <c r="H120" s="59">
        <v>23439354</v>
      </c>
      <c r="I120" s="70" t="s">
        <v>730</v>
      </c>
      <c r="J120" s="71" t="s">
        <v>56</v>
      </c>
      <c r="K120" s="70" t="s">
        <v>870</v>
      </c>
      <c r="L120" s="70"/>
      <c r="M120" s="121" t="s">
        <v>292</v>
      </c>
      <c r="N120" s="128">
        <v>45748</v>
      </c>
      <c r="O120" s="132" t="s">
        <v>292</v>
      </c>
      <c r="P120" s="73">
        <v>45962</v>
      </c>
      <c r="Q120" s="71" t="s">
        <v>293</v>
      </c>
      <c r="R120" s="68" t="s">
        <v>733</v>
      </c>
      <c r="S120" s="71" t="s">
        <v>293</v>
      </c>
      <c r="T120" s="68" t="s">
        <v>733</v>
      </c>
      <c r="U120" s="68"/>
      <c r="V120" s="68" t="s">
        <v>827</v>
      </c>
      <c r="W120" s="68"/>
      <c r="X120" s="134">
        <v>1</v>
      </c>
    </row>
    <row r="121" spans="3:24">
      <c r="C121" s="58" t="s">
        <v>0</v>
      </c>
      <c r="D121" s="58" t="s">
        <v>0</v>
      </c>
      <c r="E121" s="120" t="s">
        <v>844</v>
      </c>
      <c r="F121" s="68">
        <v>2672573314</v>
      </c>
      <c r="G121" s="58" t="s">
        <v>470</v>
      </c>
      <c r="H121" s="59">
        <v>24569140</v>
      </c>
      <c r="I121" s="70" t="s">
        <v>730</v>
      </c>
      <c r="J121" s="71" t="s">
        <v>56</v>
      </c>
      <c r="K121" s="70" t="s">
        <v>870</v>
      </c>
      <c r="L121" s="70"/>
      <c r="M121" s="121" t="s">
        <v>292</v>
      </c>
      <c r="N121" s="128">
        <v>45748</v>
      </c>
      <c r="O121" s="132" t="s">
        <v>292</v>
      </c>
      <c r="P121" s="73">
        <v>45962</v>
      </c>
      <c r="Q121" s="71" t="s">
        <v>293</v>
      </c>
      <c r="R121" s="68" t="s">
        <v>733</v>
      </c>
      <c r="S121" s="71" t="s">
        <v>293</v>
      </c>
      <c r="T121" s="68" t="s">
        <v>733</v>
      </c>
      <c r="U121" s="68"/>
      <c r="V121" s="68" t="s">
        <v>827</v>
      </c>
      <c r="W121" s="68"/>
      <c r="X121" s="134">
        <v>1</v>
      </c>
    </row>
    <row r="122" spans="3:24">
      <c r="C122" s="58" t="s">
        <v>0</v>
      </c>
      <c r="D122" s="58" t="s">
        <v>0</v>
      </c>
      <c r="E122" s="120" t="s">
        <v>844</v>
      </c>
      <c r="F122" s="68">
        <v>2672573314</v>
      </c>
      <c r="G122" s="58" t="s">
        <v>471</v>
      </c>
      <c r="H122" s="59">
        <v>27853422</v>
      </c>
      <c r="I122" s="70" t="s">
        <v>730</v>
      </c>
      <c r="J122" s="71" t="s">
        <v>56</v>
      </c>
      <c r="K122" s="70" t="s">
        <v>870</v>
      </c>
      <c r="L122" s="70"/>
      <c r="M122" s="121" t="s">
        <v>292</v>
      </c>
      <c r="N122" s="128">
        <v>45748</v>
      </c>
      <c r="O122" s="132" t="s">
        <v>292</v>
      </c>
      <c r="P122" s="73">
        <v>45962</v>
      </c>
      <c r="Q122" s="71" t="s">
        <v>293</v>
      </c>
      <c r="R122" s="68" t="s">
        <v>733</v>
      </c>
      <c r="S122" s="71" t="s">
        <v>293</v>
      </c>
      <c r="T122" s="68" t="s">
        <v>733</v>
      </c>
      <c r="U122" s="68"/>
      <c r="V122" s="68" t="s">
        <v>827</v>
      </c>
      <c r="W122" s="68"/>
      <c r="X122" s="134">
        <v>1</v>
      </c>
    </row>
    <row r="123" spans="3:24">
      <c r="C123" s="58" t="s">
        <v>0</v>
      </c>
      <c r="D123" s="58" t="s">
        <v>0</v>
      </c>
      <c r="E123" s="120" t="s">
        <v>844</v>
      </c>
      <c r="F123" s="68">
        <v>2672573314</v>
      </c>
      <c r="G123" s="58" t="s">
        <v>472</v>
      </c>
      <c r="H123" s="59">
        <v>16153508</v>
      </c>
      <c r="I123" s="60" t="s">
        <v>725</v>
      </c>
      <c r="J123" s="71" t="s">
        <v>56</v>
      </c>
      <c r="K123" s="70" t="s">
        <v>870</v>
      </c>
      <c r="L123" s="70"/>
      <c r="M123" s="121" t="s">
        <v>292</v>
      </c>
      <c r="N123" s="128">
        <v>45748</v>
      </c>
      <c r="O123" s="132" t="s">
        <v>292</v>
      </c>
      <c r="P123" s="73">
        <v>45962</v>
      </c>
      <c r="Q123" s="71" t="s">
        <v>293</v>
      </c>
      <c r="R123" s="68" t="s">
        <v>733</v>
      </c>
      <c r="S123" s="71" t="s">
        <v>293</v>
      </c>
      <c r="T123" s="68" t="s">
        <v>733</v>
      </c>
      <c r="U123" s="68"/>
      <c r="V123" s="68" t="s">
        <v>827</v>
      </c>
      <c r="W123" s="68"/>
      <c r="X123" s="134">
        <v>1</v>
      </c>
    </row>
    <row r="124" spans="3:24">
      <c r="C124" s="58" t="s">
        <v>0</v>
      </c>
      <c r="D124" s="58" t="s">
        <v>0</v>
      </c>
      <c r="E124" s="120" t="s">
        <v>844</v>
      </c>
      <c r="F124" s="68">
        <v>2672573314</v>
      </c>
      <c r="G124" s="58" t="s">
        <v>473</v>
      </c>
      <c r="H124" s="59">
        <v>23428900</v>
      </c>
      <c r="I124" s="70" t="s">
        <v>730</v>
      </c>
      <c r="J124" s="71" t="s">
        <v>56</v>
      </c>
      <c r="K124" s="70" t="s">
        <v>870</v>
      </c>
      <c r="L124" s="70"/>
      <c r="M124" s="121" t="s">
        <v>292</v>
      </c>
      <c r="N124" s="128">
        <v>45748</v>
      </c>
      <c r="O124" s="132" t="s">
        <v>292</v>
      </c>
      <c r="P124" s="73">
        <v>45962</v>
      </c>
      <c r="Q124" s="71" t="s">
        <v>293</v>
      </c>
      <c r="R124" s="68" t="s">
        <v>733</v>
      </c>
      <c r="S124" s="71" t="s">
        <v>293</v>
      </c>
      <c r="T124" s="68" t="s">
        <v>733</v>
      </c>
      <c r="U124" s="68"/>
      <c r="V124" s="68" t="s">
        <v>827</v>
      </c>
      <c r="W124" s="68"/>
      <c r="X124" s="134">
        <v>1</v>
      </c>
    </row>
    <row r="125" spans="3:24">
      <c r="C125" s="58" t="s">
        <v>0</v>
      </c>
      <c r="D125" s="58" t="s">
        <v>0</v>
      </c>
      <c r="E125" s="120" t="s">
        <v>844</v>
      </c>
      <c r="F125" s="68">
        <v>2672573314</v>
      </c>
      <c r="G125" s="58" t="s">
        <v>474</v>
      </c>
      <c r="H125" s="59">
        <v>27856677</v>
      </c>
      <c r="I125" s="60" t="s">
        <v>725</v>
      </c>
      <c r="J125" s="71" t="s">
        <v>56</v>
      </c>
      <c r="K125" s="70" t="s">
        <v>870</v>
      </c>
      <c r="L125" s="70"/>
      <c r="M125" s="121" t="s">
        <v>292</v>
      </c>
      <c r="N125" s="128">
        <v>45748</v>
      </c>
      <c r="O125" s="132" t="s">
        <v>292</v>
      </c>
      <c r="P125" s="73">
        <v>45962</v>
      </c>
      <c r="Q125" s="71" t="s">
        <v>293</v>
      </c>
      <c r="R125" s="68" t="s">
        <v>733</v>
      </c>
      <c r="S125" s="71" t="s">
        <v>293</v>
      </c>
      <c r="T125" s="68" t="s">
        <v>733</v>
      </c>
      <c r="U125" s="68"/>
      <c r="V125" s="68" t="s">
        <v>827</v>
      </c>
      <c r="W125" s="68"/>
      <c r="X125" s="134">
        <v>1</v>
      </c>
    </row>
    <row r="126" spans="3:24">
      <c r="C126" s="58" t="s">
        <v>0</v>
      </c>
      <c r="D126" s="58" t="s">
        <v>0</v>
      </c>
      <c r="E126" s="120" t="s">
        <v>844</v>
      </c>
      <c r="F126" s="68">
        <v>2672573314</v>
      </c>
      <c r="G126" s="58" t="s">
        <v>475</v>
      </c>
      <c r="H126" s="59">
        <v>27343317</v>
      </c>
      <c r="I126" s="60" t="s">
        <v>725</v>
      </c>
      <c r="J126" s="71" t="s">
        <v>56</v>
      </c>
      <c r="K126" s="70" t="s">
        <v>870</v>
      </c>
      <c r="L126" s="70"/>
      <c r="M126" s="121" t="s">
        <v>292</v>
      </c>
      <c r="N126" s="128">
        <v>45748</v>
      </c>
      <c r="O126" s="132" t="s">
        <v>292</v>
      </c>
      <c r="P126" s="73">
        <v>45962</v>
      </c>
      <c r="Q126" s="71" t="s">
        <v>293</v>
      </c>
      <c r="R126" s="68" t="s">
        <v>733</v>
      </c>
      <c r="S126" s="71" t="s">
        <v>293</v>
      </c>
      <c r="T126" s="68" t="s">
        <v>733</v>
      </c>
      <c r="U126" s="68"/>
      <c r="V126" s="68" t="s">
        <v>827</v>
      </c>
      <c r="W126" s="68"/>
      <c r="X126" s="134">
        <v>1</v>
      </c>
    </row>
    <row r="127" spans="3:24">
      <c r="C127" s="58" t="s">
        <v>0</v>
      </c>
      <c r="D127" s="58" t="s">
        <v>0</v>
      </c>
      <c r="E127" s="120" t="s">
        <v>844</v>
      </c>
      <c r="F127" s="68">
        <v>2672573314</v>
      </c>
      <c r="G127" s="58" t="s">
        <v>476</v>
      </c>
      <c r="H127" s="59">
        <v>22556069</v>
      </c>
      <c r="I127" s="70" t="s">
        <v>730</v>
      </c>
      <c r="J127" s="71" t="s">
        <v>56</v>
      </c>
      <c r="K127" s="70" t="s">
        <v>870</v>
      </c>
      <c r="L127" s="70"/>
      <c r="M127" s="121" t="s">
        <v>292</v>
      </c>
      <c r="N127" s="128">
        <v>45748</v>
      </c>
      <c r="O127" s="132" t="s">
        <v>292</v>
      </c>
      <c r="P127" s="73">
        <v>45962</v>
      </c>
      <c r="Q127" s="71" t="s">
        <v>293</v>
      </c>
      <c r="R127" s="68" t="s">
        <v>733</v>
      </c>
      <c r="S127" s="71" t="s">
        <v>293</v>
      </c>
      <c r="T127" s="68" t="s">
        <v>733</v>
      </c>
      <c r="U127" s="68"/>
      <c r="V127" s="68" t="s">
        <v>827</v>
      </c>
      <c r="W127" s="68"/>
      <c r="X127" s="134">
        <v>1</v>
      </c>
    </row>
    <row r="128" spans="3:24">
      <c r="C128" s="58" t="s">
        <v>0</v>
      </c>
      <c r="D128" s="58" t="s">
        <v>0</v>
      </c>
      <c r="E128" s="120" t="s">
        <v>844</v>
      </c>
      <c r="F128" s="68">
        <v>2672573314</v>
      </c>
      <c r="G128" s="58" t="s">
        <v>657</v>
      </c>
      <c r="H128" s="59">
        <v>26160665</v>
      </c>
      <c r="I128" s="70" t="s">
        <v>730</v>
      </c>
      <c r="J128" s="71" t="s">
        <v>56</v>
      </c>
      <c r="K128" s="70" t="s">
        <v>870</v>
      </c>
      <c r="L128" s="70"/>
      <c r="M128" s="121" t="s">
        <v>292</v>
      </c>
      <c r="N128" s="128">
        <v>45748</v>
      </c>
      <c r="O128" s="132" t="s">
        <v>292</v>
      </c>
      <c r="P128" s="73">
        <v>45962</v>
      </c>
      <c r="Q128" s="71" t="s">
        <v>293</v>
      </c>
      <c r="R128" s="68" t="s">
        <v>733</v>
      </c>
      <c r="S128" s="71" t="s">
        <v>293</v>
      </c>
      <c r="T128" s="68" t="s">
        <v>733</v>
      </c>
      <c r="U128" s="68"/>
      <c r="V128" s="68" t="s">
        <v>827</v>
      </c>
      <c r="W128" s="68"/>
      <c r="X128" s="134">
        <v>1</v>
      </c>
    </row>
    <row r="129" spans="3:25">
      <c r="C129" s="58" t="s">
        <v>0</v>
      </c>
      <c r="D129" s="58" t="s">
        <v>0</v>
      </c>
      <c r="E129" s="120" t="s">
        <v>844</v>
      </c>
      <c r="F129" s="68">
        <v>2672573314</v>
      </c>
      <c r="G129" s="58" t="s">
        <v>532</v>
      </c>
      <c r="H129" s="59">
        <v>22223195</v>
      </c>
      <c r="I129" s="60" t="s">
        <v>725</v>
      </c>
      <c r="J129" s="71" t="s">
        <v>56</v>
      </c>
      <c r="K129" s="70" t="s">
        <v>870</v>
      </c>
      <c r="L129" s="70"/>
      <c r="M129" s="121" t="s">
        <v>292</v>
      </c>
      <c r="N129" s="128">
        <v>45748</v>
      </c>
      <c r="O129" s="132" t="s">
        <v>292</v>
      </c>
      <c r="P129" s="73">
        <v>45962</v>
      </c>
      <c r="Q129" s="71" t="s">
        <v>293</v>
      </c>
      <c r="R129" s="68" t="s">
        <v>733</v>
      </c>
      <c r="S129" s="71" t="s">
        <v>293</v>
      </c>
      <c r="T129" s="68" t="s">
        <v>733</v>
      </c>
      <c r="U129" s="68"/>
      <c r="V129" s="68" t="s">
        <v>827</v>
      </c>
      <c r="W129" s="68"/>
      <c r="X129" s="134">
        <v>1</v>
      </c>
    </row>
    <row r="130" spans="3:25">
      <c r="C130" s="58" t="s">
        <v>0</v>
      </c>
      <c r="D130" s="58" t="s">
        <v>0</v>
      </c>
      <c r="E130" s="120" t="s">
        <v>844</v>
      </c>
      <c r="F130" s="68">
        <v>2672573314</v>
      </c>
      <c r="G130" s="58" t="s">
        <v>533</v>
      </c>
      <c r="H130" s="59">
        <v>26547722</v>
      </c>
      <c r="I130" s="70" t="s">
        <v>730</v>
      </c>
      <c r="J130" s="71" t="s">
        <v>56</v>
      </c>
      <c r="K130" s="70" t="s">
        <v>870</v>
      </c>
      <c r="L130" s="70"/>
      <c r="M130" s="121" t="s">
        <v>292</v>
      </c>
      <c r="N130" s="128">
        <v>45748</v>
      </c>
      <c r="O130" s="132" t="s">
        <v>292</v>
      </c>
      <c r="P130" s="73">
        <v>45962</v>
      </c>
      <c r="Q130" s="71" t="s">
        <v>293</v>
      </c>
      <c r="R130" s="68" t="s">
        <v>733</v>
      </c>
      <c r="S130" s="71" t="s">
        <v>293</v>
      </c>
      <c r="T130" s="68" t="s">
        <v>733</v>
      </c>
      <c r="U130" s="68"/>
      <c r="V130" s="68" t="s">
        <v>827</v>
      </c>
      <c r="W130" s="68"/>
      <c r="X130" s="134">
        <v>1</v>
      </c>
    </row>
    <row r="131" spans="3:25">
      <c r="C131" s="58" t="s">
        <v>0</v>
      </c>
      <c r="D131" s="58" t="s">
        <v>0</v>
      </c>
      <c r="E131" s="120" t="s">
        <v>844</v>
      </c>
      <c r="F131" s="68">
        <v>2672573314</v>
      </c>
      <c r="G131" s="58" t="s">
        <v>699</v>
      </c>
      <c r="H131" s="59">
        <v>18957458</v>
      </c>
      <c r="I131" s="70" t="s">
        <v>730</v>
      </c>
      <c r="J131" s="71" t="s">
        <v>56</v>
      </c>
      <c r="K131" s="70" t="s">
        <v>870</v>
      </c>
      <c r="L131" s="70"/>
      <c r="M131" s="121" t="s">
        <v>292</v>
      </c>
      <c r="N131" s="128">
        <v>45748</v>
      </c>
      <c r="O131" s="132" t="s">
        <v>292</v>
      </c>
      <c r="P131" s="73">
        <v>45962</v>
      </c>
      <c r="Q131" s="71" t="s">
        <v>293</v>
      </c>
      <c r="R131" s="68" t="s">
        <v>733</v>
      </c>
      <c r="S131" s="71" t="s">
        <v>293</v>
      </c>
      <c r="T131" s="68" t="s">
        <v>733</v>
      </c>
      <c r="U131" s="68"/>
      <c r="V131" s="68" t="s">
        <v>827</v>
      </c>
      <c r="W131" s="68"/>
      <c r="X131" s="134">
        <v>1</v>
      </c>
    </row>
    <row r="132" spans="3:25">
      <c r="C132" s="58" t="s">
        <v>0</v>
      </c>
      <c r="D132" s="58" t="s">
        <v>0</v>
      </c>
      <c r="E132" s="120" t="s">
        <v>844</v>
      </c>
      <c r="F132" s="68">
        <v>2672573314</v>
      </c>
      <c r="G132" s="58" t="s">
        <v>534</v>
      </c>
      <c r="H132" s="59">
        <v>21479038</v>
      </c>
      <c r="I132" s="70" t="s">
        <v>730</v>
      </c>
      <c r="J132" s="71" t="s">
        <v>56</v>
      </c>
      <c r="K132" s="70" t="s">
        <v>870</v>
      </c>
      <c r="L132" s="70"/>
      <c r="M132" s="121" t="s">
        <v>292</v>
      </c>
      <c r="N132" s="128">
        <v>45748</v>
      </c>
      <c r="O132" s="132" t="s">
        <v>292</v>
      </c>
      <c r="P132" s="73">
        <v>45962</v>
      </c>
      <c r="Q132" s="71" t="s">
        <v>293</v>
      </c>
      <c r="R132" s="68" t="s">
        <v>733</v>
      </c>
      <c r="S132" s="71" t="s">
        <v>293</v>
      </c>
      <c r="T132" s="68" t="s">
        <v>733</v>
      </c>
      <c r="U132" s="68"/>
      <c r="V132" s="68" t="s">
        <v>827</v>
      </c>
      <c r="W132" s="68"/>
      <c r="X132" s="134">
        <v>1</v>
      </c>
    </row>
    <row r="133" spans="3:25">
      <c r="C133" s="58" t="s">
        <v>0</v>
      </c>
      <c r="D133" s="58" t="s">
        <v>0</v>
      </c>
      <c r="E133" s="120" t="s">
        <v>844</v>
      </c>
      <c r="F133" s="68">
        <v>2672573314</v>
      </c>
      <c r="G133" s="58" t="s">
        <v>535</v>
      </c>
      <c r="H133" s="59">
        <v>27429749</v>
      </c>
      <c r="I133" s="70" t="s">
        <v>730</v>
      </c>
      <c r="J133" s="71" t="s">
        <v>56</v>
      </c>
      <c r="K133" s="70" t="s">
        <v>870</v>
      </c>
      <c r="L133" s="70"/>
      <c r="M133" s="121" t="s">
        <v>292</v>
      </c>
      <c r="N133" s="128">
        <v>45748</v>
      </c>
      <c r="O133" s="132" t="s">
        <v>292</v>
      </c>
      <c r="P133" s="73">
        <v>45962</v>
      </c>
      <c r="Q133" s="71" t="s">
        <v>293</v>
      </c>
      <c r="R133" s="68" t="s">
        <v>733</v>
      </c>
      <c r="S133" s="71" t="s">
        <v>293</v>
      </c>
      <c r="T133" s="68" t="s">
        <v>733</v>
      </c>
      <c r="U133" s="68"/>
      <c r="V133" s="68" t="s">
        <v>827</v>
      </c>
      <c r="W133" s="68"/>
      <c r="X133" s="134">
        <v>1</v>
      </c>
      <c r="Y133" s="1">
        <v>1</v>
      </c>
    </row>
    <row r="134" spans="3:25">
      <c r="C134" s="58" t="s">
        <v>0</v>
      </c>
      <c r="D134" s="58" t="s">
        <v>0</v>
      </c>
      <c r="E134" s="120" t="s">
        <v>844</v>
      </c>
      <c r="F134" s="68">
        <v>2672573314</v>
      </c>
      <c r="G134" s="58" t="s">
        <v>536</v>
      </c>
      <c r="H134" s="59">
        <v>21584523</v>
      </c>
      <c r="I134" s="60" t="s">
        <v>725</v>
      </c>
      <c r="J134" s="71" t="s">
        <v>56</v>
      </c>
      <c r="K134" s="70" t="s">
        <v>870</v>
      </c>
      <c r="L134" s="70"/>
      <c r="M134" s="121" t="s">
        <v>292</v>
      </c>
      <c r="N134" s="128">
        <v>45748</v>
      </c>
      <c r="O134" s="132" t="s">
        <v>292</v>
      </c>
      <c r="P134" s="73">
        <v>45962</v>
      </c>
      <c r="Q134" s="71" t="s">
        <v>293</v>
      </c>
      <c r="R134" s="68" t="s">
        <v>733</v>
      </c>
      <c r="S134" s="71" t="s">
        <v>293</v>
      </c>
      <c r="T134" s="68" t="s">
        <v>733</v>
      </c>
      <c r="U134" s="68"/>
      <c r="V134" s="68" t="s">
        <v>827</v>
      </c>
      <c r="W134" s="68"/>
      <c r="X134" s="134">
        <v>1</v>
      </c>
      <c r="Y134" s="1">
        <v>82</v>
      </c>
    </row>
    <row r="135" spans="3:25">
      <c r="C135" s="58" t="s">
        <v>0</v>
      </c>
      <c r="D135" s="58" t="s">
        <v>0</v>
      </c>
      <c r="E135" s="120" t="s">
        <v>844</v>
      </c>
      <c r="F135" s="68">
        <v>2672573314</v>
      </c>
      <c r="G135" s="58" t="s">
        <v>537</v>
      </c>
      <c r="H135" s="59">
        <v>24630491</v>
      </c>
      <c r="I135" s="60" t="s">
        <v>725</v>
      </c>
      <c r="J135" s="71" t="s">
        <v>56</v>
      </c>
      <c r="K135" s="70" t="s">
        <v>870</v>
      </c>
      <c r="L135" s="70"/>
      <c r="M135" s="121" t="s">
        <v>292</v>
      </c>
      <c r="N135" s="128">
        <v>45748</v>
      </c>
      <c r="O135" s="132" t="s">
        <v>292</v>
      </c>
      <c r="P135" s="73">
        <v>45962</v>
      </c>
      <c r="Q135" s="71" t="s">
        <v>293</v>
      </c>
      <c r="R135" s="68" t="s">
        <v>733</v>
      </c>
      <c r="S135" s="71" t="s">
        <v>293</v>
      </c>
      <c r="T135" s="68" t="s">
        <v>733</v>
      </c>
      <c r="U135" s="68"/>
      <c r="V135" s="68" t="s">
        <v>827</v>
      </c>
      <c r="W135" s="68"/>
      <c r="X135" s="134">
        <v>1</v>
      </c>
      <c r="Y135" s="1">
        <v>43</v>
      </c>
    </row>
    <row r="136" spans="3:25">
      <c r="C136" s="94" t="s">
        <v>0</v>
      </c>
      <c r="D136" s="94" t="s">
        <v>0</v>
      </c>
      <c r="E136" s="123" t="s">
        <v>844</v>
      </c>
      <c r="F136" s="98">
        <v>2672573314</v>
      </c>
      <c r="G136" s="94" t="s">
        <v>538</v>
      </c>
      <c r="H136" s="95">
        <v>27856396</v>
      </c>
      <c r="I136" s="96" t="s">
        <v>725</v>
      </c>
      <c r="J136" s="97" t="s">
        <v>56</v>
      </c>
      <c r="K136" s="94"/>
      <c r="L136" s="94"/>
      <c r="M136" s="97" t="s">
        <v>292</v>
      </c>
      <c r="N136" s="129">
        <v>45748</v>
      </c>
      <c r="O136" s="130" t="s">
        <v>292</v>
      </c>
      <c r="P136" s="99">
        <v>45962</v>
      </c>
      <c r="Q136" s="97" t="s">
        <v>869</v>
      </c>
      <c r="R136" s="98"/>
      <c r="S136" s="97" t="s">
        <v>869</v>
      </c>
      <c r="T136" s="94"/>
      <c r="U136" s="98"/>
      <c r="V136" s="98" t="s">
        <v>827</v>
      </c>
      <c r="W136" s="98" t="s">
        <v>743</v>
      </c>
      <c r="X136" s="134">
        <v>1</v>
      </c>
      <c r="Y136" s="1">
        <v>2</v>
      </c>
    </row>
    <row r="137" spans="3:25">
      <c r="C137" s="94" t="s">
        <v>0</v>
      </c>
      <c r="D137" s="94" t="s">
        <v>0</v>
      </c>
      <c r="E137" s="123" t="s">
        <v>844</v>
      </c>
      <c r="F137" s="98">
        <v>2672573314</v>
      </c>
      <c r="G137" s="94" t="s">
        <v>539</v>
      </c>
      <c r="H137" s="95">
        <v>18687283</v>
      </c>
      <c r="I137" s="96" t="s">
        <v>725</v>
      </c>
      <c r="J137" s="97" t="s">
        <v>56</v>
      </c>
      <c r="K137" s="94"/>
      <c r="L137" s="94"/>
      <c r="M137" s="97" t="s">
        <v>292</v>
      </c>
      <c r="N137" s="129">
        <v>45748</v>
      </c>
      <c r="O137" s="130" t="s">
        <v>292</v>
      </c>
      <c r="P137" s="99">
        <v>45962</v>
      </c>
      <c r="Q137" s="97" t="s">
        <v>869</v>
      </c>
      <c r="R137" s="98"/>
      <c r="S137" s="97" t="s">
        <v>869</v>
      </c>
      <c r="T137" s="94"/>
      <c r="U137" s="98"/>
      <c r="V137" s="98" t="s">
        <v>827</v>
      </c>
      <c r="W137" s="98" t="s">
        <v>864</v>
      </c>
      <c r="X137" s="134">
        <v>1</v>
      </c>
      <c r="Y137" s="1">
        <f>SUM(Y133:Y136)</f>
        <v>128</v>
      </c>
    </row>
    <row r="138" spans="3:25">
      <c r="C138" s="58" t="s">
        <v>0</v>
      </c>
      <c r="D138" s="58" t="s">
        <v>0</v>
      </c>
      <c r="E138" s="120" t="s">
        <v>844</v>
      </c>
      <c r="F138" s="68">
        <v>2672573314</v>
      </c>
      <c r="G138" s="58" t="s">
        <v>540</v>
      </c>
      <c r="H138" s="59">
        <v>21242031</v>
      </c>
      <c r="I138" s="60" t="s">
        <v>725</v>
      </c>
      <c r="J138" s="71" t="s">
        <v>56</v>
      </c>
      <c r="K138" s="70" t="s">
        <v>870</v>
      </c>
      <c r="L138" s="70"/>
      <c r="M138" s="121" t="s">
        <v>292</v>
      </c>
      <c r="N138" s="128">
        <v>45748</v>
      </c>
      <c r="O138" s="132" t="s">
        <v>292</v>
      </c>
      <c r="P138" s="73">
        <v>45962</v>
      </c>
      <c r="Q138" s="71" t="s">
        <v>293</v>
      </c>
      <c r="R138" s="68" t="s">
        <v>733</v>
      </c>
      <c r="S138" s="71" t="s">
        <v>293</v>
      </c>
      <c r="T138" s="68" t="s">
        <v>733</v>
      </c>
      <c r="U138" s="68"/>
      <c r="V138" s="68" t="s">
        <v>827</v>
      </c>
      <c r="W138" s="68"/>
      <c r="X138" s="134">
        <v>1</v>
      </c>
    </row>
    <row r="139" spans="3:25">
      <c r="C139" s="94" t="s">
        <v>0</v>
      </c>
      <c r="D139" s="94" t="s">
        <v>0</v>
      </c>
      <c r="E139" s="123" t="s">
        <v>844</v>
      </c>
      <c r="F139" s="98">
        <v>2672573314</v>
      </c>
      <c r="G139" s="94" t="s">
        <v>541</v>
      </c>
      <c r="H139" s="95">
        <v>19843038</v>
      </c>
      <c r="I139" s="96" t="s">
        <v>725</v>
      </c>
      <c r="J139" s="97" t="s">
        <v>56</v>
      </c>
      <c r="K139" s="94"/>
      <c r="L139" s="94"/>
      <c r="M139" s="97" t="s">
        <v>292</v>
      </c>
      <c r="N139" s="129">
        <v>45748</v>
      </c>
      <c r="O139" s="130" t="s">
        <v>292</v>
      </c>
      <c r="P139" s="99">
        <v>45962</v>
      </c>
      <c r="Q139" s="97" t="s">
        <v>869</v>
      </c>
      <c r="R139" s="98"/>
      <c r="S139" s="97" t="s">
        <v>869</v>
      </c>
      <c r="T139" s="94"/>
      <c r="U139" s="98"/>
      <c r="V139" s="98" t="s">
        <v>827</v>
      </c>
      <c r="W139" s="98" t="s">
        <v>743</v>
      </c>
      <c r="X139" s="134">
        <v>1</v>
      </c>
    </row>
    <row r="140" spans="3:25">
      <c r="C140" s="58" t="s">
        <v>0</v>
      </c>
      <c r="D140" s="58" t="s">
        <v>0</v>
      </c>
      <c r="E140" s="120" t="s">
        <v>844</v>
      </c>
      <c r="F140" s="68">
        <v>2672573314</v>
      </c>
      <c r="G140" s="58" t="s">
        <v>542</v>
      </c>
      <c r="H140" s="59">
        <v>17258128</v>
      </c>
      <c r="I140" s="70" t="s">
        <v>730</v>
      </c>
      <c r="J140" s="71" t="s">
        <v>56</v>
      </c>
      <c r="K140" s="70" t="s">
        <v>870</v>
      </c>
      <c r="L140" s="70"/>
      <c r="M140" s="121" t="s">
        <v>292</v>
      </c>
      <c r="N140" s="128">
        <v>45748</v>
      </c>
      <c r="O140" s="132" t="s">
        <v>292</v>
      </c>
      <c r="P140" s="73">
        <v>45962</v>
      </c>
      <c r="Q140" s="71" t="s">
        <v>293</v>
      </c>
      <c r="R140" s="68" t="s">
        <v>733</v>
      </c>
      <c r="S140" s="71" t="s">
        <v>293</v>
      </c>
      <c r="T140" s="68" t="s">
        <v>733</v>
      </c>
      <c r="U140" s="68"/>
      <c r="V140" s="68" t="s">
        <v>827</v>
      </c>
      <c r="W140" s="68"/>
      <c r="X140" s="134">
        <v>1</v>
      </c>
    </row>
    <row r="141" spans="3:25">
      <c r="C141" s="58" t="s">
        <v>0</v>
      </c>
      <c r="D141" s="58" t="s">
        <v>0</v>
      </c>
      <c r="E141" s="120" t="s">
        <v>844</v>
      </c>
      <c r="F141" s="68">
        <v>2672573314</v>
      </c>
      <c r="G141" s="58" t="s">
        <v>543</v>
      </c>
      <c r="H141" s="59">
        <v>26505710</v>
      </c>
      <c r="I141" s="60" t="s">
        <v>725</v>
      </c>
      <c r="J141" s="71" t="s">
        <v>56</v>
      </c>
      <c r="K141" s="70" t="s">
        <v>870</v>
      </c>
      <c r="L141" s="70"/>
      <c r="M141" s="121" t="s">
        <v>292</v>
      </c>
      <c r="N141" s="128">
        <v>45748</v>
      </c>
      <c r="O141" s="132" t="s">
        <v>292</v>
      </c>
      <c r="P141" s="73">
        <v>45962</v>
      </c>
      <c r="Q141" s="71" t="s">
        <v>293</v>
      </c>
      <c r="R141" s="68" t="s">
        <v>733</v>
      </c>
      <c r="S141" s="71" t="s">
        <v>293</v>
      </c>
      <c r="T141" s="68" t="s">
        <v>733</v>
      </c>
      <c r="U141" s="68"/>
      <c r="V141" s="68" t="s">
        <v>827</v>
      </c>
      <c r="W141" s="68"/>
      <c r="X141" s="134">
        <v>1</v>
      </c>
    </row>
    <row r="142" spans="3:25">
      <c r="C142" s="58" t="s">
        <v>0</v>
      </c>
      <c r="D142" s="58" t="s">
        <v>0</v>
      </c>
      <c r="E142" s="120" t="s">
        <v>844</v>
      </c>
      <c r="F142" s="68">
        <v>2672573314</v>
      </c>
      <c r="G142" s="58" t="s">
        <v>544</v>
      </c>
      <c r="H142" s="59">
        <v>12477987</v>
      </c>
      <c r="I142" s="60" t="s">
        <v>725</v>
      </c>
      <c r="J142" s="71" t="s">
        <v>56</v>
      </c>
      <c r="K142" s="70" t="s">
        <v>870</v>
      </c>
      <c r="L142" s="70"/>
      <c r="M142" s="121" t="s">
        <v>292</v>
      </c>
      <c r="N142" s="128">
        <v>45748</v>
      </c>
      <c r="O142" s="132" t="s">
        <v>292</v>
      </c>
      <c r="P142" s="73">
        <v>45962</v>
      </c>
      <c r="Q142" s="71" t="s">
        <v>293</v>
      </c>
      <c r="R142" s="68" t="s">
        <v>733</v>
      </c>
      <c r="S142" s="71" t="s">
        <v>293</v>
      </c>
      <c r="T142" s="68" t="s">
        <v>733</v>
      </c>
      <c r="U142" s="68"/>
      <c r="V142" s="68" t="s">
        <v>827</v>
      </c>
      <c r="W142" s="68"/>
      <c r="X142" s="134">
        <v>1</v>
      </c>
    </row>
    <row r="143" spans="3:25">
      <c r="C143" s="58" t="s">
        <v>0</v>
      </c>
      <c r="D143" s="58" t="s">
        <v>0</v>
      </c>
      <c r="E143" s="120" t="s">
        <v>844</v>
      </c>
      <c r="F143" s="68">
        <v>2672573314</v>
      </c>
      <c r="G143" s="58" t="s">
        <v>545</v>
      </c>
      <c r="H143" s="59">
        <v>10983025</v>
      </c>
      <c r="I143" s="60" t="s">
        <v>725</v>
      </c>
      <c r="J143" s="71" t="s">
        <v>56</v>
      </c>
      <c r="K143" s="70" t="s">
        <v>870</v>
      </c>
      <c r="L143" s="70"/>
      <c r="M143" s="121" t="s">
        <v>292</v>
      </c>
      <c r="N143" s="128">
        <v>45748</v>
      </c>
      <c r="O143" s="132" t="s">
        <v>292</v>
      </c>
      <c r="P143" s="73">
        <v>45962</v>
      </c>
      <c r="Q143" s="71" t="s">
        <v>293</v>
      </c>
      <c r="R143" s="68" t="s">
        <v>733</v>
      </c>
      <c r="S143" s="71" t="s">
        <v>293</v>
      </c>
      <c r="T143" s="68" t="s">
        <v>733</v>
      </c>
      <c r="U143" s="68"/>
      <c r="V143" s="68" t="s">
        <v>827</v>
      </c>
      <c r="W143" s="68"/>
      <c r="X143" s="134">
        <v>1</v>
      </c>
    </row>
    <row r="144" spans="3:25">
      <c r="C144" s="58" t="s">
        <v>0</v>
      </c>
      <c r="D144" s="58" t="s">
        <v>0</v>
      </c>
      <c r="E144" s="120" t="s">
        <v>844</v>
      </c>
      <c r="F144" s="68">
        <v>2672573314</v>
      </c>
      <c r="G144" s="58" t="s">
        <v>546</v>
      </c>
      <c r="H144" s="59">
        <v>19021731</v>
      </c>
      <c r="I144" s="70" t="s">
        <v>730</v>
      </c>
      <c r="J144" s="71" t="s">
        <v>56</v>
      </c>
      <c r="K144" s="70" t="s">
        <v>870</v>
      </c>
      <c r="L144" s="70"/>
      <c r="M144" s="121" t="s">
        <v>292</v>
      </c>
      <c r="N144" s="128">
        <v>45748</v>
      </c>
      <c r="O144" s="132" t="s">
        <v>292</v>
      </c>
      <c r="P144" s="73">
        <v>45962</v>
      </c>
      <c r="Q144" s="71" t="s">
        <v>293</v>
      </c>
      <c r="R144" s="68" t="s">
        <v>733</v>
      </c>
      <c r="S144" s="71" t="s">
        <v>293</v>
      </c>
      <c r="T144" s="68" t="s">
        <v>733</v>
      </c>
      <c r="U144" s="68"/>
      <c r="V144" s="68" t="s">
        <v>827</v>
      </c>
      <c r="W144" s="68"/>
      <c r="X144" s="134">
        <v>1</v>
      </c>
    </row>
    <row r="145" spans="3:24">
      <c r="C145" s="58" t="s">
        <v>0</v>
      </c>
      <c r="D145" s="58" t="s">
        <v>0</v>
      </c>
      <c r="E145" s="120" t="s">
        <v>844</v>
      </c>
      <c r="F145" s="68">
        <v>2672573314</v>
      </c>
      <c r="G145" s="58" t="s">
        <v>547</v>
      </c>
      <c r="H145" s="59">
        <v>24423848</v>
      </c>
      <c r="I145" s="70" t="s">
        <v>730</v>
      </c>
      <c r="J145" s="71" t="s">
        <v>56</v>
      </c>
      <c r="K145" s="70" t="s">
        <v>870</v>
      </c>
      <c r="L145" s="70"/>
      <c r="M145" s="121" t="s">
        <v>292</v>
      </c>
      <c r="N145" s="128">
        <v>45748</v>
      </c>
      <c r="O145" s="132" t="s">
        <v>292</v>
      </c>
      <c r="P145" s="73">
        <v>45962</v>
      </c>
      <c r="Q145" s="71" t="s">
        <v>293</v>
      </c>
      <c r="R145" s="68" t="s">
        <v>733</v>
      </c>
      <c r="S145" s="71" t="s">
        <v>293</v>
      </c>
      <c r="T145" s="68" t="s">
        <v>733</v>
      </c>
      <c r="U145" s="68"/>
      <c r="V145" s="68" t="s">
        <v>827</v>
      </c>
      <c r="W145" s="68"/>
      <c r="X145" s="134">
        <v>1</v>
      </c>
    </row>
    <row r="146" spans="3:24">
      <c r="C146" s="58" t="s">
        <v>0</v>
      </c>
      <c r="D146" s="58" t="s">
        <v>0</v>
      </c>
      <c r="E146" s="120" t="s">
        <v>844</v>
      </c>
      <c r="F146" s="68">
        <v>2672573314</v>
      </c>
      <c r="G146" s="58" t="s">
        <v>548</v>
      </c>
      <c r="H146" s="59">
        <v>17066007</v>
      </c>
      <c r="I146" s="70" t="s">
        <v>730</v>
      </c>
      <c r="J146" s="71" t="s">
        <v>56</v>
      </c>
      <c r="K146" s="70" t="s">
        <v>870</v>
      </c>
      <c r="L146" s="70"/>
      <c r="M146" s="121" t="s">
        <v>292</v>
      </c>
      <c r="N146" s="128">
        <v>45748</v>
      </c>
      <c r="O146" s="132" t="s">
        <v>292</v>
      </c>
      <c r="P146" s="73">
        <v>45962</v>
      </c>
      <c r="Q146" s="71" t="s">
        <v>293</v>
      </c>
      <c r="R146" s="68" t="s">
        <v>733</v>
      </c>
      <c r="S146" s="71" t="s">
        <v>293</v>
      </c>
      <c r="T146" s="68" t="s">
        <v>733</v>
      </c>
      <c r="U146" s="68"/>
      <c r="V146" s="68" t="s">
        <v>827</v>
      </c>
      <c r="W146" s="68"/>
      <c r="X146" s="134">
        <v>1</v>
      </c>
    </row>
    <row r="147" spans="3:24">
      <c r="C147" s="58" t="s">
        <v>0</v>
      </c>
      <c r="D147" s="58" t="s">
        <v>0</v>
      </c>
      <c r="E147" s="120" t="s">
        <v>844</v>
      </c>
      <c r="F147" s="68">
        <v>2672573314</v>
      </c>
      <c r="G147" s="58" t="s">
        <v>549</v>
      </c>
      <c r="H147" s="59">
        <v>19983654</v>
      </c>
      <c r="I147" s="60" t="s">
        <v>725</v>
      </c>
      <c r="J147" s="71" t="s">
        <v>56</v>
      </c>
      <c r="K147" s="70" t="s">
        <v>870</v>
      </c>
      <c r="L147" s="70"/>
      <c r="M147" s="121" t="s">
        <v>292</v>
      </c>
      <c r="N147" s="128">
        <v>45748</v>
      </c>
      <c r="O147" s="132" t="s">
        <v>292</v>
      </c>
      <c r="P147" s="73">
        <v>45962</v>
      </c>
      <c r="Q147" s="71" t="s">
        <v>293</v>
      </c>
      <c r="R147" s="68" t="s">
        <v>733</v>
      </c>
      <c r="S147" s="71" t="s">
        <v>293</v>
      </c>
      <c r="T147" s="68" t="s">
        <v>733</v>
      </c>
      <c r="U147" s="68"/>
      <c r="V147" s="68" t="s">
        <v>827</v>
      </c>
      <c r="W147" s="68"/>
      <c r="X147" s="134">
        <v>1</v>
      </c>
    </row>
    <row r="148" spans="3:24">
      <c r="C148" s="94" t="s">
        <v>0</v>
      </c>
      <c r="D148" s="94" t="s">
        <v>0</v>
      </c>
      <c r="E148" s="123" t="s">
        <v>844</v>
      </c>
      <c r="F148" s="98">
        <v>2672573314</v>
      </c>
      <c r="G148" s="94" t="s">
        <v>550</v>
      </c>
      <c r="H148" s="95">
        <v>22510930</v>
      </c>
      <c r="I148" s="94" t="s">
        <v>730</v>
      </c>
      <c r="J148" s="97" t="s">
        <v>56</v>
      </c>
      <c r="K148" s="94"/>
      <c r="L148" s="94"/>
      <c r="M148" s="97" t="s">
        <v>292</v>
      </c>
      <c r="N148" s="129">
        <v>45748</v>
      </c>
      <c r="O148" s="130" t="s">
        <v>292</v>
      </c>
      <c r="P148" s="99">
        <v>45962</v>
      </c>
      <c r="Q148" s="97" t="s">
        <v>869</v>
      </c>
      <c r="R148" s="98"/>
      <c r="S148" s="97" t="s">
        <v>869</v>
      </c>
      <c r="T148" s="94"/>
      <c r="U148" s="98"/>
      <c r="V148" s="98" t="s">
        <v>827</v>
      </c>
      <c r="W148" s="98" t="s">
        <v>741</v>
      </c>
      <c r="X148" s="134">
        <v>1</v>
      </c>
    </row>
    <row r="149" spans="3:24">
      <c r="C149" s="58" t="s">
        <v>0</v>
      </c>
      <c r="D149" s="58" t="s">
        <v>0</v>
      </c>
      <c r="E149" s="120" t="s">
        <v>844</v>
      </c>
      <c r="F149" s="68">
        <v>2672573314</v>
      </c>
      <c r="G149" s="58" t="s">
        <v>551</v>
      </c>
      <c r="H149" s="59">
        <v>20162683</v>
      </c>
      <c r="I149" s="70" t="s">
        <v>730</v>
      </c>
      <c r="J149" s="71" t="s">
        <v>56</v>
      </c>
      <c r="K149" s="70" t="s">
        <v>870</v>
      </c>
      <c r="L149" s="70"/>
      <c r="M149" s="121" t="s">
        <v>292</v>
      </c>
      <c r="N149" s="128">
        <v>45748</v>
      </c>
      <c r="O149" s="132" t="s">
        <v>292</v>
      </c>
      <c r="P149" s="73">
        <v>45962</v>
      </c>
      <c r="Q149" s="71" t="s">
        <v>293</v>
      </c>
      <c r="R149" s="68" t="s">
        <v>733</v>
      </c>
      <c r="S149" s="71" t="s">
        <v>293</v>
      </c>
      <c r="T149" s="68" t="s">
        <v>733</v>
      </c>
      <c r="U149" s="68"/>
      <c r="V149" s="68" t="s">
        <v>827</v>
      </c>
      <c r="W149" s="68"/>
      <c r="X149" s="134">
        <v>1</v>
      </c>
    </row>
    <row r="150" spans="3:24">
      <c r="C150" s="58" t="s">
        <v>0</v>
      </c>
      <c r="D150" s="58" t="s">
        <v>0</v>
      </c>
      <c r="E150" s="120" t="s">
        <v>844</v>
      </c>
      <c r="F150" s="68">
        <v>2672573314</v>
      </c>
      <c r="G150" s="58" t="s">
        <v>552</v>
      </c>
      <c r="H150" s="59">
        <v>25317710</v>
      </c>
      <c r="I150" s="70" t="s">
        <v>730</v>
      </c>
      <c r="J150" s="71" t="s">
        <v>56</v>
      </c>
      <c r="K150" s="70" t="s">
        <v>870</v>
      </c>
      <c r="L150" s="70"/>
      <c r="M150" s="121" t="s">
        <v>292</v>
      </c>
      <c r="N150" s="128">
        <v>45748</v>
      </c>
      <c r="O150" s="132" t="s">
        <v>292</v>
      </c>
      <c r="P150" s="73">
        <v>45962</v>
      </c>
      <c r="Q150" s="71" t="s">
        <v>293</v>
      </c>
      <c r="R150" s="68" t="s">
        <v>733</v>
      </c>
      <c r="S150" s="71" t="s">
        <v>293</v>
      </c>
      <c r="T150" s="68" t="s">
        <v>733</v>
      </c>
      <c r="U150" s="68"/>
      <c r="V150" s="68" t="s">
        <v>827</v>
      </c>
      <c r="W150" s="68"/>
      <c r="X150" s="134">
        <v>1</v>
      </c>
    </row>
    <row r="151" spans="3:24">
      <c r="C151" s="58" t="s">
        <v>0</v>
      </c>
      <c r="D151" s="58" t="s">
        <v>0</v>
      </c>
      <c r="E151" s="120" t="s">
        <v>844</v>
      </c>
      <c r="F151" s="68">
        <v>2672573314</v>
      </c>
      <c r="G151" s="58" t="s">
        <v>553</v>
      </c>
      <c r="H151" s="59">
        <v>13518832</v>
      </c>
      <c r="I151" s="60" t="s">
        <v>725</v>
      </c>
      <c r="J151" s="71" t="s">
        <v>56</v>
      </c>
      <c r="K151" s="70" t="s">
        <v>870</v>
      </c>
      <c r="L151" s="70"/>
      <c r="M151" s="121" t="s">
        <v>292</v>
      </c>
      <c r="N151" s="128">
        <v>45748</v>
      </c>
      <c r="O151" s="132" t="s">
        <v>292</v>
      </c>
      <c r="P151" s="73">
        <v>45962</v>
      </c>
      <c r="Q151" s="71" t="s">
        <v>293</v>
      </c>
      <c r="R151" s="68" t="s">
        <v>733</v>
      </c>
      <c r="S151" s="71" t="s">
        <v>293</v>
      </c>
      <c r="T151" s="68" t="s">
        <v>733</v>
      </c>
      <c r="U151" s="68"/>
      <c r="V151" s="68" t="s">
        <v>827</v>
      </c>
      <c r="W151" s="68"/>
      <c r="X151" s="134">
        <v>1</v>
      </c>
    </row>
    <row r="152" spans="3:24">
      <c r="C152" s="58" t="s">
        <v>0</v>
      </c>
      <c r="D152" s="58" t="s">
        <v>0</v>
      </c>
      <c r="E152" s="120" t="s">
        <v>844</v>
      </c>
      <c r="F152" s="68">
        <v>2672573314</v>
      </c>
      <c r="G152" s="58" t="s">
        <v>700</v>
      </c>
      <c r="H152" s="59">
        <v>19129032</v>
      </c>
      <c r="I152" s="70" t="s">
        <v>730</v>
      </c>
      <c r="J152" s="71" t="s">
        <v>56</v>
      </c>
      <c r="K152" s="70" t="s">
        <v>870</v>
      </c>
      <c r="L152" s="70"/>
      <c r="M152" s="121" t="s">
        <v>292</v>
      </c>
      <c r="N152" s="128">
        <v>45748</v>
      </c>
      <c r="O152" s="132" t="s">
        <v>292</v>
      </c>
      <c r="P152" s="73">
        <v>45962</v>
      </c>
      <c r="Q152" s="71" t="s">
        <v>293</v>
      </c>
      <c r="R152" s="68" t="s">
        <v>733</v>
      </c>
      <c r="S152" s="71" t="s">
        <v>293</v>
      </c>
      <c r="T152" s="68" t="s">
        <v>733</v>
      </c>
      <c r="U152" s="68"/>
      <c r="V152" s="68" t="s">
        <v>827</v>
      </c>
      <c r="W152" s="68"/>
      <c r="X152" s="134">
        <v>1</v>
      </c>
    </row>
    <row r="153" spans="3:24">
      <c r="C153" s="58" t="s">
        <v>0</v>
      </c>
      <c r="D153" s="58" t="s">
        <v>0</v>
      </c>
      <c r="E153" s="120" t="s">
        <v>844</v>
      </c>
      <c r="F153" s="68">
        <v>2672573314</v>
      </c>
      <c r="G153" s="58" t="s">
        <v>554</v>
      </c>
      <c r="H153" s="59">
        <v>15310284</v>
      </c>
      <c r="I153" s="60" t="s">
        <v>725</v>
      </c>
      <c r="J153" s="71" t="s">
        <v>56</v>
      </c>
      <c r="K153" s="70" t="s">
        <v>870</v>
      </c>
      <c r="L153" s="70"/>
      <c r="M153" s="121" t="s">
        <v>292</v>
      </c>
      <c r="N153" s="128">
        <v>45748</v>
      </c>
      <c r="O153" s="132" t="s">
        <v>292</v>
      </c>
      <c r="P153" s="73">
        <v>45962</v>
      </c>
      <c r="Q153" s="71" t="s">
        <v>293</v>
      </c>
      <c r="R153" s="68" t="s">
        <v>733</v>
      </c>
      <c r="S153" s="71" t="s">
        <v>293</v>
      </c>
      <c r="T153" s="68" t="s">
        <v>733</v>
      </c>
      <c r="U153" s="68"/>
      <c r="V153" s="68" t="s">
        <v>827</v>
      </c>
      <c r="W153" s="68"/>
      <c r="X153" s="134">
        <v>1</v>
      </c>
    </row>
    <row r="154" spans="3:24">
      <c r="C154" s="58" t="s">
        <v>0</v>
      </c>
      <c r="D154" s="58" t="s">
        <v>0</v>
      </c>
      <c r="E154" s="120" t="s">
        <v>844</v>
      </c>
      <c r="F154" s="68">
        <v>2672573314</v>
      </c>
      <c r="G154" s="58" t="s">
        <v>501</v>
      </c>
      <c r="H154" s="59">
        <v>22515360</v>
      </c>
      <c r="I154" s="60" t="s">
        <v>725</v>
      </c>
      <c r="J154" s="71" t="s">
        <v>56</v>
      </c>
      <c r="K154" s="70" t="s">
        <v>870</v>
      </c>
      <c r="L154" s="70"/>
      <c r="M154" s="121" t="s">
        <v>292</v>
      </c>
      <c r="N154" s="128">
        <v>45748</v>
      </c>
      <c r="O154" s="132" t="s">
        <v>292</v>
      </c>
      <c r="P154" s="73">
        <v>45962</v>
      </c>
      <c r="Q154" s="71" t="s">
        <v>293</v>
      </c>
      <c r="R154" s="68" t="s">
        <v>733</v>
      </c>
      <c r="S154" s="71" t="s">
        <v>293</v>
      </c>
      <c r="T154" s="68" t="s">
        <v>733</v>
      </c>
      <c r="U154" s="68"/>
      <c r="V154" s="68" t="s">
        <v>827</v>
      </c>
      <c r="W154" s="68"/>
      <c r="X154" s="134">
        <v>1</v>
      </c>
    </row>
    <row r="155" spans="3:24">
      <c r="C155" s="58" t="s">
        <v>0</v>
      </c>
      <c r="D155" s="58" t="s">
        <v>0</v>
      </c>
      <c r="E155" s="120" t="s">
        <v>844</v>
      </c>
      <c r="F155" s="68">
        <v>2672573314</v>
      </c>
      <c r="G155" s="58" t="s">
        <v>555</v>
      </c>
      <c r="H155" s="52">
        <v>29785845</v>
      </c>
      <c r="I155" s="70" t="s">
        <v>730</v>
      </c>
      <c r="J155" s="71" t="s">
        <v>53</v>
      </c>
      <c r="K155" s="70" t="s">
        <v>870</v>
      </c>
      <c r="L155" s="70"/>
      <c r="M155" s="121" t="s">
        <v>292</v>
      </c>
      <c r="N155" s="128">
        <v>45748</v>
      </c>
      <c r="O155" s="132" t="s">
        <v>292</v>
      </c>
      <c r="P155" s="73">
        <v>45962</v>
      </c>
      <c r="Q155" s="71" t="s">
        <v>293</v>
      </c>
      <c r="R155" s="68" t="s">
        <v>733</v>
      </c>
      <c r="S155" s="71" t="s">
        <v>293</v>
      </c>
      <c r="T155" s="68" t="s">
        <v>733</v>
      </c>
      <c r="U155" s="68"/>
      <c r="V155" s="68" t="s">
        <v>827</v>
      </c>
      <c r="W155" s="68"/>
      <c r="X155" s="134">
        <v>1</v>
      </c>
    </row>
    <row r="156" spans="3:24">
      <c r="C156" s="58" t="s">
        <v>0</v>
      </c>
      <c r="D156" s="58" t="s">
        <v>0</v>
      </c>
      <c r="E156" s="120" t="s">
        <v>844</v>
      </c>
      <c r="F156" s="68">
        <v>2672573314</v>
      </c>
      <c r="G156" s="58" t="s">
        <v>556</v>
      </c>
      <c r="H156" s="52">
        <v>18611964</v>
      </c>
      <c r="I156" s="70" t="s">
        <v>730</v>
      </c>
      <c r="J156" s="71" t="s">
        <v>53</v>
      </c>
      <c r="K156" s="70" t="s">
        <v>870</v>
      </c>
      <c r="L156" s="70"/>
      <c r="M156" s="121" t="s">
        <v>292</v>
      </c>
      <c r="N156" s="128">
        <v>45748</v>
      </c>
      <c r="O156" s="132" t="s">
        <v>292</v>
      </c>
      <c r="P156" s="73">
        <v>45962</v>
      </c>
      <c r="Q156" s="71" t="s">
        <v>293</v>
      </c>
      <c r="R156" s="68" t="s">
        <v>733</v>
      </c>
      <c r="S156" s="71" t="s">
        <v>293</v>
      </c>
      <c r="T156" s="68" t="s">
        <v>733</v>
      </c>
      <c r="U156" s="68"/>
      <c r="V156" s="68" t="s">
        <v>827</v>
      </c>
      <c r="W156" s="68"/>
      <c r="X156" s="134">
        <v>1</v>
      </c>
    </row>
    <row r="157" spans="3:24">
      <c r="C157" s="58" t="s">
        <v>0</v>
      </c>
      <c r="D157" s="58" t="s">
        <v>0</v>
      </c>
      <c r="E157" s="120" t="s">
        <v>844</v>
      </c>
      <c r="F157" s="68">
        <v>2672573314</v>
      </c>
      <c r="G157" s="58" t="s">
        <v>557</v>
      </c>
      <c r="H157" s="52">
        <v>17595772</v>
      </c>
      <c r="I157" s="70" t="s">
        <v>730</v>
      </c>
      <c r="J157" s="71" t="s">
        <v>53</v>
      </c>
      <c r="K157" s="70" t="s">
        <v>870</v>
      </c>
      <c r="L157" s="70"/>
      <c r="M157" s="121" t="s">
        <v>292</v>
      </c>
      <c r="N157" s="128">
        <v>45748</v>
      </c>
      <c r="O157" s="132" t="s">
        <v>292</v>
      </c>
      <c r="P157" s="73">
        <v>45962</v>
      </c>
      <c r="Q157" s="71" t="s">
        <v>293</v>
      </c>
      <c r="R157" s="68" t="s">
        <v>733</v>
      </c>
      <c r="S157" s="71" t="s">
        <v>293</v>
      </c>
      <c r="T157" s="68" t="s">
        <v>733</v>
      </c>
      <c r="U157" s="68"/>
      <c r="V157" s="68" t="s">
        <v>827</v>
      </c>
      <c r="W157" s="68"/>
      <c r="X157" s="134">
        <v>1</v>
      </c>
    </row>
    <row r="158" spans="3:24">
      <c r="C158" s="58" t="s">
        <v>0</v>
      </c>
      <c r="D158" s="58" t="s">
        <v>0</v>
      </c>
      <c r="E158" s="120" t="s">
        <v>844</v>
      </c>
      <c r="F158" s="68">
        <v>2672573314</v>
      </c>
      <c r="G158" s="58" t="s">
        <v>446</v>
      </c>
      <c r="H158" s="52">
        <v>30046821</v>
      </c>
      <c r="I158" s="60" t="s">
        <v>725</v>
      </c>
      <c r="J158" s="71" t="s">
        <v>53</v>
      </c>
      <c r="K158" s="70" t="s">
        <v>870</v>
      </c>
      <c r="L158" s="70"/>
      <c r="M158" s="121" t="s">
        <v>292</v>
      </c>
      <c r="N158" s="128">
        <v>45748</v>
      </c>
      <c r="O158" s="132" t="s">
        <v>292</v>
      </c>
      <c r="P158" s="73">
        <v>45962</v>
      </c>
      <c r="Q158" s="71" t="s">
        <v>293</v>
      </c>
      <c r="R158" s="68" t="s">
        <v>733</v>
      </c>
      <c r="S158" s="71" t="s">
        <v>293</v>
      </c>
      <c r="T158" s="68" t="s">
        <v>733</v>
      </c>
      <c r="U158" s="68"/>
      <c r="V158" s="68" t="s">
        <v>827</v>
      </c>
      <c r="W158" s="68"/>
      <c r="X158" s="134">
        <v>1</v>
      </c>
    </row>
    <row r="159" spans="3:24">
      <c r="C159" s="58" t="s">
        <v>0</v>
      </c>
      <c r="D159" s="58" t="s">
        <v>0</v>
      </c>
      <c r="E159" s="120" t="s">
        <v>844</v>
      </c>
      <c r="F159" s="68">
        <v>2672573314</v>
      </c>
      <c r="G159" s="58" t="s">
        <v>558</v>
      </c>
      <c r="H159" s="52">
        <v>17990552</v>
      </c>
      <c r="I159" s="60" t="s">
        <v>725</v>
      </c>
      <c r="J159" s="71" t="s">
        <v>53</v>
      </c>
      <c r="K159" s="70" t="s">
        <v>870</v>
      </c>
      <c r="L159" s="70"/>
      <c r="M159" s="121" t="s">
        <v>292</v>
      </c>
      <c r="N159" s="128">
        <v>45748</v>
      </c>
      <c r="O159" s="132" t="s">
        <v>292</v>
      </c>
      <c r="P159" s="73">
        <v>45962</v>
      </c>
      <c r="Q159" s="71" t="s">
        <v>293</v>
      </c>
      <c r="R159" s="68" t="s">
        <v>733</v>
      </c>
      <c r="S159" s="71" t="s">
        <v>293</v>
      </c>
      <c r="T159" s="68" t="s">
        <v>733</v>
      </c>
      <c r="U159" s="68"/>
      <c r="V159" s="68" t="s">
        <v>827</v>
      </c>
      <c r="W159" s="68"/>
      <c r="X159" s="134">
        <v>1</v>
      </c>
    </row>
    <row r="160" spans="3:24">
      <c r="C160" s="58" t="s">
        <v>0</v>
      </c>
      <c r="D160" s="58" t="s">
        <v>0</v>
      </c>
      <c r="E160" s="120" t="s">
        <v>844</v>
      </c>
      <c r="F160" s="68">
        <v>2672573314</v>
      </c>
      <c r="G160" s="58" t="s">
        <v>559</v>
      </c>
      <c r="H160" s="52">
        <v>18468285</v>
      </c>
      <c r="I160" s="60" t="s">
        <v>725</v>
      </c>
      <c r="J160" s="71" t="s">
        <v>53</v>
      </c>
      <c r="K160" s="70" t="s">
        <v>870</v>
      </c>
      <c r="L160" s="70"/>
      <c r="M160" s="121" t="s">
        <v>292</v>
      </c>
      <c r="N160" s="128">
        <v>45748</v>
      </c>
      <c r="O160" s="132" t="s">
        <v>292</v>
      </c>
      <c r="P160" s="73">
        <v>45962</v>
      </c>
      <c r="Q160" s="71" t="s">
        <v>293</v>
      </c>
      <c r="R160" s="68" t="s">
        <v>733</v>
      </c>
      <c r="S160" s="71" t="s">
        <v>293</v>
      </c>
      <c r="T160" s="68" t="s">
        <v>733</v>
      </c>
      <c r="U160" s="68"/>
      <c r="V160" s="68" t="s">
        <v>827</v>
      </c>
      <c r="W160" s="68"/>
      <c r="X160" s="134">
        <v>1</v>
      </c>
    </row>
    <row r="161" spans="3:24">
      <c r="C161" s="58" t="s">
        <v>0</v>
      </c>
      <c r="D161" s="58" t="s">
        <v>0</v>
      </c>
      <c r="E161" s="120" t="s">
        <v>844</v>
      </c>
      <c r="F161" s="68">
        <v>2672573314</v>
      </c>
      <c r="G161" s="58" t="s">
        <v>560</v>
      </c>
      <c r="H161" s="52">
        <v>18254802</v>
      </c>
      <c r="I161" s="60" t="s">
        <v>725</v>
      </c>
      <c r="J161" s="71" t="s">
        <v>53</v>
      </c>
      <c r="K161" s="70" t="s">
        <v>870</v>
      </c>
      <c r="L161" s="70"/>
      <c r="M161" s="121" t="s">
        <v>292</v>
      </c>
      <c r="N161" s="128">
        <v>45748</v>
      </c>
      <c r="O161" s="132" t="s">
        <v>292</v>
      </c>
      <c r="P161" s="73">
        <v>45962</v>
      </c>
      <c r="Q161" s="71" t="s">
        <v>293</v>
      </c>
      <c r="R161" s="68" t="s">
        <v>733</v>
      </c>
      <c r="S161" s="71" t="s">
        <v>293</v>
      </c>
      <c r="T161" s="68" t="s">
        <v>733</v>
      </c>
      <c r="U161" s="68"/>
      <c r="V161" s="68" t="s">
        <v>827</v>
      </c>
      <c r="W161" s="68"/>
      <c r="X161" s="134">
        <v>1</v>
      </c>
    </row>
    <row r="162" spans="3:24">
      <c r="C162" s="58" t="s">
        <v>0</v>
      </c>
      <c r="D162" s="58" t="s">
        <v>0</v>
      </c>
      <c r="E162" s="120" t="s">
        <v>844</v>
      </c>
      <c r="F162" s="68">
        <v>2672573314</v>
      </c>
      <c r="G162" s="58" t="s">
        <v>561</v>
      </c>
      <c r="H162" s="52">
        <v>20959115</v>
      </c>
      <c r="I162" s="60" t="s">
        <v>725</v>
      </c>
      <c r="J162" s="71" t="s">
        <v>56</v>
      </c>
      <c r="K162" s="70" t="s">
        <v>870</v>
      </c>
      <c r="L162" s="70"/>
      <c r="M162" s="121" t="s">
        <v>292</v>
      </c>
      <c r="N162" s="128">
        <v>45748</v>
      </c>
      <c r="O162" s="132" t="s">
        <v>292</v>
      </c>
      <c r="P162" s="73">
        <v>45962</v>
      </c>
      <c r="Q162" s="71" t="s">
        <v>293</v>
      </c>
      <c r="R162" s="68" t="s">
        <v>733</v>
      </c>
      <c r="S162" s="71" t="s">
        <v>293</v>
      </c>
      <c r="T162" s="68" t="s">
        <v>733</v>
      </c>
      <c r="U162" s="68"/>
      <c r="V162" s="68" t="s">
        <v>827</v>
      </c>
      <c r="W162" s="68"/>
      <c r="X162" s="134">
        <v>1</v>
      </c>
    </row>
    <row r="163" spans="3:24">
      <c r="C163" s="58" t="s">
        <v>0</v>
      </c>
      <c r="D163" s="58" t="s">
        <v>0</v>
      </c>
      <c r="E163" s="120" t="s">
        <v>844</v>
      </c>
      <c r="F163" s="68">
        <v>2672573314</v>
      </c>
      <c r="G163" s="58" t="s">
        <v>562</v>
      </c>
      <c r="H163" s="52">
        <v>10230740</v>
      </c>
      <c r="I163" s="70" t="s">
        <v>730</v>
      </c>
      <c r="J163" s="71" t="s">
        <v>56</v>
      </c>
      <c r="K163" s="70" t="s">
        <v>870</v>
      </c>
      <c r="L163" s="70"/>
      <c r="M163" s="121" t="s">
        <v>292</v>
      </c>
      <c r="N163" s="128">
        <v>45748</v>
      </c>
      <c r="O163" s="132" t="s">
        <v>292</v>
      </c>
      <c r="P163" s="73">
        <v>45962</v>
      </c>
      <c r="Q163" s="71" t="s">
        <v>293</v>
      </c>
      <c r="R163" s="68" t="s">
        <v>733</v>
      </c>
      <c r="S163" s="71" t="s">
        <v>293</v>
      </c>
      <c r="T163" s="68" t="s">
        <v>733</v>
      </c>
      <c r="U163" s="68"/>
      <c r="V163" s="68" t="s">
        <v>827</v>
      </c>
      <c r="W163" s="68"/>
      <c r="X163" s="134">
        <v>1</v>
      </c>
    </row>
    <row r="164" spans="3:24">
      <c r="C164" s="58" t="s">
        <v>0</v>
      </c>
      <c r="D164" s="58" t="s">
        <v>0</v>
      </c>
      <c r="E164" s="120" t="s">
        <v>844</v>
      </c>
      <c r="F164" s="68">
        <v>2672573314</v>
      </c>
      <c r="G164" s="58" t="s">
        <v>563</v>
      </c>
      <c r="H164" s="52">
        <v>6197994</v>
      </c>
      <c r="I164" s="70" t="s">
        <v>730</v>
      </c>
      <c r="J164" s="71" t="s">
        <v>56</v>
      </c>
      <c r="K164" s="70" t="s">
        <v>870</v>
      </c>
      <c r="L164" s="70"/>
      <c r="M164" s="121" t="s">
        <v>292</v>
      </c>
      <c r="N164" s="128">
        <v>45748</v>
      </c>
      <c r="O164" s="132" t="s">
        <v>292</v>
      </c>
      <c r="P164" s="73">
        <v>45962</v>
      </c>
      <c r="Q164" s="71" t="s">
        <v>293</v>
      </c>
      <c r="R164" s="68" t="s">
        <v>733</v>
      </c>
      <c r="S164" s="71" t="s">
        <v>293</v>
      </c>
      <c r="T164" s="68" t="s">
        <v>733</v>
      </c>
      <c r="U164" s="68"/>
      <c r="V164" s="68" t="s">
        <v>827</v>
      </c>
      <c r="W164" s="68"/>
      <c r="X164" s="134">
        <v>1</v>
      </c>
    </row>
    <row r="165" spans="3:24">
      <c r="C165" s="58" t="s">
        <v>0</v>
      </c>
      <c r="D165" s="58" t="s">
        <v>0</v>
      </c>
      <c r="E165" s="120" t="s">
        <v>844</v>
      </c>
      <c r="F165" s="68">
        <v>2672573314</v>
      </c>
      <c r="G165" s="58" t="s">
        <v>564</v>
      </c>
      <c r="H165" s="52">
        <v>15606713</v>
      </c>
      <c r="I165" s="60" t="s">
        <v>725</v>
      </c>
      <c r="J165" s="71" t="s">
        <v>56</v>
      </c>
      <c r="K165" s="70" t="s">
        <v>870</v>
      </c>
      <c r="L165" s="70"/>
      <c r="M165" s="121" t="s">
        <v>292</v>
      </c>
      <c r="N165" s="128">
        <v>45748</v>
      </c>
      <c r="O165" s="132" t="s">
        <v>292</v>
      </c>
      <c r="P165" s="73">
        <v>45962</v>
      </c>
      <c r="Q165" s="71" t="s">
        <v>293</v>
      </c>
      <c r="R165" s="68" t="s">
        <v>733</v>
      </c>
      <c r="S165" s="71" t="s">
        <v>293</v>
      </c>
      <c r="T165" s="68" t="s">
        <v>733</v>
      </c>
      <c r="U165" s="68"/>
      <c r="V165" s="68" t="s">
        <v>827</v>
      </c>
      <c r="W165" s="68"/>
      <c r="X165" s="134">
        <v>1</v>
      </c>
    </row>
    <row r="166" spans="3:24">
      <c r="C166" s="58" t="s">
        <v>0</v>
      </c>
      <c r="D166" s="58" t="s">
        <v>0</v>
      </c>
      <c r="E166" s="120" t="s">
        <v>844</v>
      </c>
      <c r="F166" s="68">
        <v>2672573314</v>
      </c>
      <c r="G166" s="58" t="s">
        <v>565</v>
      </c>
      <c r="H166" s="52">
        <v>25476329</v>
      </c>
      <c r="I166" s="60" t="s">
        <v>725</v>
      </c>
      <c r="J166" s="71" t="s">
        <v>56</v>
      </c>
      <c r="K166" s="70" t="s">
        <v>870</v>
      </c>
      <c r="L166" s="70"/>
      <c r="M166" s="121" t="s">
        <v>292</v>
      </c>
      <c r="N166" s="128">
        <v>45748</v>
      </c>
      <c r="O166" s="132" t="s">
        <v>292</v>
      </c>
      <c r="P166" s="73">
        <v>45962</v>
      </c>
      <c r="Q166" s="71" t="s">
        <v>293</v>
      </c>
      <c r="R166" s="68" t="s">
        <v>733</v>
      </c>
      <c r="S166" s="71" t="s">
        <v>293</v>
      </c>
      <c r="T166" s="68" t="s">
        <v>733</v>
      </c>
      <c r="U166" s="68"/>
      <c r="V166" s="68" t="s">
        <v>827</v>
      </c>
      <c r="W166" s="68"/>
      <c r="X166" s="134">
        <v>1</v>
      </c>
    </row>
    <row r="167" spans="3:24">
      <c r="C167" s="58" t="s">
        <v>0</v>
      </c>
      <c r="D167" s="58" t="s">
        <v>0</v>
      </c>
      <c r="E167" s="120" t="s">
        <v>844</v>
      </c>
      <c r="F167" s="68">
        <v>2672573314</v>
      </c>
      <c r="G167" s="58" t="s">
        <v>566</v>
      </c>
      <c r="H167" s="52">
        <v>17905449</v>
      </c>
      <c r="I167" s="70" t="s">
        <v>730</v>
      </c>
      <c r="J167" s="71" t="s">
        <v>56</v>
      </c>
      <c r="K167" s="70" t="s">
        <v>870</v>
      </c>
      <c r="L167" s="70"/>
      <c r="M167" s="121" t="s">
        <v>292</v>
      </c>
      <c r="N167" s="128">
        <v>45748</v>
      </c>
      <c r="O167" s="132" t="s">
        <v>292</v>
      </c>
      <c r="P167" s="73">
        <v>45962</v>
      </c>
      <c r="Q167" s="71" t="s">
        <v>293</v>
      </c>
      <c r="R167" s="68" t="s">
        <v>733</v>
      </c>
      <c r="S167" s="71" t="s">
        <v>293</v>
      </c>
      <c r="T167" s="68" t="s">
        <v>733</v>
      </c>
      <c r="U167" s="68"/>
      <c r="V167" s="68" t="s">
        <v>827</v>
      </c>
      <c r="W167" s="68"/>
      <c r="X167" s="134">
        <v>1</v>
      </c>
    </row>
    <row r="168" spans="3:24">
      <c r="C168" s="58" t="s">
        <v>0</v>
      </c>
      <c r="D168" s="58" t="s">
        <v>0</v>
      </c>
      <c r="E168" s="120" t="s">
        <v>844</v>
      </c>
      <c r="F168" s="68">
        <v>2672573314</v>
      </c>
      <c r="G168" s="58" t="s">
        <v>120</v>
      </c>
      <c r="H168" s="59">
        <v>24972191</v>
      </c>
      <c r="I168" s="70" t="s">
        <v>730</v>
      </c>
      <c r="J168" s="71" t="s">
        <v>55</v>
      </c>
      <c r="K168" s="70" t="s">
        <v>870</v>
      </c>
      <c r="L168" s="70"/>
      <c r="M168" s="121" t="s">
        <v>868</v>
      </c>
      <c r="N168" s="68" t="s">
        <v>733</v>
      </c>
      <c r="O168" s="132" t="s">
        <v>293</v>
      </c>
      <c r="P168" s="68" t="s">
        <v>733</v>
      </c>
      <c r="Q168" s="71" t="s">
        <v>293</v>
      </c>
      <c r="R168" s="68" t="s">
        <v>733</v>
      </c>
      <c r="S168" s="71" t="s">
        <v>293</v>
      </c>
      <c r="T168" s="68" t="s">
        <v>733</v>
      </c>
      <c r="U168" s="68"/>
      <c r="V168" s="68" t="s">
        <v>827</v>
      </c>
      <c r="W168" s="68"/>
      <c r="X168" s="134">
        <v>1</v>
      </c>
    </row>
    <row r="169" spans="3:24">
      <c r="C169" s="58" t="s">
        <v>0</v>
      </c>
      <c r="D169" s="58" t="s">
        <v>0</v>
      </c>
      <c r="E169" s="120" t="s">
        <v>844</v>
      </c>
      <c r="F169" s="68">
        <v>2672573314</v>
      </c>
      <c r="G169" s="58" t="s">
        <v>121</v>
      </c>
      <c r="H169" s="59">
        <v>18422251</v>
      </c>
      <c r="I169" s="70" t="s">
        <v>730</v>
      </c>
      <c r="J169" s="71" t="s">
        <v>55</v>
      </c>
      <c r="K169" s="70" t="s">
        <v>870</v>
      </c>
      <c r="L169" s="70"/>
      <c r="M169" s="121" t="s">
        <v>868</v>
      </c>
      <c r="N169" s="68" t="s">
        <v>733</v>
      </c>
      <c r="O169" s="132" t="s">
        <v>293</v>
      </c>
      <c r="P169" s="68" t="s">
        <v>733</v>
      </c>
      <c r="Q169" s="71" t="s">
        <v>293</v>
      </c>
      <c r="R169" s="68" t="s">
        <v>733</v>
      </c>
      <c r="S169" s="71" t="s">
        <v>293</v>
      </c>
      <c r="T169" s="68" t="s">
        <v>733</v>
      </c>
      <c r="U169" s="68"/>
      <c r="V169" s="68" t="s">
        <v>827</v>
      </c>
      <c r="W169" s="68"/>
      <c r="X169" s="134">
        <v>1</v>
      </c>
    </row>
    <row r="170" spans="3:24">
      <c r="C170" s="58" t="s">
        <v>0</v>
      </c>
      <c r="D170" s="58" t="s">
        <v>0</v>
      </c>
      <c r="E170" s="120" t="s">
        <v>844</v>
      </c>
      <c r="F170" s="68">
        <v>2672573314</v>
      </c>
      <c r="G170" s="58" t="s">
        <v>122</v>
      </c>
      <c r="H170" s="59">
        <v>14383233</v>
      </c>
      <c r="I170" s="70" t="s">
        <v>730</v>
      </c>
      <c r="J170" s="71" t="s">
        <v>56</v>
      </c>
      <c r="K170" s="70" t="s">
        <v>870</v>
      </c>
      <c r="L170" s="70"/>
      <c r="M170" s="121" t="s">
        <v>868</v>
      </c>
      <c r="N170" s="68" t="s">
        <v>733</v>
      </c>
      <c r="O170" s="132" t="s">
        <v>292</v>
      </c>
      <c r="P170" s="73">
        <v>45962</v>
      </c>
      <c r="Q170" s="71" t="s">
        <v>293</v>
      </c>
      <c r="R170" s="68" t="s">
        <v>733</v>
      </c>
      <c r="S170" s="71" t="s">
        <v>293</v>
      </c>
      <c r="T170" s="68" t="s">
        <v>733</v>
      </c>
      <c r="U170" s="68"/>
      <c r="V170" s="68" t="s">
        <v>827</v>
      </c>
      <c r="W170" s="68"/>
      <c r="X170" s="134">
        <v>1</v>
      </c>
    </row>
    <row r="171" spans="3:24">
      <c r="C171" s="58" t="s">
        <v>0</v>
      </c>
      <c r="D171" s="58" t="s">
        <v>0</v>
      </c>
      <c r="E171" s="120" t="s">
        <v>844</v>
      </c>
      <c r="F171" s="68">
        <v>2672573314</v>
      </c>
      <c r="G171" s="58" t="s">
        <v>740</v>
      </c>
      <c r="H171" s="59">
        <v>28082113</v>
      </c>
      <c r="I171" s="60" t="s">
        <v>725</v>
      </c>
      <c r="J171" s="71" t="s">
        <v>56</v>
      </c>
      <c r="K171" s="70" t="s">
        <v>870</v>
      </c>
      <c r="L171" s="70"/>
      <c r="M171" s="121" t="s">
        <v>868</v>
      </c>
      <c r="N171" s="68" t="s">
        <v>733</v>
      </c>
      <c r="O171" s="132" t="s">
        <v>293</v>
      </c>
      <c r="P171" s="68" t="s">
        <v>733</v>
      </c>
      <c r="Q171" s="71" t="s">
        <v>293</v>
      </c>
      <c r="R171" s="68" t="s">
        <v>733</v>
      </c>
      <c r="S171" s="71" t="s">
        <v>293</v>
      </c>
      <c r="T171" s="68" t="s">
        <v>733</v>
      </c>
      <c r="U171" s="68"/>
      <c r="V171" s="68" t="s">
        <v>827</v>
      </c>
      <c r="W171" s="68"/>
      <c r="X171" s="134">
        <v>1</v>
      </c>
    </row>
    <row r="172" spans="3:24">
      <c r="C172" s="58" t="s">
        <v>0</v>
      </c>
      <c r="D172" s="58" t="s">
        <v>0</v>
      </c>
      <c r="E172" s="120" t="s">
        <v>844</v>
      </c>
      <c r="F172" s="68">
        <v>2672573314</v>
      </c>
      <c r="G172" s="58" t="s">
        <v>124</v>
      </c>
      <c r="H172" s="59">
        <v>16104188</v>
      </c>
      <c r="I172" s="60" t="s">
        <v>725</v>
      </c>
      <c r="J172" s="71" t="s">
        <v>56</v>
      </c>
      <c r="K172" s="70" t="s">
        <v>870</v>
      </c>
      <c r="L172" s="70"/>
      <c r="M172" s="121" t="s">
        <v>868</v>
      </c>
      <c r="N172" s="68" t="s">
        <v>733</v>
      </c>
      <c r="O172" s="132" t="s">
        <v>292</v>
      </c>
      <c r="P172" s="73">
        <v>45962</v>
      </c>
      <c r="Q172" s="71" t="s">
        <v>293</v>
      </c>
      <c r="R172" s="68" t="s">
        <v>733</v>
      </c>
      <c r="S172" s="71" t="s">
        <v>293</v>
      </c>
      <c r="T172" s="68" t="s">
        <v>733</v>
      </c>
      <c r="U172" s="68"/>
      <c r="V172" s="68" t="s">
        <v>827</v>
      </c>
      <c r="W172" s="68"/>
      <c r="X172" s="134">
        <v>1</v>
      </c>
    </row>
    <row r="173" spans="3:24">
      <c r="C173" s="58" t="s">
        <v>0</v>
      </c>
      <c r="D173" s="58" t="s">
        <v>0</v>
      </c>
      <c r="E173" s="120" t="s">
        <v>844</v>
      </c>
      <c r="F173" s="68">
        <v>2672573314</v>
      </c>
      <c r="G173" s="58" t="s">
        <v>125</v>
      </c>
      <c r="H173" s="59">
        <v>26233912</v>
      </c>
      <c r="I173" s="70" t="s">
        <v>730</v>
      </c>
      <c r="J173" s="71" t="s">
        <v>56</v>
      </c>
      <c r="K173" s="70" t="s">
        <v>870</v>
      </c>
      <c r="L173" s="70"/>
      <c r="M173" s="121" t="s">
        <v>868</v>
      </c>
      <c r="N173" s="68" t="s">
        <v>733</v>
      </c>
      <c r="O173" s="132" t="s">
        <v>292</v>
      </c>
      <c r="P173" s="73">
        <v>45962</v>
      </c>
      <c r="Q173" s="71" t="s">
        <v>293</v>
      </c>
      <c r="R173" s="68" t="s">
        <v>733</v>
      </c>
      <c r="S173" s="71" t="s">
        <v>293</v>
      </c>
      <c r="T173" s="68" t="s">
        <v>733</v>
      </c>
      <c r="U173" s="68"/>
      <c r="V173" s="68" t="s">
        <v>827</v>
      </c>
      <c r="W173" s="68"/>
      <c r="X173" s="134">
        <v>1</v>
      </c>
    </row>
    <row r="174" spans="3:24">
      <c r="C174" s="58" t="s">
        <v>0</v>
      </c>
      <c r="D174" s="58" t="s">
        <v>0</v>
      </c>
      <c r="E174" s="120" t="s">
        <v>844</v>
      </c>
      <c r="F174" s="68">
        <v>2672573314</v>
      </c>
      <c r="G174" s="58" t="s">
        <v>126</v>
      </c>
      <c r="H174" s="59">
        <v>28529130</v>
      </c>
      <c r="I174" s="70" t="s">
        <v>730</v>
      </c>
      <c r="J174" s="71" t="s">
        <v>56</v>
      </c>
      <c r="K174" s="70" t="s">
        <v>870</v>
      </c>
      <c r="L174" s="70"/>
      <c r="M174" s="121" t="s">
        <v>868</v>
      </c>
      <c r="N174" s="68" t="s">
        <v>733</v>
      </c>
      <c r="O174" s="132" t="s">
        <v>292</v>
      </c>
      <c r="P174" s="73">
        <v>45962</v>
      </c>
      <c r="Q174" s="71" t="s">
        <v>293</v>
      </c>
      <c r="R174" s="68" t="s">
        <v>733</v>
      </c>
      <c r="S174" s="71" t="s">
        <v>293</v>
      </c>
      <c r="T174" s="68" t="s">
        <v>733</v>
      </c>
      <c r="U174" s="68"/>
      <c r="V174" s="68" t="s">
        <v>827</v>
      </c>
      <c r="W174" s="68"/>
      <c r="X174" s="134">
        <v>1</v>
      </c>
    </row>
    <row r="175" spans="3:24">
      <c r="C175" s="94" t="s">
        <v>0</v>
      </c>
      <c r="D175" s="94" t="s">
        <v>0</v>
      </c>
      <c r="E175" s="123" t="s">
        <v>844</v>
      </c>
      <c r="F175" s="98">
        <v>2672573314</v>
      </c>
      <c r="G175" s="94" t="s">
        <v>127</v>
      </c>
      <c r="H175" s="95">
        <v>26086041</v>
      </c>
      <c r="I175" s="96" t="s">
        <v>725</v>
      </c>
      <c r="J175" s="97" t="s">
        <v>56</v>
      </c>
      <c r="K175" s="94"/>
      <c r="L175" s="94"/>
      <c r="M175" s="97" t="s">
        <v>868</v>
      </c>
      <c r="N175" s="98" t="s">
        <v>733</v>
      </c>
      <c r="O175" s="130" t="s">
        <v>292</v>
      </c>
      <c r="P175" s="99">
        <v>45992</v>
      </c>
      <c r="Q175" s="97" t="s">
        <v>869</v>
      </c>
      <c r="R175" s="98"/>
      <c r="S175" s="97" t="s">
        <v>869</v>
      </c>
      <c r="T175" s="94"/>
      <c r="U175" s="98"/>
      <c r="V175" s="98" t="s">
        <v>827</v>
      </c>
      <c r="W175" s="98" t="s">
        <v>744</v>
      </c>
      <c r="X175" s="134">
        <v>1</v>
      </c>
    </row>
    <row r="176" spans="3:24">
      <c r="C176" s="58" t="s">
        <v>0</v>
      </c>
      <c r="D176" s="58" t="s">
        <v>0</v>
      </c>
      <c r="E176" s="120" t="s">
        <v>844</v>
      </c>
      <c r="F176" s="68">
        <v>2672573314</v>
      </c>
      <c r="G176" s="58" t="s">
        <v>128</v>
      </c>
      <c r="H176" s="59">
        <v>20700337</v>
      </c>
      <c r="I176" s="70" t="s">
        <v>730</v>
      </c>
      <c r="J176" s="71" t="s">
        <v>56</v>
      </c>
      <c r="K176" s="70" t="s">
        <v>870</v>
      </c>
      <c r="L176" s="70"/>
      <c r="M176" s="121" t="s">
        <v>868</v>
      </c>
      <c r="N176" s="68" t="s">
        <v>733</v>
      </c>
      <c r="O176" s="132" t="s">
        <v>292</v>
      </c>
      <c r="P176" s="73">
        <v>45962</v>
      </c>
      <c r="Q176" s="71" t="s">
        <v>293</v>
      </c>
      <c r="R176" s="68" t="s">
        <v>733</v>
      </c>
      <c r="S176" s="71" t="s">
        <v>293</v>
      </c>
      <c r="T176" s="68" t="s">
        <v>733</v>
      </c>
      <c r="U176" s="68"/>
      <c r="V176" s="68" t="s">
        <v>827</v>
      </c>
      <c r="W176" s="68"/>
      <c r="X176" s="134">
        <v>1</v>
      </c>
    </row>
    <row r="177" spans="3:24">
      <c r="C177" s="58" t="s">
        <v>0</v>
      </c>
      <c r="D177" s="58" t="s">
        <v>0</v>
      </c>
      <c r="E177" s="120" t="s">
        <v>844</v>
      </c>
      <c r="F177" s="68">
        <v>2672573314</v>
      </c>
      <c r="G177" s="58" t="s">
        <v>129</v>
      </c>
      <c r="H177" s="59">
        <v>19667127</v>
      </c>
      <c r="I177" s="60" t="s">
        <v>725</v>
      </c>
      <c r="J177" s="71" t="s">
        <v>56</v>
      </c>
      <c r="K177" s="70" t="s">
        <v>870</v>
      </c>
      <c r="L177" s="70"/>
      <c r="M177" s="121" t="s">
        <v>868</v>
      </c>
      <c r="N177" s="68" t="s">
        <v>733</v>
      </c>
      <c r="O177" s="132" t="s">
        <v>292</v>
      </c>
      <c r="P177" s="73">
        <v>45962</v>
      </c>
      <c r="Q177" s="71" t="s">
        <v>293</v>
      </c>
      <c r="R177" s="68" t="s">
        <v>733</v>
      </c>
      <c r="S177" s="71" t="s">
        <v>293</v>
      </c>
      <c r="T177" s="68" t="s">
        <v>733</v>
      </c>
      <c r="U177" s="68"/>
      <c r="V177" s="68" t="s">
        <v>827</v>
      </c>
      <c r="W177" s="68"/>
      <c r="X177" s="134">
        <v>1</v>
      </c>
    </row>
    <row r="178" spans="3:24">
      <c r="C178" s="58" t="s">
        <v>0</v>
      </c>
      <c r="D178" s="58" t="s">
        <v>0</v>
      </c>
      <c r="E178" s="120" t="s">
        <v>844</v>
      </c>
      <c r="F178" s="68">
        <v>2672573314</v>
      </c>
      <c r="G178" s="58" t="s">
        <v>130</v>
      </c>
      <c r="H178" s="59">
        <v>24710684</v>
      </c>
      <c r="I178" s="70" t="s">
        <v>730</v>
      </c>
      <c r="J178" s="71" t="s">
        <v>56</v>
      </c>
      <c r="K178" s="70" t="s">
        <v>870</v>
      </c>
      <c r="L178" s="70"/>
      <c r="M178" s="121" t="s">
        <v>868</v>
      </c>
      <c r="N178" s="68" t="s">
        <v>733</v>
      </c>
      <c r="O178" s="132" t="s">
        <v>292</v>
      </c>
      <c r="P178" s="73">
        <v>45962</v>
      </c>
      <c r="Q178" s="71" t="s">
        <v>293</v>
      </c>
      <c r="R178" s="68" t="s">
        <v>733</v>
      </c>
      <c r="S178" s="71" t="s">
        <v>293</v>
      </c>
      <c r="T178" s="68" t="s">
        <v>733</v>
      </c>
      <c r="U178" s="68"/>
      <c r="V178" s="68" t="s">
        <v>827</v>
      </c>
      <c r="W178" s="68"/>
      <c r="X178" s="134">
        <v>1</v>
      </c>
    </row>
    <row r="179" spans="3:24">
      <c r="C179" s="58" t="s">
        <v>0</v>
      </c>
      <c r="D179" s="58" t="s">
        <v>0</v>
      </c>
      <c r="E179" s="120" t="s">
        <v>844</v>
      </c>
      <c r="F179" s="68">
        <v>2672573314</v>
      </c>
      <c r="G179" s="58" t="s">
        <v>131</v>
      </c>
      <c r="H179" s="59">
        <v>27084198</v>
      </c>
      <c r="I179" s="60" t="s">
        <v>725</v>
      </c>
      <c r="J179" s="71" t="s">
        <v>56</v>
      </c>
      <c r="K179" s="70" t="s">
        <v>870</v>
      </c>
      <c r="L179" s="70"/>
      <c r="M179" s="121" t="s">
        <v>868</v>
      </c>
      <c r="N179" s="68" t="s">
        <v>733</v>
      </c>
      <c r="O179" s="132" t="s">
        <v>292</v>
      </c>
      <c r="P179" s="73">
        <v>45962</v>
      </c>
      <c r="Q179" s="71" t="s">
        <v>293</v>
      </c>
      <c r="R179" s="68" t="s">
        <v>733</v>
      </c>
      <c r="S179" s="71" t="s">
        <v>293</v>
      </c>
      <c r="T179" s="68" t="s">
        <v>733</v>
      </c>
      <c r="U179" s="68"/>
      <c r="V179" s="68" t="s">
        <v>827</v>
      </c>
      <c r="W179" s="68"/>
      <c r="X179" s="134">
        <v>1</v>
      </c>
    </row>
    <row r="180" spans="3:24">
      <c r="C180" s="58" t="s">
        <v>0</v>
      </c>
      <c r="D180" s="58" t="s">
        <v>0</v>
      </c>
      <c r="E180" s="120" t="s">
        <v>844</v>
      </c>
      <c r="F180" s="68">
        <v>2672573314</v>
      </c>
      <c r="G180" s="58" t="s">
        <v>658</v>
      </c>
      <c r="H180" s="59">
        <v>19621336</v>
      </c>
      <c r="I180" s="60" t="s">
        <v>725</v>
      </c>
      <c r="J180" s="71" t="s">
        <v>56</v>
      </c>
      <c r="K180" s="70" t="s">
        <v>870</v>
      </c>
      <c r="L180" s="70"/>
      <c r="M180" s="121" t="s">
        <v>868</v>
      </c>
      <c r="N180" s="68" t="s">
        <v>733</v>
      </c>
      <c r="O180" s="132" t="s">
        <v>292</v>
      </c>
      <c r="P180" s="73">
        <v>45992</v>
      </c>
      <c r="Q180" s="71" t="s">
        <v>293</v>
      </c>
      <c r="R180" s="68" t="s">
        <v>733</v>
      </c>
      <c r="S180" s="71" t="s">
        <v>293</v>
      </c>
      <c r="T180" s="68" t="s">
        <v>733</v>
      </c>
      <c r="U180" s="68"/>
      <c r="V180" s="68" t="s">
        <v>827</v>
      </c>
      <c r="W180" s="68"/>
      <c r="X180" s="134">
        <v>1</v>
      </c>
    </row>
    <row r="181" spans="3:24">
      <c r="C181" s="58" t="s">
        <v>0</v>
      </c>
      <c r="D181" s="58" t="s">
        <v>0</v>
      </c>
      <c r="E181" s="120" t="s">
        <v>844</v>
      </c>
      <c r="F181" s="68">
        <v>2672573314</v>
      </c>
      <c r="G181" s="58" t="s">
        <v>133</v>
      </c>
      <c r="H181" s="59">
        <v>15496280</v>
      </c>
      <c r="I181" s="70" t="s">
        <v>730</v>
      </c>
      <c r="J181" s="71" t="s">
        <v>56</v>
      </c>
      <c r="K181" s="70" t="s">
        <v>870</v>
      </c>
      <c r="L181" s="70"/>
      <c r="M181" s="121" t="s">
        <v>868</v>
      </c>
      <c r="N181" s="68" t="s">
        <v>733</v>
      </c>
      <c r="O181" s="132" t="s">
        <v>292</v>
      </c>
      <c r="P181" s="73">
        <v>45962</v>
      </c>
      <c r="Q181" s="71" t="s">
        <v>293</v>
      </c>
      <c r="R181" s="68" t="s">
        <v>733</v>
      </c>
      <c r="S181" s="71" t="s">
        <v>293</v>
      </c>
      <c r="T181" s="68" t="s">
        <v>733</v>
      </c>
      <c r="U181" s="68"/>
      <c r="V181" s="68" t="s">
        <v>827</v>
      </c>
      <c r="W181" s="68"/>
      <c r="X181" s="134">
        <v>1</v>
      </c>
    </row>
    <row r="182" spans="3:24">
      <c r="C182" s="58" t="s">
        <v>0</v>
      </c>
      <c r="D182" s="58" t="s">
        <v>0</v>
      </c>
      <c r="E182" s="120" t="s">
        <v>844</v>
      </c>
      <c r="F182" s="68">
        <v>2672573314</v>
      </c>
      <c r="G182" s="58" t="s">
        <v>134</v>
      </c>
      <c r="H182" s="59">
        <v>24859431</v>
      </c>
      <c r="I182" s="60" t="s">
        <v>725</v>
      </c>
      <c r="J182" s="71" t="s">
        <v>56</v>
      </c>
      <c r="K182" s="70" t="s">
        <v>870</v>
      </c>
      <c r="L182" s="70"/>
      <c r="M182" s="121" t="s">
        <v>868</v>
      </c>
      <c r="N182" s="68" t="s">
        <v>733</v>
      </c>
      <c r="O182" s="132" t="s">
        <v>292</v>
      </c>
      <c r="P182" s="73">
        <v>45962</v>
      </c>
      <c r="Q182" s="71" t="s">
        <v>293</v>
      </c>
      <c r="R182" s="68" t="s">
        <v>733</v>
      </c>
      <c r="S182" s="71" t="s">
        <v>293</v>
      </c>
      <c r="T182" s="68" t="s">
        <v>733</v>
      </c>
      <c r="U182" s="68"/>
      <c r="V182" s="68" t="s">
        <v>827</v>
      </c>
      <c r="W182" s="68"/>
      <c r="X182" s="134">
        <v>1</v>
      </c>
    </row>
    <row r="183" spans="3:24">
      <c r="C183" s="58" t="s">
        <v>0</v>
      </c>
      <c r="D183" s="58" t="s">
        <v>0</v>
      </c>
      <c r="E183" s="120" t="s">
        <v>844</v>
      </c>
      <c r="F183" s="68">
        <v>2672573314</v>
      </c>
      <c r="G183" s="58" t="s">
        <v>135</v>
      </c>
      <c r="H183" s="59">
        <v>12753168</v>
      </c>
      <c r="I183" s="70" t="s">
        <v>730</v>
      </c>
      <c r="J183" s="71" t="s">
        <v>56</v>
      </c>
      <c r="K183" s="70" t="s">
        <v>870</v>
      </c>
      <c r="L183" s="70"/>
      <c r="M183" s="121" t="s">
        <v>868</v>
      </c>
      <c r="N183" s="68" t="s">
        <v>733</v>
      </c>
      <c r="O183" s="132" t="s">
        <v>292</v>
      </c>
      <c r="P183" s="73">
        <v>45962</v>
      </c>
      <c r="Q183" s="71" t="s">
        <v>293</v>
      </c>
      <c r="R183" s="68" t="s">
        <v>733</v>
      </c>
      <c r="S183" s="71" t="s">
        <v>293</v>
      </c>
      <c r="T183" s="68" t="s">
        <v>733</v>
      </c>
      <c r="U183" s="68"/>
      <c r="V183" s="68" t="s">
        <v>827</v>
      </c>
      <c r="W183" s="68"/>
      <c r="X183" s="134">
        <v>1</v>
      </c>
    </row>
    <row r="184" spans="3:24">
      <c r="C184" s="58" t="s">
        <v>0</v>
      </c>
      <c r="D184" s="58" t="s">
        <v>0</v>
      </c>
      <c r="E184" s="120" t="s">
        <v>844</v>
      </c>
      <c r="F184" s="68">
        <v>2672573314</v>
      </c>
      <c r="G184" s="58" t="s">
        <v>136</v>
      </c>
      <c r="H184" s="59">
        <v>19666658</v>
      </c>
      <c r="I184" s="60" t="s">
        <v>725</v>
      </c>
      <c r="J184" s="71" t="s">
        <v>56</v>
      </c>
      <c r="K184" s="70" t="s">
        <v>870</v>
      </c>
      <c r="L184" s="70"/>
      <c r="M184" s="121" t="s">
        <v>868</v>
      </c>
      <c r="N184" s="68" t="s">
        <v>733</v>
      </c>
      <c r="O184" s="132" t="s">
        <v>292</v>
      </c>
      <c r="P184" s="73">
        <v>45962</v>
      </c>
      <c r="Q184" s="71" t="s">
        <v>293</v>
      </c>
      <c r="R184" s="68" t="s">
        <v>733</v>
      </c>
      <c r="S184" s="71" t="s">
        <v>293</v>
      </c>
      <c r="T184" s="68" t="s">
        <v>733</v>
      </c>
      <c r="U184" s="68"/>
      <c r="V184" s="68" t="s">
        <v>827</v>
      </c>
      <c r="W184" s="68"/>
      <c r="X184" s="134">
        <v>1</v>
      </c>
    </row>
    <row r="185" spans="3:24">
      <c r="C185" s="94" t="s">
        <v>0</v>
      </c>
      <c r="D185" s="94" t="s">
        <v>0</v>
      </c>
      <c r="E185" s="123" t="s">
        <v>844</v>
      </c>
      <c r="F185" s="98">
        <v>2672573314</v>
      </c>
      <c r="G185" s="94" t="s">
        <v>138</v>
      </c>
      <c r="H185" s="95">
        <v>29812447</v>
      </c>
      <c r="I185" s="96" t="s">
        <v>725</v>
      </c>
      <c r="J185" s="97" t="s">
        <v>56</v>
      </c>
      <c r="K185" s="94"/>
      <c r="L185" s="94"/>
      <c r="M185" s="97" t="s">
        <v>868</v>
      </c>
      <c r="N185" s="98" t="s">
        <v>733</v>
      </c>
      <c r="O185" s="130" t="s">
        <v>869</v>
      </c>
      <c r="P185" s="99" t="s">
        <v>733</v>
      </c>
      <c r="Q185" s="97" t="s">
        <v>869</v>
      </c>
      <c r="R185" s="99" t="s">
        <v>733</v>
      </c>
      <c r="S185" s="97" t="s">
        <v>869</v>
      </c>
      <c r="T185" s="98" t="s">
        <v>733</v>
      </c>
      <c r="U185" s="98"/>
      <c r="V185" s="98" t="s">
        <v>827</v>
      </c>
      <c r="W185" s="98" t="s">
        <v>864</v>
      </c>
      <c r="X185" s="134">
        <v>1</v>
      </c>
    </row>
    <row r="186" spans="3:24">
      <c r="C186" s="58" t="s">
        <v>0</v>
      </c>
      <c r="D186" s="58" t="s">
        <v>0</v>
      </c>
      <c r="E186" s="120" t="s">
        <v>844</v>
      </c>
      <c r="F186" s="68">
        <v>2672573314</v>
      </c>
      <c r="G186" s="58" t="s">
        <v>504</v>
      </c>
      <c r="H186" s="59">
        <v>15653907</v>
      </c>
      <c r="I186" s="70" t="s">
        <v>730</v>
      </c>
      <c r="J186" s="71" t="s">
        <v>56</v>
      </c>
      <c r="K186" s="70" t="s">
        <v>870</v>
      </c>
      <c r="L186" s="70"/>
      <c r="M186" s="121" t="s">
        <v>868</v>
      </c>
      <c r="N186" s="68" t="s">
        <v>733</v>
      </c>
      <c r="O186" s="132" t="s">
        <v>293</v>
      </c>
      <c r="P186" s="68" t="s">
        <v>733</v>
      </c>
      <c r="Q186" s="71" t="s">
        <v>293</v>
      </c>
      <c r="R186" s="68" t="s">
        <v>733</v>
      </c>
      <c r="S186" s="71" t="s">
        <v>293</v>
      </c>
      <c r="T186" s="68" t="s">
        <v>733</v>
      </c>
      <c r="U186" s="68"/>
      <c r="V186" s="68" t="s">
        <v>827</v>
      </c>
      <c r="W186" s="68"/>
      <c r="X186" s="134">
        <v>1</v>
      </c>
    </row>
    <row r="187" spans="3:24">
      <c r="C187" s="58" t="s">
        <v>0</v>
      </c>
      <c r="D187" s="58" t="s">
        <v>0</v>
      </c>
      <c r="E187" s="120" t="s">
        <v>844</v>
      </c>
      <c r="F187" s="68">
        <v>2672573314</v>
      </c>
      <c r="G187" s="58" t="s">
        <v>745</v>
      </c>
      <c r="H187" s="59">
        <v>83028013</v>
      </c>
      <c r="I187" s="70" t="s">
        <v>706</v>
      </c>
      <c r="J187" s="71" t="s">
        <v>414</v>
      </c>
      <c r="K187" s="70" t="s">
        <v>870</v>
      </c>
      <c r="L187" s="70"/>
      <c r="M187" s="121" t="s">
        <v>868</v>
      </c>
      <c r="N187" s="68" t="s">
        <v>733</v>
      </c>
      <c r="O187" s="132" t="s">
        <v>293</v>
      </c>
      <c r="P187" s="68" t="s">
        <v>733</v>
      </c>
      <c r="Q187" s="71" t="s">
        <v>293</v>
      </c>
      <c r="R187" s="68" t="s">
        <v>733</v>
      </c>
      <c r="S187" s="71" t="s">
        <v>293</v>
      </c>
      <c r="T187" s="68" t="s">
        <v>733</v>
      </c>
      <c r="U187" s="68"/>
      <c r="V187" s="68" t="s">
        <v>827</v>
      </c>
      <c r="W187" s="68"/>
      <c r="X187" s="134">
        <v>1</v>
      </c>
    </row>
    <row r="188" spans="3:24">
      <c r="C188" s="58" t="s">
        <v>0</v>
      </c>
      <c r="D188" s="58" t="s">
        <v>0</v>
      </c>
      <c r="E188" s="120" t="s">
        <v>844</v>
      </c>
      <c r="F188" s="68">
        <v>2672573314</v>
      </c>
      <c r="G188" s="58" t="s">
        <v>746</v>
      </c>
      <c r="H188" s="59">
        <v>14024246</v>
      </c>
      <c r="I188" s="70" t="s">
        <v>706</v>
      </c>
      <c r="J188" s="71" t="s">
        <v>727</v>
      </c>
      <c r="K188" s="70" t="s">
        <v>870</v>
      </c>
      <c r="L188" s="70"/>
      <c r="M188" s="121" t="s">
        <v>868</v>
      </c>
      <c r="N188" s="68" t="s">
        <v>733</v>
      </c>
      <c r="O188" s="132" t="s">
        <v>293</v>
      </c>
      <c r="P188" s="68" t="s">
        <v>733</v>
      </c>
      <c r="Q188" s="71" t="s">
        <v>293</v>
      </c>
      <c r="R188" s="68" t="s">
        <v>733</v>
      </c>
      <c r="S188" s="71" t="s">
        <v>293</v>
      </c>
      <c r="T188" s="68" t="s">
        <v>733</v>
      </c>
      <c r="U188" s="68"/>
      <c r="V188" s="68" t="s">
        <v>827</v>
      </c>
      <c r="W188" s="68"/>
      <c r="X188" s="134">
        <v>1</v>
      </c>
    </row>
    <row r="189" spans="3:24">
      <c r="C189" s="58" t="s">
        <v>0</v>
      </c>
      <c r="D189" s="58" t="s">
        <v>0</v>
      </c>
      <c r="E189" s="120" t="s">
        <v>844</v>
      </c>
      <c r="F189" s="68">
        <v>2672573314</v>
      </c>
      <c r="G189" s="58" t="s">
        <v>747</v>
      </c>
      <c r="H189" s="59">
        <v>19667981</v>
      </c>
      <c r="I189" s="70" t="s">
        <v>706</v>
      </c>
      <c r="J189" s="71" t="s">
        <v>405</v>
      </c>
      <c r="K189" s="70" t="s">
        <v>870</v>
      </c>
      <c r="L189" s="70"/>
      <c r="M189" s="121" t="s">
        <v>868</v>
      </c>
      <c r="N189" s="68" t="s">
        <v>733</v>
      </c>
      <c r="O189" s="132" t="s">
        <v>293</v>
      </c>
      <c r="P189" s="68" t="s">
        <v>733</v>
      </c>
      <c r="Q189" s="71" t="s">
        <v>293</v>
      </c>
      <c r="R189" s="68" t="s">
        <v>733</v>
      </c>
      <c r="S189" s="71" t="s">
        <v>293</v>
      </c>
      <c r="T189" s="68" t="s">
        <v>733</v>
      </c>
      <c r="U189" s="68"/>
      <c r="V189" s="68" t="s">
        <v>827</v>
      </c>
      <c r="W189" s="68"/>
      <c r="X189" s="134">
        <v>1</v>
      </c>
    </row>
    <row r="190" spans="3:24">
      <c r="C190" s="58" t="s">
        <v>0</v>
      </c>
      <c r="D190" s="58" t="s">
        <v>0</v>
      </c>
      <c r="E190" s="120" t="s">
        <v>844</v>
      </c>
      <c r="F190" s="68">
        <v>2672573314</v>
      </c>
      <c r="G190" s="58" t="s">
        <v>748</v>
      </c>
      <c r="H190" s="59">
        <v>26011552</v>
      </c>
      <c r="I190" s="70" t="s">
        <v>706</v>
      </c>
      <c r="J190" s="71" t="s">
        <v>750</v>
      </c>
      <c r="K190" s="70" t="s">
        <v>870</v>
      </c>
      <c r="L190" s="70"/>
      <c r="M190" s="121" t="s">
        <v>868</v>
      </c>
      <c r="N190" s="68" t="s">
        <v>733</v>
      </c>
      <c r="O190" s="132" t="s">
        <v>293</v>
      </c>
      <c r="P190" s="68" t="s">
        <v>733</v>
      </c>
      <c r="Q190" s="71" t="s">
        <v>293</v>
      </c>
      <c r="R190" s="68" t="s">
        <v>733</v>
      </c>
      <c r="S190" s="71" t="s">
        <v>293</v>
      </c>
      <c r="T190" s="68" t="s">
        <v>733</v>
      </c>
      <c r="U190" s="68"/>
      <c r="V190" s="68" t="s">
        <v>827</v>
      </c>
      <c r="W190" s="68"/>
      <c r="X190" s="134">
        <v>1</v>
      </c>
    </row>
    <row r="191" spans="3:24">
      <c r="C191" s="58" t="s">
        <v>0</v>
      </c>
      <c r="D191" s="58" t="s">
        <v>0</v>
      </c>
      <c r="E191" s="120" t="s">
        <v>844</v>
      </c>
      <c r="F191" s="68">
        <v>2672573314</v>
      </c>
      <c r="G191" s="58" t="s">
        <v>749</v>
      </c>
      <c r="H191" s="59">
        <v>27548134</v>
      </c>
      <c r="I191" s="70" t="s">
        <v>706</v>
      </c>
      <c r="J191" s="71" t="s">
        <v>750</v>
      </c>
      <c r="K191" s="70" t="s">
        <v>870</v>
      </c>
      <c r="L191" s="70"/>
      <c r="M191" s="121" t="s">
        <v>868</v>
      </c>
      <c r="N191" s="68" t="s">
        <v>733</v>
      </c>
      <c r="O191" s="132" t="s">
        <v>293</v>
      </c>
      <c r="P191" s="68" t="s">
        <v>733</v>
      </c>
      <c r="Q191" s="71" t="s">
        <v>293</v>
      </c>
      <c r="R191" s="68" t="s">
        <v>733</v>
      </c>
      <c r="S191" s="71" t="s">
        <v>293</v>
      </c>
      <c r="T191" s="68" t="s">
        <v>733</v>
      </c>
      <c r="U191" s="68"/>
      <c r="V191" s="68" t="s">
        <v>827</v>
      </c>
      <c r="W191" s="68"/>
      <c r="X191" s="134">
        <v>1</v>
      </c>
    </row>
    <row r="192" spans="3:24">
      <c r="C192" s="58" t="s">
        <v>0</v>
      </c>
      <c r="D192" s="58" t="s">
        <v>0</v>
      </c>
      <c r="E192" s="120" t="s">
        <v>844</v>
      </c>
      <c r="F192" s="68">
        <v>2672573314</v>
      </c>
      <c r="G192" s="58" t="s">
        <v>508</v>
      </c>
      <c r="H192" s="59">
        <v>16447676</v>
      </c>
      <c r="I192" s="60" t="s">
        <v>725</v>
      </c>
      <c r="J192" s="71" t="s">
        <v>56</v>
      </c>
      <c r="K192" s="70" t="s">
        <v>870</v>
      </c>
      <c r="L192" s="70"/>
      <c r="M192" s="121" t="s">
        <v>868</v>
      </c>
      <c r="N192" s="68" t="s">
        <v>733</v>
      </c>
      <c r="O192" s="132" t="s">
        <v>292</v>
      </c>
      <c r="P192" s="73">
        <v>45962</v>
      </c>
      <c r="Q192" s="71" t="s">
        <v>293</v>
      </c>
      <c r="R192" s="68" t="s">
        <v>733</v>
      </c>
      <c r="S192" s="71" t="s">
        <v>293</v>
      </c>
      <c r="T192" s="68" t="s">
        <v>733</v>
      </c>
      <c r="U192" s="68"/>
      <c r="V192" s="68" t="s">
        <v>827</v>
      </c>
      <c r="W192" s="68"/>
      <c r="X192" s="134">
        <v>1</v>
      </c>
    </row>
    <row r="193" spans="3:24">
      <c r="C193" s="58" t="s">
        <v>0</v>
      </c>
      <c r="D193" s="58" t="s">
        <v>0</v>
      </c>
      <c r="E193" s="120" t="s">
        <v>844</v>
      </c>
      <c r="F193" s="68">
        <v>2672573314</v>
      </c>
      <c r="G193" s="58" t="s">
        <v>751</v>
      </c>
      <c r="H193" s="59">
        <v>18085675</v>
      </c>
      <c r="I193" s="60" t="s">
        <v>410</v>
      </c>
      <c r="J193" s="71" t="s">
        <v>752</v>
      </c>
      <c r="K193" s="70" t="s">
        <v>870</v>
      </c>
      <c r="L193" s="70"/>
      <c r="M193" s="121" t="s">
        <v>868</v>
      </c>
      <c r="N193" s="68" t="s">
        <v>733</v>
      </c>
      <c r="O193" s="132" t="s">
        <v>293</v>
      </c>
      <c r="P193" s="68" t="s">
        <v>733</v>
      </c>
      <c r="Q193" s="71" t="s">
        <v>293</v>
      </c>
      <c r="R193" s="68" t="s">
        <v>733</v>
      </c>
      <c r="S193" s="71" t="s">
        <v>293</v>
      </c>
      <c r="T193" s="68" t="s">
        <v>733</v>
      </c>
      <c r="U193" s="68"/>
      <c r="V193" s="68" t="s">
        <v>827</v>
      </c>
      <c r="W193" s="68"/>
      <c r="X193" s="134">
        <v>1</v>
      </c>
    </row>
    <row r="194" spans="3:24">
      <c r="C194" s="58" t="s">
        <v>0</v>
      </c>
      <c r="D194" s="58" t="s">
        <v>0</v>
      </c>
      <c r="E194" s="120" t="s">
        <v>844</v>
      </c>
      <c r="F194" s="68">
        <v>2672573314</v>
      </c>
      <c r="G194" s="58" t="s">
        <v>753</v>
      </c>
      <c r="H194" s="59">
        <v>27550821</v>
      </c>
      <c r="I194" s="60" t="s">
        <v>410</v>
      </c>
      <c r="J194" s="71" t="s">
        <v>755</v>
      </c>
      <c r="K194" s="70" t="s">
        <v>870</v>
      </c>
      <c r="L194" s="70"/>
      <c r="M194" s="121" t="s">
        <v>868</v>
      </c>
      <c r="N194" s="68" t="s">
        <v>733</v>
      </c>
      <c r="O194" s="132" t="s">
        <v>293</v>
      </c>
      <c r="P194" s="68" t="s">
        <v>733</v>
      </c>
      <c r="Q194" s="71" t="s">
        <v>293</v>
      </c>
      <c r="R194" s="68" t="s">
        <v>733</v>
      </c>
      <c r="S194" s="71" t="s">
        <v>293</v>
      </c>
      <c r="T194" s="68" t="s">
        <v>733</v>
      </c>
      <c r="U194" s="68"/>
      <c r="V194" s="68" t="s">
        <v>827</v>
      </c>
      <c r="W194" s="68"/>
      <c r="X194" s="134">
        <v>1</v>
      </c>
    </row>
    <row r="195" spans="3:24">
      <c r="C195" s="58" t="s">
        <v>0</v>
      </c>
      <c r="D195" s="58" t="s">
        <v>0</v>
      </c>
      <c r="E195" s="120" t="s">
        <v>844</v>
      </c>
      <c r="F195" s="68">
        <v>2672573314</v>
      </c>
      <c r="G195" s="58" t="s">
        <v>756</v>
      </c>
      <c r="H195" s="59">
        <v>20731312</v>
      </c>
      <c r="I195" s="60" t="s">
        <v>410</v>
      </c>
      <c r="J195" s="71" t="s">
        <v>727</v>
      </c>
      <c r="K195" s="70" t="s">
        <v>870</v>
      </c>
      <c r="L195" s="70"/>
      <c r="M195" s="121" t="s">
        <v>868</v>
      </c>
      <c r="N195" s="68" t="s">
        <v>733</v>
      </c>
      <c r="O195" s="132" t="s">
        <v>293</v>
      </c>
      <c r="P195" s="68" t="s">
        <v>733</v>
      </c>
      <c r="Q195" s="71" t="s">
        <v>293</v>
      </c>
      <c r="R195" s="68" t="s">
        <v>733</v>
      </c>
      <c r="S195" s="71" t="s">
        <v>293</v>
      </c>
      <c r="T195" s="68" t="s">
        <v>733</v>
      </c>
      <c r="U195" s="68"/>
      <c r="V195" s="68" t="s">
        <v>827</v>
      </c>
      <c r="W195" s="68"/>
      <c r="X195" s="134">
        <v>1</v>
      </c>
    </row>
    <row r="196" spans="3:24">
      <c r="C196" s="58" t="s">
        <v>0</v>
      </c>
      <c r="D196" s="58" t="s">
        <v>0</v>
      </c>
      <c r="E196" s="120" t="s">
        <v>844</v>
      </c>
      <c r="F196" s="68">
        <v>2672573314</v>
      </c>
      <c r="G196" s="58" t="s">
        <v>757</v>
      </c>
      <c r="H196" s="59">
        <v>24554800</v>
      </c>
      <c r="I196" s="60" t="s">
        <v>410</v>
      </c>
      <c r="J196" s="71" t="s">
        <v>727</v>
      </c>
      <c r="K196" s="70" t="s">
        <v>870</v>
      </c>
      <c r="L196" s="70"/>
      <c r="M196" s="121" t="s">
        <v>868</v>
      </c>
      <c r="N196" s="68" t="s">
        <v>733</v>
      </c>
      <c r="O196" s="132" t="s">
        <v>293</v>
      </c>
      <c r="P196" s="68" t="s">
        <v>733</v>
      </c>
      <c r="Q196" s="71" t="s">
        <v>293</v>
      </c>
      <c r="R196" s="68" t="s">
        <v>733</v>
      </c>
      <c r="S196" s="71" t="s">
        <v>293</v>
      </c>
      <c r="T196" s="68" t="s">
        <v>733</v>
      </c>
      <c r="U196" s="68"/>
      <c r="V196" s="68" t="s">
        <v>827</v>
      </c>
      <c r="W196" s="68"/>
      <c r="X196" s="134">
        <v>1</v>
      </c>
    </row>
    <row r="197" spans="3:24">
      <c r="C197" s="94" t="s">
        <v>0</v>
      </c>
      <c r="D197" s="94" t="s">
        <v>0</v>
      </c>
      <c r="E197" s="123" t="s">
        <v>844</v>
      </c>
      <c r="F197" s="98">
        <v>2672573314</v>
      </c>
      <c r="G197" s="94" t="s">
        <v>509</v>
      </c>
      <c r="H197" s="95">
        <v>22210555</v>
      </c>
      <c r="I197" s="96" t="s">
        <v>725</v>
      </c>
      <c r="J197" s="97" t="s">
        <v>56</v>
      </c>
      <c r="K197" s="94"/>
      <c r="L197" s="94"/>
      <c r="M197" s="97" t="s">
        <v>868</v>
      </c>
      <c r="N197" s="98" t="s">
        <v>733</v>
      </c>
      <c r="O197" s="130" t="s">
        <v>869</v>
      </c>
      <c r="P197" s="99" t="s">
        <v>733</v>
      </c>
      <c r="Q197" s="97" t="s">
        <v>869</v>
      </c>
      <c r="R197" s="99" t="s">
        <v>733</v>
      </c>
      <c r="S197" s="97" t="s">
        <v>869</v>
      </c>
      <c r="T197" s="98" t="s">
        <v>733</v>
      </c>
      <c r="U197" s="98"/>
      <c r="V197" s="98" t="s">
        <v>827</v>
      </c>
      <c r="W197" s="98" t="s">
        <v>741</v>
      </c>
      <c r="X197" s="134">
        <v>1</v>
      </c>
    </row>
    <row r="198" spans="3:24">
      <c r="C198" s="94" t="s">
        <v>0</v>
      </c>
      <c r="D198" s="94" t="s">
        <v>0</v>
      </c>
      <c r="E198" s="123" t="s">
        <v>844</v>
      </c>
      <c r="F198" s="98">
        <v>2672573314</v>
      </c>
      <c r="G198" s="94" t="s">
        <v>137</v>
      </c>
      <c r="H198" s="95">
        <v>27502430</v>
      </c>
      <c r="I198" s="96" t="s">
        <v>730</v>
      </c>
      <c r="J198" s="97" t="s">
        <v>56</v>
      </c>
      <c r="K198" s="94"/>
      <c r="L198" s="94"/>
      <c r="M198" s="97" t="s">
        <v>868</v>
      </c>
      <c r="N198" s="98" t="s">
        <v>733</v>
      </c>
      <c r="O198" s="130" t="s">
        <v>869</v>
      </c>
      <c r="P198" s="99" t="s">
        <v>733</v>
      </c>
      <c r="Q198" s="97" t="s">
        <v>869</v>
      </c>
      <c r="R198" s="99" t="s">
        <v>733</v>
      </c>
      <c r="S198" s="97" t="s">
        <v>869</v>
      </c>
      <c r="T198" s="98" t="s">
        <v>733</v>
      </c>
      <c r="U198" s="98"/>
      <c r="V198" s="98" t="s">
        <v>827</v>
      </c>
      <c r="W198" s="98" t="s">
        <v>742</v>
      </c>
      <c r="X198" s="134">
        <v>1</v>
      </c>
    </row>
    <row r="199" spans="3:24" s="70" customFormat="1">
      <c r="C199" s="58" t="s">
        <v>0</v>
      </c>
      <c r="D199" s="58" t="s">
        <v>0</v>
      </c>
      <c r="E199" s="120" t="s">
        <v>844</v>
      </c>
      <c r="F199" s="68">
        <v>2672573314</v>
      </c>
      <c r="G199" s="58" t="s">
        <v>762</v>
      </c>
      <c r="H199" s="52">
        <v>18361073</v>
      </c>
      <c r="I199" s="60" t="s">
        <v>729</v>
      </c>
      <c r="J199" s="71" t="s">
        <v>763</v>
      </c>
      <c r="K199" s="70" t="s">
        <v>870</v>
      </c>
      <c r="M199" s="121" t="s">
        <v>868</v>
      </c>
      <c r="N199" s="68" t="s">
        <v>733</v>
      </c>
      <c r="O199" s="132" t="s">
        <v>293</v>
      </c>
      <c r="P199" s="68" t="s">
        <v>733</v>
      </c>
      <c r="Q199" s="71" t="s">
        <v>293</v>
      </c>
      <c r="R199" s="68" t="s">
        <v>733</v>
      </c>
      <c r="S199" s="71" t="s">
        <v>293</v>
      </c>
      <c r="T199" s="68" t="s">
        <v>733</v>
      </c>
      <c r="U199" s="68"/>
      <c r="V199" s="68" t="s">
        <v>827</v>
      </c>
      <c r="W199" s="68"/>
      <c r="X199" s="134">
        <v>1</v>
      </c>
    </row>
    <row r="200" spans="3:24" s="70" customFormat="1">
      <c r="C200" s="58" t="s">
        <v>0</v>
      </c>
      <c r="D200" s="58" t="s">
        <v>0</v>
      </c>
      <c r="E200" s="120" t="s">
        <v>844</v>
      </c>
      <c r="F200" s="68">
        <v>2672573314</v>
      </c>
      <c r="G200" s="58" t="s">
        <v>764</v>
      </c>
      <c r="H200" s="52">
        <v>21213718</v>
      </c>
      <c r="I200" s="60" t="s">
        <v>729</v>
      </c>
      <c r="J200" s="71" t="s">
        <v>763</v>
      </c>
      <c r="K200" s="70" t="s">
        <v>870</v>
      </c>
      <c r="M200" s="121" t="s">
        <v>868</v>
      </c>
      <c r="N200" s="68" t="s">
        <v>733</v>
      </c>
      <c r="O200" s="132" t="s">
        <v>293</v>
      </c>
      <c r="P200" s="68" t="s">
        <v>733</v>
      </c>
      <c r="Q200" s="71" t="s">
        <v>293</v>
      </c>
      <c r="R200" s="68" t="s">
        <v>733</v>
      </c>
      <c r="S200" s="71" t="s">
        <v>293</v>
      </c>
      <c r="T200" s="68" t="s">
        <v>733</v>
      </c>
      <c r="U200" s="68"/>
      <c r="V200" s="68" t="s">
        <v>827</v>
      </c>
      <c r="W200" s="68"/>
      <c r="X200" s="134">
        <v>1</v>
      </c>
    </row>
    <row r="201" spans="3:24" s="70" customFormat="1">
      <c r="C201" s="58" t="s">
        <v>0</v>
      </c>
      <c r="D201" s="58" t="s">
        <v>0</v>
      </c>
      <c r="E201" s="120" t="s">
        <v>844</v>
      </c>
      <c r="F201" s="68">
        <v>2672573314</v>
      </c>
      <c r="G201" s="58" t="s">
        <v>766</v>
      </c>
      <c r="H201" s="52">
        <v>22013739</v>
      </c>
      <c r="I201" s="60" t="s">
        <v>729</v>
      </c>
      <c r="J201" s="71" t="s">
        <v>763</v>
      </c>
      <c r="K201" s="70" t="s">
        <v>870</v>
      </c>
      <c r="M201" s="121" t="s">
        <v>868</v>
      </c>
      <c r="N201" s="68" t="s">
        <v>733</v>
      </c>
      <c r="O201" s="132" t="s">
        <v>293</v>
      </c>
      <c r="P201" s="68" t="s">
        <v>733</v>
      </c>
      <c r="Q201" s="71" t="s">
        <v>293</v>
      </c>
      <c r="R201" s="68" t="s">
        <v>733</v>
      </c>
      <c r="S201" s="71" t="s">
        <v>293</v>
      </c>
      <c r="T201" s="68" t="s">
        <v>733</v>
      </c>
      <c r="U201" s="68"/>
      <c r="V201" s="68" t="s">
        <v>827</v>
      </c>
      <c r="W201" s="68"/>
      <c r="X201" s="134">
        <v>1</v>
      </c>
    </row>
    <row r="202" spans="3:24" s="70" customFormat="1">
      <c r="C202" s="58" t="s">
        <v>0</v>
      </c>
      <c r="D202" s="58" t="s">
        <v>0</v>
      </c>
      <c r="E202" s="120" t="s">
        <v>844</v>
      </c>
      <c r="F202" s="68">
        <v>2672573314</v>
      </c>
      <c r="G202" s="58" t="s">
        <v>767</v>
      </c>
      <c r="H202" s="52">
        <v>25754316</v>
      </c>
      <c r="I202" s="60" t="s">
        <v>729</v>
      </c>
      <c r="J202" s="71" t="s">
        <v>763</v>
      </c>
      <c r="K202" s="70" t="s">
        <v>870</v>
      </c>
      <c r="M202" s="121" t="s">
        <v>868</v>
      </c>
      <c r="N202" s="68" t="s">
        <v>733</v>
      </c>
      <c r="O202" s="132" t="s">
        <v>293</v>
      </c>
      <c r="P202" s="68" t="s">
        <v>733</v>
      </c>
      <c r="Q202" s="71" t="s">
        <v>293</v>
      </c>
      <c r="R202" s="68" t="s">
        <v>733</v>
      </c>
      <c r="S202" s="71" t="s">
        <v>293</v>
      </c>
      <c r="T202" s="68" t="s">
        <v>733</v>
      </c>
      <c r="U202" s="68"/>
      <c r="V202" s="68" t="s">
        <v>827</v>
      </c>
      <c r="W202" s="68"/>
      <c r="X202" s="134">
        <v>1</v>
      </c>
    </row>
    <row r="203" spans="3:24" s="70" customFormat="1">
      <c r="C203" s="58" t="s">
        <v>0</v>
      </c>
      <c r="D203" s="58" t="s">
        <v>0</v>
      </c>
      <c r="E203" s="120" t="s">
        <v>844</v>
      </c>
      <c r="F203" s="68">
        <v>2672573314</v>
      </c>
      <c r="G203" s="58" t="s">
        <v>768</v>
      </c>
      <c r="H203" s="52">
        <v>26011786</v>
      </c>
      <c r="I203" s="60" t="s">
        <v>729</v>
      </c>
      <c r="J203" s="71" t="s">
        <v>763</v>
      </c>
      <c r="K203" s="70" t="s">
        <v>870</v>
      </c>
      <c r="M203" s="121" t="s">
        <v>868</v>
      </c>
      <c r="N203" s="68" t="s">
        <v>733</v>
      </c>
      <c r="O203" s="132" t="s">
        <v>293</v>
      </c>
      <c r="P203" s="68" t="s">
        <v>733</v>
      </c>
      <c r="Q203" s="71" t="s">
        <v>293</v>
      </c>
      <c r="R203" s="68" t="s">
        <v>733</v>
      </c>
      <c r="S203" s="71" t="s">
        <v>293</v>
      </c>
      <c r="T203" s="68" t="s">
        <v>733</v>
      </c>
      <c r="U203" s="68"/>
      <c r="V203" s="68" t="s">
        <v>827</v>
      </c>
      <c r="W203" s="68"/>
      <c r="X203" s="134">
        <v>1</v>
      </c>
    </row>
    <row r="204" spans="3:24" s="70" customFormat="1">
      <c r="C204" s="58" t="s">
        <v>0</v>
      </c>
      <c r="D204" s="58" t="s">
        <v>0</v>
      </c>
      <c r="E204" s="120" t="s">
        <v>844</v>
      </c>
      <c r="F204" s="68">
        <v>2672573314</v>
      </c>
      <c r="G204" s="58" t="s">
        <v>769</v>
      </c>
      <c r="H204" s="52">
        <v>26392093</v>
      </c>
      <c r="I204" s="60" t="s">
        <v>729</v>
      </c>
      <c r="J204" s="71" t="s">
        <v>763</v>
      </c>
      <c r="K204" s="70" t="s">
        <v>870</v>
      </c>
      <c r="M204" s="121" t="s">
        <v>868</v>
      </c>
      <c r="N204" s="68" t="s">
        <v>733</v>
      </c>
      <c r="O204" s="132" t="s">
        <v>293</v>
      </c>
      <c r="P204" s="68" t="s">
        <v>733</v>
      </c>
      <c r="Q204" s="71" t="s">
        <v>293</v>
      </c>
      <c r="R204" s="68" t="s">
        <v>733</v>
      </c>
      <c r="S204" s="71" t="s">
        <v>293</v>
      </c>
      <c r="T204" s="68" t="s">
        <v>733</v>
      </c>
      <c r="U204" s="68"/>
      <c r="V204" s="68" t="s">
        <v>827</v>
      </c>
      <c r="W204" s="68"/>
      <c r="X204" s="134">
        <v>1</v>
      </c>
    </row>
    <row r="205" spans="3:24" s="70" customFormat="1">
      <c r="C205" s="58" t="s">
        <v>0</v>
      </c>
      <c r="D205" s="58" t="s">
        <v>0</v>
      </c>
      <c r="E205" s="120" t="s">
        <v>844</v>
      </c>
      <c r="F205" s="68">
        <v>2672573314</v>
      </c>
      <c r="G205" s="58" t="s">
        <v>770</v>
      </c>
      <c r="H205" s="52">
        <v>30430837</v>
      </c>
      <c r="I205" s="60" t="s">
        <v>729</v>
      </c>
      <c r="J205" s="71" t="s">
        <v>763</v>
      </c>
      <c r="K205" s="70" t="s">
        <v>870</v>
      </c>
      <c r="M205" s="121" t="s">
        <v>868</v>
      </c>
      <c r="N205" s="68" t="s">
        <v>733</v>
      </c>
      <c r="O205" s="132" t="s">
        <v>293</v>
      </c>
      <c r="P205" s="68" t="s">
        <v>733</v>
      </c>
      <c r="Q205" s="71" t="s">
        <v>293</v>
      </c>
      <c r="R205" s="68" t="s">
        <v>733</v>
      </c>
      <c r="S205" s="71" t="s">
        <v>293</v>
      </c>
      <c r="T205" s="68" t="s">
        <v>733</v>
      </c>
      <c r="U205" s="68"/>
      <c r="V205" s="68" t="s">
        <v>827</v>
      </c>
      <c r="W205" s="68"/>
      <c r="X205" s="134">
        <v>1</v>
      </c>
    </row>
    <row r="206" spans="3:24" s="70" customFormat="1">
      <c r="C206" s="58" t="s">
        <v>0</v>
      </c>
      <c r="D206" s="58" t="s">
        <v>0</v>
      </c>
      <c r="E206" s="120" t="s">
        <v>844</v>
      </c>
      <c r="F206" s="68">
        <v>2672573314</v>
      </c>
      <c r="G206" s="58" t="s">
        <v>771</v>
      </c>
      <c r="H206" s="52">
        <v>30585620</v>
      </c>
      <c r="I206" s="60" t="s">
        <v>729</v>
      </c>
      <c r="J206" s="71" t="s">
        <v>763</v>
      </c>
      <c r="K206" s="70" t="s">
        <v>870</v>
      </c>
      <c r="M206" s="121" t="s">
        <v>868</v>
      </c>
      <c r="N206" s="68" t="s">
        <v>733</v>
      </c>
      <c r="O206" s="132" t="s">
        <v>293</v>
      </c>
      <c r="P206" s="68" t="s">
        <v>733</v>
      </c>
      <c r="Q206" s="71" t="s">
        <v>293</v>
      </c>
      <c r="R206" s="68" t="s">
        <v>733</v>
      </c>
      <c r="S206" s="71" t="s">
        <v>293</v>
      </c>
      <c r="T206" s="68" t="s">
        <v>733</v>
      </c>
      <c r="U206" s="68"/>
      <c r="V206" s="68" t="s">
        <v>827</v>
      </c>
      <c r="W206" s="68"/>
      <c r="X206" s="134">
        <v>1</v>
      </c>
    </row>
    <row r="207" spans="3:24" s="70" customFormat="1">
      <c r="C207" s="58" t="s">
        <v>0</v>
      </c>
      <c r="D207" s="58" t="s">
        <v>0</v>
      </c>
      <c r="E207" s="120" t="s">
        <v>844</v>
      </c>
      <c r="F207" s="68">
        <v>2672573314</v>
      </c>
      <c r="G207" s="58" t="s">
        <v>775</v>
      </c>
      <c r="H207" s="52">
        <v>14465104</v>
      </c>
      <c r="I207" s="60" t="s">
        <v>729</v>
      </c>
      <c r="J207" s="71" t="s">
        <v>55</v>
      </c>
      <c r="K207" s="70" t="s">
        <v>870</v>
      </c>
      <c r="M207" s="121" t="s">
        <v>868</v>
      </c>
      <c r="N207" s="68" t="s">
        <v>733</v>
      </c>
      <c r="O207" s="132" t="s">
        <v>293</v>
      </c>
      <c r="P207" s="68" t="s">
        <v>733</v>
      </c>
      <c r="Q207" s="71" t="s">
        <v>293</v>
      </c>
      <c r="R207" s="68" t="s">
        <v>733</v>
      </c>
      <c r="S207" s="71" t="s">
        <v>293</v>
      </c>
      <c r="T207" s="68" t="s">
        <v>733</v>
      </c>
      <c r="U207" s="68"/>
      <c r="V207" s="68" t="s">
        <v>827</v>
      </c>
      <c r="W207" s="68"/>
      <c r="X207" s="134">
        <v>1</v>
      </c>
    </row>
    <row r="208" spans="3:24" s="70" customFormat="1">
      <c r="C208" s="58" t="s">
        <v>0</v>
      </c>
      <c r="D208" s="58" t="s">
        <v>0</v>
      </c>
      <c r="E208" s="120" t="s">
        <v>844</v>
      </c>
      <c r="F208" s="68">
        <v>2672573314</v>
      </c>
      <c r="G208" s="58" t="s">
        <v>778</v>
      </c>
      <c r="H208" s="52">
        <v>16446854</v>
      </c>
      <c r="I208" s="60" t="s">
        <v>729</v>
      </c>
      <c r="J208" s="71" t="s">
        <v>55</v>
      </c>
      <c r="K208" s="70" t="s">
        <v>870</v>
      </c>
      <c r="M208" s="121" t="s">
        <v>868</v>
      </c>
      <c r="N208" s="68" t="s">
        <v>733</v>
      </c>
      <c r="O208" s="132" t="s">
        <v>293</v>
      </c>
      <c r="P208" s="68" t="s">
        <v>733</v>
      </c>
      <c r="Q208" s="71" t="s">
        <v>293</v>
      </c>
      <c r="R208" s="68" t="s">
        <v>733</v>
      </c>
      <c r="S208" s="71" t="s">
        <v>293</v>
      </c>
      <c r="T208" s="68" t="s">
        <v>733</v>
      </c>
      <c r="U208" s="68"/>
      <c r="V208" s="68" t="s">
        <v>827</v>
      </c>
      <c r="W208" s="68"/>
      <c r="X208" s="134">
        <v>1</v>
      </c>
    </row>
    <row r="209" spans="3:24" s="70" customFormat="1">
      <c r="C209" s="94" t="s">
        <v>0</v>
      </c>
      <c r="D209" s="94" t="s">
        <v>0</v>
      </c>
      <c r="E209" s="123" t="s">
        <v>844</v>
      </c>
      <c r="F209" s="98">
        <v>2672573314</v>
      </c>
      <c r="G209" s="94" t="s">
        <v>779</v>
      </c>
      <c r="H209" s="95">
        <v>16581980</v>
      </c>
      <c r="I209" s="96" t="s">
        <v>729</v>
      </c>
      <c r="J209" s="97" t="s">
        <v>55</v>
      </c>
      <c r="K209" s="94"/>
      <c r="L209" s="94"/>
      <c r="M209" s="97" t="s">
        <v>868</v>
      </c>
      <c r="N209" s="98" t="s">
        <v>733</v>
      </c>
      <c r="O209" s="130" t="s">
        <v>869</v>
      </c>
      <c r="P209" s="99" t="s">
        <v>733</v>
      </c>
      <c r="Q209" s="97" t="s">
        <v>869</v>
      </c>
      <c r="R209" s="99" t="s">
        <v>733</v>
      </c>
      <c r="S209" s="97" t="s">
        <v>869</v>
      </c>
      <c r="T209" s="98" t="s">
        <v>733</v>
      </c>
      <c r="U209" s="98"/>
      <c r="V209" s="98" t="s">
        <v>827</v>
      </c>
      <c r="W209" s="98" t="s">
        <v>822</v>
      </c>
      <c r="X209" s="134">
        <v>1</v>
      </c>
    </row>
    <row r="210" spans="3:24" s="70" customFormat="1">
      <c r="C210" s="58" t="s">
        <v>0</v>
      </c>
      <c r="D210" s="58" t="s">
        <v>0</v>
      </c>
      <c r="E210" s="120" t="s">
        <v>844</v>
      </c>
      <c r="F210" s="68">
        <v>2672573314</v>
      </c>
      <c r="G210" s="58" t="s">
        <v>780</v>
      </c>
      <c r="H210" s="52">
        <v>16775155</v>
      </c>
      <c r="I210" s="60" t="s">
        <v>729</v>
      </c>
      <c r="J210" s="71" t="s">
        <v>55</v>
      </c>
      <c r="K210" s="70" t="s">
        <v>870</v>
      </c>
      <c r="M210" s="121" t="s">
        <v>868</v>
      </c>
      <c r="N210" s="68" t="s">
        <v>733</v>
      </c>
      <c r="O210" s="132" t="s">
        <v>293</v>
      </c>
      <c r="P210" s="68" t="s">
        <v>733</v>
      </c>
      <c r="Q210" s="71" t="s">
        <v>293</v>
      </c>
      <c r="R210" s="68" t="s">
        <v>733</v>
      </c>
      <c r="S210" s="71" t="s">
        <v>293</v>
      </c>
      <c r="T210" s="68" t="s">
        <v>733</v>
      </c>
      <c r="U210" s="68"/>
      <c r="V210" s="68" t="s">
        <v>827</v>
      </c>
      <c r="W210" s="68"/>
      <c r="X210" s="134">
        <v>1</v>
      </c>
    </row>
    <row r="211" spans="3:24" s="70" customFormat="1">
      <c r="C211" s="58" t="s">
        <v>0</v>
      </c>
      <c r="D211" s="58" t="s">
        <v>0</v>
      </c>
      <c r="E211" s="120" t="s">
        <v>844</v>
      </c>
      <c r="F211" s="68">
        <v>2672573314</v>
      </c>
      <c r="G211" s="58" t="s">
        <v>781</v>
      </c>
      <c r="H211" s="52">
        <v>17329551</v>
      </c>
      <c r="I211" s="60" t="s">
        <v>729</v>
      </c>
      <c r="J211" s="71" t="s">
        <v>55</v>
      </c>
      <c r="K211" s="70" t="s">
        <v>870</v>
      </c>
      <c r="M211" s="121" t="s">
        <v>868</v>
      </c>
      <c r="N211" s="68" t="s">
        <v>733</v>
      </c>
      <c r="O211" s="132" t="s">
        <v>293</v>
      </c>
      <c r="P211" s="68" t="s">
        <v>733</v>
      </c>
      <c r="Q211" s="71" t="s">
        <v>293</v>
      </c>
      <c r="R211" s="68" t="s">
        <v>733</v>
      </c>
      <c r="S211" s="71" t="s">
        <v>293</v>
      </c>
      <c r="T211" s="68" t="s">
        <v>733</v>
      </c>
      <c r="U211" s="68"/>
      <c r="V211" s="68" t="s">
        <v>827</v>
      </c>
      <c r="W211" s="68"/>
      <c r="X211" s="134">
        <v>1</v>
      </c>
    </row>
    <row r="212" spans="3:24" s="70" customFormat="1">
      <c r="C212" s="58" t="s">
        <v>0</v>
      </c>
      <c r="D212" s="58" t="s">
        <v>0</v>
      </c>
      <c r="E212" s="120" t="s">
        <v>844</v>
      </c>
      <c r="F212" s="68">
        <v>2672573314</v>
      </c>
      <c r="G212" s="58" t="s">
        <v>786</v>
      </c>
      <c r="H212" s="52">
        <v>19991100</v>
      </c>
      <c r="I212" s="60" t="s">
        <v>729</v>
      </c>
      <c r="J212" s="71" t="s">
        <v>55</v>
      </c>
      <c r="K212" s="70" t="s">
        <v>870</v>
      </c>
      <c r="M212" s="121" t="s">
        <v>868</v>
      </c>
      <c r="N212" s="68" t="s">
        <v>733</v>
      </c>
      <c r="O212" s="132" t="s">
        <v>293</v>
      </c>
      <c r="P212" s="68" t="s">
        <v>733</v>
      </c>
      <c r="Q212" s="71" t="s">
        <v>293</v>
      </c>
      <c r="R212" s="68" t="s">
        <v>733</v>
      </c>
      <c r="S212" s="71" t="s">
        <v>293</v>
      </c>
      <c r="T212" s="68" t="s">
        <v>733</v>
      </c>
      <c r="U212" s="68"/>
      <c r="V212" s="68" t="s">
        <v>827</v>
      </c>
      <c r="W212" s="68"/>
      <c r="X212" s="134">
        <v>1</v>
      </c>
    </row>
    <row r="213" spans="3:24" s="70" customFormat="1">
      <c r="C213" s="58" t="s">
        <v>0</v>
      </c>
      <c r="D213" s="58" t="s">
        <v>0</v>
      </c>
      <c r="E213" s="120" t="s">
        <v>844</v>
      </c>
      <c r="F213" s="68">
        <v>2672573314</v>
      </c>
      <c r="G213" s="58" t="s">
        <v>793</v>
      </c>
      <c r="H213" s="59">
        <v>24108282</v>
      </c>
      <c r="I213" s="60" t="s">
        <v>729</v>
      </c>
      <c r="J213" s="71" t="s">
        <v>55</v>
      </c>
      <c r="K213" s="70" t="s">
        <v>870</v>
      </c>
      <c r="M213" s="121" t="s">
        <v>868</v>
      </c>
      <c r="N213" s="68" t="s">
        <v>733</v>
      </c>
      <c r="O213" s="132" t="s">
        <v>293</v>
      </c>
      <c r="P213" s="68" t="s">
        <v>733</v>
      </c>
      <c r="Q213" s="71" t="s">
        <v>293</v>
      </c>
      <c r="R213" s="68" t="s">
        <v>733</v>
      </c>
      <c r="S213" s="71" t="s">
        <v>293</v>
      </c>
      <c r="T213" s="68" t="s">
        <v>733</v>
      </c>
      <c r="U213" s="68"/>
      <c r="V213" s="68" t="s">
        <v>827</v>
      </c>
      <c r="W213" s="68"/>
      <c r="X213" s="134">
        <v>1</v>
      </c>
    </row>
    <row r="214" spans="3:24" s="70" customFormat="1">
      <c r="C214" s="58" t="s">
        <v>0</v>
      </c>
      <c r="D214" s="58" t="s">
        <v>0</v>
      </c>
      <c r="E214" s="120" t="s">
        <v>844</v>
      </c>
      <c r="F214" s="68">
        <v>2672573314</v>
      </c>
      <c r="G214" s="58" t="s">
        <v>794</v>
      </c>
      <c r="H214" s="59">
        <v>24495294</v>
      </c>
      <c r="I214" s="60" t="s">
        <v>729</v>
      </c>
      <c r="J214" s="71" t="s">
        <v>55</v>
      </c>
      <c r="K214" s="70" t="s">
        <v>870</v>
      </c>
      <c r="M214" s="121" t="s">
        <v>868</v>
      </c>
      <c r="N214" s="68" t="s">
        <v>733</v>
      </c>
      <c r="O214" s="132" t="s">
        <v>293</v>
      </c>
      <c r="P214" s="68" t="s">
        <v>733</v>
      </c>
      <c r="Q214" s="71" t="s">
        <v>293</v>
      </c>
      <c r="R214" s="68" t="s">
        <v>733</v>
      </c>
      <c r="S214" s="71" t="s">
        <v>293</v>
      </c>
      <c r="T214" s="68" t="s">
        <v>733</v>
      </c>
      <c r="U214" s="68"/>
      <c r="V214" s="68" t="s">
        <v>827</v>
      </c>
      <c r="W214" s="68"/>
      <c r="X214" s="134">
        <v>1</v>
      </c>
    </row>
    <row r="215" spans="3:24" s="70" customFormat="1">
      <c r="C215" s="58" t="s">
        <v>0</v>
      </c>
      <c r="D215" s="58" t="s">
        <v>0</v>
      </c>
      <c r="E215" s="120" t="s">
        <v>844</v>
      </c>
      <c r="F215" s="68">
        <v>2672573314</v>
      </c>
      <c r="G215" s="58" t="s">
        <v>799</v>
      </c>
      <c r="H215" s="59">
        <v>27064119</v>
      </c>
      <c r="I215" s="60" t="s">
        <v>729</v>
      </c>
      <c r="J215" s="71" t="s">
        <v>55</v>
      </c>
      <c r="K215" s="70" t="s">
        <v>870</v>
      </c>
      <c r="M215" s="121" t="s">
        <v>868</v>
      </c>
      <c r="N215" s="68" t="s">
        <v>733</v>
      </c>
      <c r="O215" s="132" t="s">
        <v>293</v>
      </c>
      <c r="P215" s="68" t="s">
        <v>733</v>
      </c>
      <c r="Q215" s="71" t="s">
        <v>293</v>
      </c>
      <c r="R215" s="68" t="s">
        <v>733</v>
      </c>
      <c r="S215" s="71" t="s">
        <v>293</v>
      </c>
      <c r="T215" s="68" t="s">
        <v>733</v>
      </c>
      <c r="U215" s="68"/>
      <c r="V215" s="68" t="s">
        <v>827</v>
      </c>
      <c r="W215" s="68"/>
      <c r="X215" s="134">
        <v>1</v>
      </c>
    </row>
    <row r="216" spans="3:24" s="70" customFormat="1">
      <c r="C216" s="58" t="s">
        <v>0</v>
      </c>
      <c r="D216" s="58" t="s">
        <v>0</v>
      </c>
      <c r="E216" s="120" t="s">
        <v>844</v>
      </c>
      <c r="F216" s="68">
        <v>2672573314</v>
      </c>
      <c r="G216" s="58" t="s">
        <v>801</v>
      </c>
      <c r="H216" s="59">
        <v>28035923</v>
      </c>
      <c r="I216" s="60" t="s">
        <v>729</v>
      </c>
      <c r="J216" s="71" t="s">
        <v>55</v>
      </c>
      <c r="K216" s="70" t="s">
        <v>870</v>
      </c>
      <c r="M216" s="121" t="s">
        <v>868</v>
      </c>
      <c r="N216" s="68" t="s">
        <v>733</v>
      </c>
      <c r="O216" s="132" t="s">
        <v>293</v>
      </c>
      <c r="P216" s="68" t="s">
        <v>733</v>
      </c>
      <c r="Q216" s="71" t="s">
        <v>293</v>
      </c>
      <c r="R216" s="68" t="s">
        <v>733</v>
      </c>
      <c r="S216" s="71" t="s">
        <v>293</v>
      </c>
      <c r="T216" s="68" t="s">
        <v>733</v>
      </c>
      <c r="U216" s="68"/>
      <c r="V216" s="68" t="s">
        <v>827</v>
      </c>
      <c r="W216" s="68"/>
      <c r="X216" s="134">
        <v>1</v>
      </c>
    </row>
    <row r="217" spans="3:24" s="70" customFormat="1">
      <c r="C217" s="58" t="s">
        <v>0</v>
      </c>
      <c r="D217" s="58" t="s">
        <v>0</v>
      </c>
      <c r="E217" s="120" t="s">
        <v>844</v>
      </c>
      <c r="F217" s="68">
        <v>2672573314</v>
      </c>
      <c r="G217" s="58" t="s">
        <v>802</v>
      </c>
      <c r="H217" s="59">
        <v>28465754</v>
      </c>
      <c r="I217" s="60" t="s">
        <v>729</v>
      </c>
      <c r="J217" s="71" t="s">
        <v>55</v>
      </c>
      <c r="K217" s="70" t="s">
        <v>870</v>
      </c>
      <c r="M217" s="121" t="s">
        <v>868</v>
      </c>
      <c r="N217" s="68" t="s">
        <v>733</v>
      </c>
      <c r="O217" s="132" t="s">
        <v>293</v>
      </c>
      <c r="P217" s="68" t="s">
        <v>733</v>
      </c>
      <c r="Q217" s="71" t="s">
        <v>293</v>
      </c>
      <c r="R217" s="68" t="s">
        <v>733</v>
      </c>
      <c r="S217" s="71" t="s">
        <v>293</v>
      </c>
      <c r="T217" s="68" t="s">
        <v>733</v>
      </c>
      <c r="U217" s="68"/>
      <c r="V217" s="68" t="s">
        <v>827</v>
      </c>
      <c r="W217" s="68"/>
      <c r="X217" s="134">
        <v>1</v>
      </c>
    </row>
    <row r="218" spans="3:24" s="70" customFormat="1">
      <c r="C218" s="58" t="s">
        <v>0</v>
      </c>
      <c r="D218" s="58" t="s">
        <v>0</v>
      </c>
      <c r="E218" s="120" t="s">
        <v>844</v>
      </c>
      <c r="F218" s="68">
        <v>2672573314</v>
      </c>
      <c r="G218" s="58" t="s">
        <v>804</v>
      </c>
      <c r="H218" s="59">
        <v>28714979</v>
      </c>
      <c r="I218" s="60" t="s">
        <v>729</v>
      </c>
      <c r="J218" s="71" t="s">
        <v>55</v>
      </c>
      <c r="K218" s="70" t="s">
        <v>870</v>
      </c>
      <c r="M218" s="121" t="s">
        <v>868</v>
      </c>
      <c r="N218" s="68" t="s">
        <v>733</v>
      </c>
      <c r="O218" s="132" t="s">
        <v>293</v>
      </c>
      <c r="P218" s="68" t="s">
        <v>733</v>
      </c>
      <c r="Q218" s="71" t="s">
        <v>293</v>
      </c>
      <c r="R218" s="68" t="s">
        <v>733</v>
      </c>
      <c r="S218" s="71" t="s">
        <v>293</v>
      </c>
      <c r="T218" s="68" t="s">
        <v>733</v>
      </c>
      <c r="U218" s="68"/>
      <c r="V218" s="68" t="s">
        <v>827</v>
      </c>
      <c r="W218" s="68"/>
      <c r="X218" s="134">
        <v>1</v>
      </c>
    </row>
    <row r="219" spans="3:24" s="70" customFormat="1">
      <c r="C219" s="58" t="s">
        <v>0</v>
      </c>
      <c r="D219" s="58" t="s">
        <v>0</v>
      </c>
      <c r="E219" s="120" t="s">
        <v>844</v>
      </c>
      <c r="F219" s="68">
        <v>2672573314</v>
      </c>
      <c r="G219" s="58" t="s">
        <v>805</v>
      </c>
      <c r="H219" s="59">
        <v>29769765</v>
      </c>
      <c r="I219" s="60" t="s">
        <v>729</v>
      </c>
      <c r="J219" s="71" t="s">
        <v>55</v>
      </c>
      <c r="K219" s="70" t="s">
        <v>870</v>
      </c>
      <c r="M219" s="121" t="s">
        <v>868</v>
      </c>
      <c r="N219" s="68" t="s">
        <v>733</v>
      </c>
      <c r="O219" s="132" t="s">
        <v>293</v>
      </c>
      <c r="P219" s="68" t="s">
        <v>733</v>
      </c>
      <c r="Q219" s="71" t="s">
        <v>293</v>
      </c>
      <c r="R219" s="68" t="s">
        <v>733</v>
      </c>
      <c r="S219" s="71" t="s">
        <v>293</v>
      </c>
      <c r="T219" s="68" t="s">
        <v>733</v>
      </c>
      <c r="U219" s="68"/>
      <c r="V219" s="68" t="s">
        <v>827</v>
      </c>
      <c r="W219" s="68"/>
      <c r="X219" s="134">
        <v>1</v>
      </c>
    </row>
    <row r="220" spans="3:24" s="70" customFormat="1">
      <c r="C220" s="58" t="s">
        <v>0</v>
      </c>
      <c r="D220" s="58" t="s">
        <v>0</v>
      </c>
      <c r="E220" s="120" t="s">
        <v>844</v>
      </c>
      <c r="F220" s="68">
        <v>2672573314</v>
      </c>
      <c r="G220" s="58" t="s">
        <v>806</v>
      </c>
      <c r="H220" s="59">
        <v>29821051</v>
      </c>
      <c r="I220" s="60" t="s">
        <v>729</v>
      </c>
      <c r="J220" s="71" t="s">
        <v>55</v>
      </c>
      <c r="K220" s="70" t="s">
        <v>870</v>
      </c>
      <c r="M220" s="121" t="s">
        <v>868</v>
      </c>
      <c r="N220" s="68" t="s">
        <v>733</v>
      </c>
      <c r="O220" s="132" t="s">
        <v>293</v>
      </c>
      <c r="P220" s="68" t="s">
        <v>733</v>
      </c>
      <c r="Q220" s="71" t="s">
        <v>293</v>
      </c>
      <c r="R220" s="68" t="s">
        <v>733</v>
      </c>
      <c r="S220" s="71" t="s">
        <v>293</v>
      </c>
      <c r="T220" s="68" t="s">
        <v>733</v>
      </c>
      <c r="U220" s="68"/>
      <c r="V220" s="68" t="s">
        <v>827</v>
      </c>
      <c r="W220" s="68"/>
      <c r="X220" s="134">
        <v>1</v>
      </c>
    </row>
    <row r="221" spans="3:24" s="70" customFormat="1">
      <c r="C221" s="94" t="s">
        <v>0</v>
      </c>
      <c r="D221" s="94" t="s">
        <v>0</v>
      </c>
      <c r="E221" s="123" t="s">
        <v>844</v>
      </c>
      <c r="F221" s="98">
        <v>2672573314</v>
      </c>
      <c r="G221" s="94" t="s">
        <v>808</v>
      </c>
      <c r="H221" s="95">
        <v>30148790</v>
      </c>
      <c r="I221" s="96" t="s">
        <v>729</v>
      </c>
      <c r="J221" s="97" t="s">
        <v>55</v>
      </c>
      <c r="K221" s="94"/>
      <c r="L221" s="94"/>
      <c r="M221" s="97" t="s">
        <v>868</v>
      </c>
      <c r="N221" s="98" t="s">
        <v>733</v>
      </c>
      <c r="O221" s="130" t="s">
        <v>869</v>
      </c>
      <c r="P221" s="99" t="s">
        <v>733</v>
      </c>
      <c r="Q221" s="97" t="s">
        <v>869</v>
      </c>
      <c r="R221" s="99" t="s">
        <v>733</v>
      </c>
      <c r="S221" s="97" t="s">
        <v>869</v>
      </c>
      <c r="T221" s="98" t="s">
        <v>733</v>
      </c>
      <c r="U221" s="98"/>
      <c r="V221" s="98" t="s">
        <v>827</v>
      </c>
      <c r="W221" s="98" t="s">
        <v>865</v>
      </c>
      <c r="X221" s="134">
        <v>1</v>
      </c>
    </row>
    <row r="222" spans="3:24" s="70" customFormat="1">
      <c r="C222" s="148" t="s">
        <v>0</v>
      </c>
      <c r="D222" s="148" t="s">
        <v>0</v>
      </c>
      <c r="E222" s="149" t="s">
        <v>844</v>
      </c>
      <c r="F222" s="150">
        <v>2672573314</v>
      </c>
      <c r="G222" s="148" t="s">
        <v>810</v>
      </c>
      <c r="H222" s="151">
        <v>30603796</v>
      </c>
      <c r="I222" s="155" t="s">
        <v>729</v>
      </c>
      <c r="J222" s="152" t="s">
        <v>55</v>
      </c>
      <c r="K222" s="148" t="s">
        <v>870</v>
      </c>
      <c r="L222" s="148"/>
      <c r="M222" s="152" t="s">
        <v>868</v>
      </c>
      <c r="N222" s="150" t="s">
        <v>733</v>
      </c>
      <c r="O222" s="153" t="s">
        <v>293</v>
      </c>
      <c r="P222" s="150" t="s">
        <v>733</v>
      </c>
      <c r="Q222" s="152" t="s">
        <v>293</v>
      </c>
      <c r="R222" s="150" t="s">
        <v>733</v>
      </c>
      <c r="S222" s="152" t="s">
        <v>293</v>
      </c>
      <c r="T222" s="150" t="s">
        <v>733</v>
      </c>
      <c r="U222" s="150"/>
      <c r="V222" s="150" t="s">
        <v>827</v>
      </c>
      <c r="W222" s="150" t="s">
        <v>918</v>
      </c>
      <c r="X222" s="150">
        <v>1</v>
      </c>
    </row>
    <row r="223" spans="3:24" s="70" customFormat="1">
      <c r="C223" s="58" t="s">
        <v>0</v>
      </c>
      <c r="D223" s="58" t="s">
        <v>0</v>
      </c>
      <c r="E223" s="120" t="s">
        <v>844</v>
      </c>
      <c r="F223" s="68">
        <v>2672573314</v>
      </c>
      <c r="G223" s="58" t="s">
        <v>811</v>
      </c>
      <c r="H223" s="59">
        <v>32401451</v>
      </c>
      <c r="I223" s="60" t="s">
        <v>729</v>
      </c>
      <c r="J223" s="71" t="s">
        <v>55</v>
      </c>
      <c r="K223" s="70" t="s">
        <v>870</v>
      </c>
      <c r="M223" s="121" t="s">
        <v>868</v>
      </c>
      <c r="N223" s="68" t="s">
        <v>733</v>
      </c>
      <c r="O223" s="132" t="s">
        <v>293</v>
      </c>
      <c r="P223" s="68" t="s">
        <v>733</v>
      </c>
      <c r="Q223" s="71" t="s">
        <v>293</v>
      </c>
      <c r="R223" s="68" t="s">
        <v>733</v>
      </c>
      <c r="S223" s="71" t="s">
        <v>293</v>
      </c>
      <c r="T223" s="68" t="s">
        <v>733</v>
      </c>
      <c r="U223" s="68"/>
      <c r="V223" s="68" t="s">
        <v>827</v>
      </c>
      <c r="W223" s="68"/>
      <c r="X223" s="134">
        <v>1</v>
      </c>
    </row>
    <row r="224" spans="3:24" s="70" customFormat="1">
      <c r="C224" s="58" t="s">
        <v>0</v>
      </c>
      <c r="D224" s="58" t="s">
        <v>0</v>
      </c>
      <c r="E224" s="120" t="s">
        <v>844</v>
      </c>
      <c r="F224" s="68">
        <v>2672573314</v>
      </c>
      <c r="G224" s="58" t="s">
        <v>812</v>
      </c>
      <c r="H224" s="59">
        <v>11360425</v>
      </c>
      <c r="I224" s="60" t="s">
        <v>725</v>
      </c>
      <c r="J224" s="70" t="s">
        <v>727</v>
      </c>
      <c r="K224" s="70" t="s">
        <v>870</v>
      </c>
      <c r="M224" s="121" t="s">
        <v>868</v>
      </c>
      <c r="N224" s="68" t="s">
        <v>733</v>
      </c>
      <c r="O224" s="132" t="s">
        <v>293</v>
      </c>
      <c r="P224" s="68" t="s">
        <v>733</v>
      </c>
      <c r="Q224" s="71" t="s">
        <v>293</v>
      </c>
      <c r="R224" s="68" t="s">
        <v>733</v>
      </c>
      <c r="S224" s="71" t="s">
        <v>293</v>
      </c>
      <c r="T224" s="68" t="s">
        <v>733</v>
      </c>
      <c r="U224" s="68"/>
      <c r="V224" s="68" t="s">
        <v>827</v>
      </c>
      <c r="W224" s="68"/>
      <c r="X224" s="134">
        <v>1</v>
      </c>
    </row>
    <row r="225" spans="2:24">
      <c r="C225" s="58" t="s">
        <v>531</v>
      </c>
      <c r="D225" s="58" t="s">
        <v>531</v>
      </c>
      <c r="E225" s="120" t="s">
        <v>844</v>
      </c>
      <c r="F225" s="68">
        <v>2672573314</v>
      </c>
      <c r="G225" s="58" t="s">
        <v>842</v>
      </c>
      <c r="H225" s="59">
        <v>19920612</v>
      </c>
      <c r="I225" s="60" t="s">
        <v>706</v>
      </c>
      <c r="J225" s="70" t="s">
        <v>53</v>
      </c>
      <c r="K225" s="70" t="s">
        <v>870</v>
      </c>
      <c r="L225" s="70"/>
      <c r="M225" s="121" t="s">
        <v>868</v>
      </c>
      <c r="N225" s="68" t="s">
        <v>733</v>
      </c>
      <c r="O225" s="132" t="s">
        <v>293</v>
      </c>
      <c r="P225" s="68" t="s">
        <v>733</v>
      </c>
      <c r="Q225" s="71" t="s">
        <v>293</v>
      </c>
      <c r="R225" s="68" t="s">
        <v>733</v>
      </c>
      <c r="S225" s="71" t="s">
        <v>293</v>
      </c>
      <c r="T225" s="68" t="s">
        <v>733</v>
      </c>
      <c r="U225" s="68"/>
      <c r="V225" s="68" t="s">
        <v>827</v>
      </c>
      <c r="W225" s="68"/>
      <c r="X225" s="134">
        <v>1</v>
      </c>
    </row>
    <row r="226" spans="2:24">
      <c r="C226" s="58" t="s">
        <v>531</v>
      </c>
      <c r="D226" s="58" t="s">
        <v>531</v>
      </c>
      <c r="E226" s="120" t="s">
        <v>844</v>
      </c>
      <c r="F226" s="68">
        <v>2672573314</v>
      </c>
      <c r="G226" s="58" t="s">
        <v>505</v>
      </c>
      <c r="H226" s="59">
        <v>11197770</v>
      </c>
      <c r="I226" s="60" t="s">
        <v>410</v>
      </c>
      <c r="J226" s="71" t="s">
        <v>56</v>
      </c>
      <c r="K226" s="70" t="s">
        <v>870</v>
      </c>
      <c r="L226" s="70"/>
      <c r="M226" s="121" t="s">
        <v>292</v>
      </c>
      <c r="N226" s="128">
        <v>45748</v>
      </c>
      <c r="O226" s="132" t="s">
        <v>292</v>
      </c>
      <c r="P226" s="73">
        <v>45962</v>
      </c>
      <c r="Q226" s="71" t="s">
        <v>293</v>
      </c>
      <c r="R226" s="68" t="s">
        <v>733</v>
      </c>
      <c r="S226" s="71" t="s">
        <v>293</v>
      </c>
      <c r="T226" s="68" t="s">
        <v>733</v>
      </c>
      <c r="U226" s="68"/>
      <c r="V226" s="68" t="s">
        <v>827</v>
      </c>
      <c r="W226" s="68"/>
      <c r="X226" s="134">
        <v>1</v>
      </c>
    </row>
    <row r="227" spans="2:24">
      <c r="C227" s="58" t="s">
        <v>531</v>
      </c>
      <c r="D227" s="58" t="s">
        <v>531</v>
      </c>
      <c r="E227" s="120" t="s">
        <v>844</v>
      </c>
      <c r="F227" s="68">
        <v>2672573314</v>
      </c>
      <c r="G227" s="58" t="s">
        <v>506</v>
      </c>
      <c r="H227" s="59">
        <v>17899815</v>
      </c>
      <c r="I227" s="70" t="s">
        <v>730</v>
      </c>
      <c r="J227" s="71" t="s">
        <v>56</v>
      </c>
      <c r="K227" s="70" t="s">
        <v>870</v>
      </c>
      <c r="L227" s="70"/>
      <c r="M227" s="121" t="s">
        <v>292</v>
      </c>
      <c r="N227" s="128">
        <v>45748</v>
      </c>
      <c r="O227" s="132" t="s">
        <v>292</v>
      </c>
      <c r="P227" s="73">
        <v>45962</v>
      </c>
      <c r="Q227" s="71" t="s">
        <v>293</v>
      </c>
      <c r="R227" s="68" t="s">
        <v>733</v>
      </c>
      <c r="S227" s="71" t="s">
        <v>293</v>
      </c>
      <c r="T227" s="68" t="s">
        <v>733</v>
      </c>
      <c r="U227" s="68"/>
      <c r="V227" s="68" t="s">
        <v>827</v>
      </c>
      <c r="W227" s="68"/>
      <c r="X227" s="134">
        <v>1</v>
      </c>
    </row>
    <row r="228" spans="2:24">
      <c r="C228" s="58" t="s">
        <v>531</v>
      </c>
      <c r="D228" s="58" t="s">
        <v>531</v>
      </c>
      <c r="E228" s="120" t="s">
        <v>844</v>
      </c>
      <c r="F228" s="68">
        <v>2672573314</v>
      </c>
      <c r="G228" s="58" t="s">
        <v>507</v>
      </c>
      <c r="H228" s="59">
        <v>27393998</v>
      </c>
      <c r="I228" s="60" t="s">
        <v>725</v>
      </c>
      <c r="J228" s="71" t="s">
        <v>56</v>
      </c>
      <c r="K228" s="70" t="s">
        <v>870</v>
      </c>
      <c r="L228" s="70"/>
      <c r="M228" s="121" t="s">
        <v>292</v>
      </c>
      <c r="N228" s="128">
        <v>45748</v>
      </c>
      <c r="O228" s="132" t="s">
        <v>292</v>
      </c>
      <c r="P228" s="73">
        <v>45962</v>
      </c>
      <c r="Q228" s="71" t="s">
        <v>293</v>
      </c>
      <c r="R228" s="68" t="s">
        <v>733</v>
      </c>
      <c r="S228" s="71" t="s">
        <v>293</v>
      </c>
      <c r="T228" s="68" t="s">
        <v>733</v>
      </c>
      <c r="U228" s="68"/>
      <c r="V228" s="68" t="s">
        <v>827</v>
      </c>
      <c r="W228" s="68"/>
      <c r="X228" s="134">
        <v>1</v>
      </c>
    </row>
    <row r="229" spans="2:24">
      <c r="C229" s="58" t="s">
        <v>531</v>
      </c>
      <c r="D229" s="58" t="s">
        <v>531</v>
      </c>
      <c r="E229" s="120" t="s">
        <v>844</v>
      </c>
      <c r="F229" s="68">
        <v>2672573314</v>
      </c>
      <c r="G229" s="58" t="s">
        <v>502</v>
      </c>
      <c r="H229" s="59">
        <v>17811795</v>
      </c>
      <c r="I229" s="70" t="s">
        <v>730</v>
      </c>
      <c r="J229" s="71" t="s">
        <v>53</v>
      </c>
      <c r="K229" s="70" t="s">
        <v>870</v>
      </c>
      <c r="L229" s="70"/>
      <c r="M229" s="121" t="s">
        <v>868</v>
      </c>
      <c r="N229" s="68" t="s">
        <v>733</v>
      </c>
      <c r="O229" s="132" t="s">
        <v>293</v>
      </c>
      <c r="P229" s="68" t="s">
        <v>733</v>
      </c>
      <c r="Q229" s="71" t="s">
        <v>293</v>
      </c>
      <c r="R229" s="68" t="s">
        <v>733</v>
      </c>
      <c r="S229" s="71" t="s">
        <v>293</v>
      </c>
      <c r="T229" s="68" t="s">
        <v>733</v>
      </c>
      <c r="U229" s="68"/>
      <c r="V229" s="68" t="s">
        <v>827</v>
      </c>
      <c r="W229" s="68"/>
      <c r="X229" s="134">
        <v>1</v>
      </c>
    </row>
    <row r="230" spans="2:24">
      <c r="C230" s="58" t="s">
        <v>531</v>
      </c>
      <c r="D230" s="58" t="s">
        <v>531</v>
      </c>
      <c r="E230" s="120" t="s">
        <v>844</v>
      </c>
      <c r="F230" s="68">
        <v>2672573314</v>
      </c>
      <c r="G230" s="58" t="s">
        <v>503</v>
      </c>
      <c r="H230" s="59">
        <v>14379748</v>
      </c>
      <c r="I230" s="60" t="s">
        <v>725</v>
      </c>
      <c r="J230" s="71" t="s">
        <v>53</v>
      </c>
      <c r="K230" s="70" t="s">
        <v>870</v>
      </c>
      <c r="L230" s="70"/>
      <c r="M230" s="121" t="s">
        <v>868</v>
      </c>
      <c r="N230" s="68" t="s">
        <v>733</v>
      </c>
      <c r="O230" s="132" t="s">
        <v>293</v>
      </c>
      <c r="P230" s="68" t="s">
        <v>733</v>
      </c>
      <c r="Q230" s="71" t="s">
        <v>293</v>
      </c>
      <c r="R230" s="68" t="s">
        <v>733</v>
      </c>
      <c r="S230" s="71" t="s">
        <v>293</v>
      </c>
      <c r="T230" s="68" t="s">
        <v>733</v>
      </c>
      <c r="U230" s="68"/>
      <c r="V230" s="68" t="s">
        <v>827</v>
      </c>
      <c r="W230" s="68"/>
      <c r="X230" s="134">
        <v>1</v>
      </c>
    </row>
    <row r="231" spans="2:24">
      <c r="C231" s="58" t="s">
        <v>531</v>
      </c>
      <c r="D231" s="58" t="s">
        <v>531</v>
      </c>
      <c r="E231" s="120" t="s">
        <v>844</v>
      </c>
      <c r="F231" s="68">
        <v>2672573314</v>
      </c>
      <c r="G231" s="58" t="s">
        <v>660</v>
      </c>
      <c r="H231" s="59">
        <v>24303318</v>
      </c>
      <c r="I231" s="70" t="s">
        <v>730</v>
      </c>
      <c r="J231" s="71" t="s">
        <v>56</v>
      </c>
      <c r="K231" s="70" t="s">
        <v>870</v>
      </c>
      <c r="L231" s="70"/>
      <c r="M231" s="121" t="s">
        <v>868</v>
      </c>
      <c r="N231" s="68" t="s">
        <v>733</v>
      </c>
      <c r="O231" s="132" t="s">
        <v>292</v>
      </c>
      <c r="P231" s="73">
        <v>45962</v>
      </c>
      <c r="Q231" s="71" t="s">
        <v>293</v>
      </c>
      <c r="R231" s="68" t="s">
        <v>733</v>
      </c>
      <c r="S231" s="71" t="s">
        <v>293</v>
      </c>
      <c r="T231" s="68" t="s">
        <v>733</v>
      </c>
      <c r="U231" s="68"/>
      <c r="V231" s="68" t="s">
        <v>827</v>
      </c>
      <c r="W231" s="68"/>
      <c r="X231" s="134">
        <v>1</v>
      </c>
    </row>
    <row r="232" spans="2:24">
      <c r="C232" s="58" t="s">
        <v>531</v>
      </c>
      <c r="D232" s="58" t="s">
        <v>531</v>
      </c>
      <c r="E232" s="120" t="s">
        <v>844</v>
      </c>
      <c r="F232" s="68">
        <v>2672573314</v>
      </c>
      <c r="G232" s="58" t="s">
        <v>661</v>
      </c>
      <c r="H232" s="59">
        <v>19890608</v>
      </c>
      <c r="I232" s="60" t="s">
        <v>725</v>
      </c>
      <c r="J232" s="71" t="s">
        <v>56</v>
      </c>
      <c r="K232" s="70" t="s">
        <v>870</v>
      </c>
      <c r="L232" s="70"/>
      <c r="M232" s="121" t="s">
        <v>868</v>
      </c>
      <c r="N232" s="68" t="s">
        <v>733</v>
      </c>
      <c r="O232" s="132" t="s">
        <v>292</v>
      </c>
      <c r="P232" s="73">
        <v>45962</v>
      </c>
      <c r="Q232" s="71" t="s">
        <v>293</v>
      </c>
      <c r="R232" s="68" t="s">
        <v>733</v>
      </c>
      <c r="S232" s="71" t="s">
        <v>293</v>
      </c>
      <c r="T232" s="68" t="s">
        <v>733</v>
      </c>
      <c r="U232" s="68"/>
      <c r="V232" s="68" t="s">
        <v>827</v>
      </c>
      <c r="W232" s="68"/>
      <c r="X232" s="134">
        <v>1</v>
      </c>
    </row>
    <row r="233" spans="2:24" s="70" customFormat="1">
      <c r="C233" s="58" t="s">
        <v>531</v>
      </c>
      <c r="D233" s="58" t="s">
        <v>531</v>
      </c>
      <c r="E233" s="120" t="s">
        <v>844</v>
      </c>
      <c r="F233" s="68">
        <v>2672573314</v>
      </c>
      <c r="G233" s="58" t="s">
        <v>662</v>
      </c>
      <c r="H233" s="59">
        <v>24304448</v>
      </c>
      <c r="I233" s="60" t="s">
        <v>725</v>
      </c>
      <c r="J233" s="71" t="s">
        <v>56</v>
      </c>
      <c r="K233" s="70" t="s">
        <v>870</v>
      </c>
      <c r="M233" s="121" t="s">
        <v>868</v>
      </c>
      <c r="N233" s="68" t="s">
        <v>733</v>
      </c>
      <c r="O233" s="132" t="s">
        <v>292</v>
      </c>
      <c r="P233" s="73">
        <v>45962</v>
      </c>
      <c r="Q233" s="71" t="s">
        <v>293</v>
      </c>
      <c r="R233" s="68" t="s">
        <v>733</v>
      </c>
      <c r="S233" s="71" t="s">
        <v>293</v>
      </c>
      <c r="T233" s="68" t="s">
        <v>733</v>
      </c>
      <c r="U233" s="68"/>
      <c r="V233" s="68" t="s">
        <v>827</v>
      </c>
      <c r="W233" s="68"/>
      <c r="X233" s="134">
        <v>1</v>
      </c>
    </row>
    <row r="234" spans="2:24" s="70" customFormat="1">
      <c r="C234" s="58" t="s">
        <v>531</v>
      </c>
      <c r="D234" s="58" t="s">
        <v>531</v>
      </c>
      <c r="E234" s="120" t="s">
        <v>844</v>
      </c>
      <c r="F234" s="68">
        <v>2672573314</v>
      </c>
      <c r="G234" s="58" t="s">
        <v>796</v>
      </c>
      <c r="H234" s="59">
        <v>24914114</v>
      </c>
      <c r="I234" s="60" t="s">
        <v>729</v>
      </c>
      <c r="J234" s="71" t="s">
        <v>55</v>
      </c>
      <c r="K234" s="70" t="s">
        <v>870</v>
      </c>
      <c r="M234" s="121" t="s">
        <v>868</v>
      </c>
      <c r="N234" s="68" t="s">
        <v>733</v>
      </c>
      <c r="O234" s="132" t="s">
        <v>293</v>
      </c>
      <c r="P234" s="68" t="s">
        <v>733</v>
      </c>
      <c r="Q234" s="71" t="s">
        <v>293</v>
      </c>
      <c r="R234" s="68" t="s">
        <v>733</v>
      </c>
      <c r="S234" s="71" t="s">
        <v>293</v>
      </c>
      <c r="T234" s="68" t="s">
        <v>733</v>
      </c>
      <c r="U234" s="68"/>
      <c r="V234" s="68" t="s">
        <v>827</v>
      </c>
      <c r="W234" s="68"/>
      <c r="X234" s="134">
        <v>1</v>
      </c>
    </row>
    <row r="235" spans="2:24" s="70" customFormat="1">
      <c r="C235" s="58" t="s">
        <v>531</v>
      </c>
      <c r="D235" s="58" t="s">
        <v>531</v>
      </c>
      <c r="E235" s="120" t="s">
        <v>844</v>
      </c>
      <c r="F235" s="68">
        <v>2672573314</v>
      </c>
      <c r="G235" s="58" t="s">
        <v>809</v>
      </c>
      <c r="H235" s="59">
        <v>30584938</v>
      </c>
      <c r="I235" s="60" t="s">
        <v>729</v>
      </c>
      <c r="J235" s="71" t="s">
        <v>55</v>
      </c>
      <c r="K235" s="70" t="s">
        <v>870</v>
      </c>
      <c r="M235" s="121" t="s">
        <v>868</v>
      </c>
      <c r="N235" s="68" t="s">
        <v>733</v>
      </c>
      <c r="O235" s="132" t="s">
        <v>293</v>
      </c>
      <c r="P235" s="68" t="s">
        <v>733</v>
      </c>
      <c r="Q235" s="71" t="s">
        <v>293</v>
      </c>
      <c r="R235" s="68" t="s">
        <v>733</v>
      </c>
      <c r="S235" s="71" t="s">
        <v>293</v>
      </c>
      <c r="T235" s="68" t="s">
        <v>733</v>
      </c>
      <c r="U235" s="68"/>
      <c r="V235" s="68" t="s">
        <v>827</v>
      </c>
      <c r="W235" s="68"/>
      <c r="X235" s="134">
        <v>1</v>
      </c>
    </row>
    <row r="236" spans="2:24">
      <c r="B236" s="70"/>
      <c r="C236" s="58" t="s">
        <v>531</v>
      </c>
      <c r="D236" s="58" t="s">
        <v>531</v>
      </c>
      <c r="E236" s="120" t="s">
        <v>844</v>
      </c>
      <c r="F236" s="68">
        <v>2672573314</v>
      </c>
      <c r="G236" s="58" t="s">
        <v>819</v>
      </c>
      <c r="H236" s="59">
        <v>27850492</v>
      </c>
      <c r="I236" s="60" t="s">
        <v>730</v>
      </c>
      <c r="J236" s="70" t="s">
        <v>727</v>
      </c>
      <c r="K236" s="70" t="s">
        <v>870</v>
      </c>
      <c r="L236" s="70"/>
      <c r="M236" s="121" t="s">
        <v>868</v>
      </c>
      <c r="N236" s="68" t="s">
        <v>733</v>
      </c>
      <c r="O236" s="132" t="s">
        <v>293</v>
      </c>
      <c r="P236" s="68" t="s">
        <v>733</v>
      </c>
      <c r="Q236" s="71" t="s">
        <v>293</v>
      </c>
      <c r="R236" s="68" t="s">
        <v>733</v>
      </c>
      <c r="S236" s="71" t="s">
        <v>293</v>
      </c>
      <c r="T236" s="68" t="s">
        <v>733</v>
      </c>
      <c r="U236" s="68"/>
      <c r="V236" s="68" t="s">
        <v>827</v>
      </c>
      <c r="W236" s="68"/>
      <c r="X236" s="134">
        <v>1</v>
      </c>
    </row>
    <row r="237" spans="2:24">
      <c r="C237" s="58" t="s">
        <v>27</v>
      </c>
      <c r="D237" s="58" t="s">
        <v>27</v>
      </c>
      <c r="E237" s="120" t="s">
        <v>844</v>
      </c>
      <c r="F237" s="68">
        <v>2672573314</v>
      </c>
      <c r="G237" s="58" t="s">
        <v>701</v>
      </c>
      <c r="H237" s="59">
        <v>13075335</v>
      </c>
      <c r="I237" s="60" t="s">
        <v>706</v>
      </c>
      <c r="J237" s="71" t="s">
        <v>56</v>
      </c>
      <c r="K237" s="70" t="s">
        <v>870</v>
      </c>
      <c r="L237" s="70"/>
      <c r="M237" s="121" t="s">
        <v>868</v>
      </c>
      <c r="N237" s="68" t="s">
        <v>733</v>
      </c>
      <c r="O237" s="132" t="s">
        <v>293</v>
      </c>
      <c r="P237" s="68" t="s">
        <v>733</v>
      </c>
      <c r="Q237" s="71" t="s">
        <v>293</v>
      </c>
      <c r="R237" s="68" t="s">
        <v>733</v>
      </c>
      <c r="S237" s="71" t="s">
        <v>293</v>
      </c>
      <c r="T237" s="68" t="s">
        <v>733</v>
      </c>
      <c r="U237" s="68"/>
      <c r="V237" s="68" t="s">
        <v>827</v>
      </c>
      <c r="W237" s="68"/>
      <c r="X237" s="134">
        <v>1</v>
      </c>
    </row>
    <row r="238" spans="2:24">
      <c r="C238" s="58" t="s">
        <v>27</v>
      </c>
      <c r="D238" s="58" t="s">
        <v>27</v>
      </c>
      <c r="E238" s="120" t="s">
        <v>844</v>
      </c>
      <c r="F238" s="68">
        <v>2672573314</v>
      </c>
      <c r="G238" s="58" t="s">
        <v>702</v>
      </c>
      <c r="H238" s="59">
        <v>13576767</v>
      </c>
      <c r="I238" s="60" t="s">
        <v>706</v>
      </c>
      <c r="J238" s="71" t="s">
        <v>56</v>
      </c>
      <c r="K238" s="70" t="s">
        <v>870</v>
      </c>
      <c r="L238" s="70"/>
      <c r="M238" s="121" t="s">
        <v>868</v>
      </c>
      <c r="N238" s="68" t="s">
        <v>733</v>
      </c>
      <c r="O238" s="132" t="s">
        <v>293</v>
      </c>
      <c r="P238" s="68" t="s">
        <v>733</v>
      </c>
      <c r="Q238" s="71" t="s">
        <v>293</v>
      </c>
      <c r="R238" s="68" t="s">
        <v>733</v>
      </c>
      <c r="S238" s="71" t="s">
        <v>293</v>
      </c>
      <c r="T238" s="68" t="s">
        <v>733</v>
      </c>
      <c r="U238" s="68"/>
      <c r="V238" s="68" t="s">
        <v>827</v>
      </c>
      <c r="W238" s="68"/>
      <c r="X238" s="134">
        <v>1</v>
      </c>
    </row>
    <row r="239" spans="2:24">
      <c r="C239" s="58" t="s">
        <v>27</v>
      </c>
      <c r="D239" s="58" t="s">
        <v>27</v>
      </c>
      <c r="E239" s="120" t="s">
        <v>844</v>
      </c>
      <c r="F239" s="68">
        <v>2672573314</v>
      </c>
      <c r="G239" s="58" t="s">
        <v>703</v>
      </c>
      <c r="H239" s="59">
        <v>24895569</v>
      </c>
      <c r="I239" s="60" t="s">
        <v>729</v>
      </c>
      <c r="J239" s="71" t="s">
        <v>56</v>
      </c>
      <c r="K239" s="70" t="s">
        <v>870</v>
      </c>
      <c r="L239" s="70"/>
      <c r="M239" s="121" t="s">
        <v>868</v>
      </c>
      <c r="N239" s="68" t="s">
        <v>733</v>
      </c>
      <c r="O239" s="132" t="s">
        <v>293</v>
      </c>
      <c r="P239" s="68" t="s">
        <v>733</v>
      </c>
      <c r="Q239" s="71" t="s">
        <v>293</v>
      </c>
      <c r="R239" s="68" t="s">
        <v>733</v>
      </c>
      <c r="S239" s="71" t="s">
        <v>293</v>
      </c>
      <c r="T239" s="68" t="s">
        <v>733</v>
      </c>
      <c r="U239" s="68"/>
      <c r="V239" s="68" t="s">
        <v>827</v>
      </c>
      <c r="W239" s="68"/>
      <c r="X239" s="134">
        <v>1</v>
      </c>
    </row>
    <row r="240" spans="2:24">
      <c r="C240" s="58" t="s">
        <v>27</v>
      </c>
      <c r="D240" s="58" t="s">
        <v>27</v>
      </c>
      <c r="E240" s="120" t="s">
        <v>844</v>
      </c>
      <c r="F240" s="68">
        <v>2672573314</v>
      </c>
      <c r="G240" s="58" t="s">
        <v>493</v>
      </c>
      <c r="H240" s="59">
        <v>20606065</v>
      </c>
      <c r="I240" s="70" t="s">
        <v>730</v>
      </c>
      <c r="J240" s="71" t="s">
        <v>414</v>
      </c>
      <c r="K240" s="70" t="s">
        <v>870</v>
      </c>
      <c r="L240" s="70"/>
      <c r="M240" s="121" t="s">
        <v>292</v>
      </c>
      <c r="N240" s="128">
        <v>45748</v>
      </c>
      <c r="O240" s="132" t="s">
        <v>292</v>
      </c>
      <c r="P240" s="73">
        <v>45962</v>
      </c>
      <c r="Q240" s="71" t="s">
        <v>293</v>
      </c>
      <c r="R240" s="68" t="s">
        <v>733</v>
      </c>
      <c r="S240" s="71" t="s">
        <v>293</v>
      </c>
      <c r="T240" s="68" t="s">
        <v>733</v>
      </c>
      <c r="U240" s="68"/>
      <c r="V240" s="68" t="s">
        <v>827</v>
      </c>
      <c r="W240" s="68"/>
      <c r="X240" s="134">
        <v>1</v>
      </c>
    </row>
    <row r="241" spans="3:24">
      <c r="C241" s="58" t="s">
        <v>27</v>
      </c>
      <c r="D241" s="58" t="s">
        <v>27</v>
      </c>
      <c r="E241" s="120" t="s">
        <v>844</v>
      </c>
      <c r="F241" s="68">
        <v>2672573314</v>
      </c>
      <c r="G241" s="58" t="s">
        <v>641</v>
      </c>
      <c r="H241" s="59">
        <v>16106452</v>
      </c>
      <c r="I241" s="70" t="s">
        <v>730</v>
      </c>
      <c r="J241" s="71" t="s">
        <v>56</v>
      </c>
      <c r="K241" s="70" t="s">
        <v>870</v>
      </c>
      <c r="L241" s="70"/>
      <c r="M241" s="121" t="s">
        <v>868</v>
      </c>
      <c r="N241" s="68" t="s">
        <v>733</v>
      </c>
      <c r="O241" s="132" t="s">
        <v>292</v>
      </c>
      <c r="P241" s="73">
        <v>45962</v>
      </c>
      <c r="Q241" s="71" t="s">
        <v>293</v>
      </c>
      <c r="R241" s="68" t="s">
        <v>733</v>
      </c>
      <c r="S241" s="71" t="s">
        <v>293</v>
      </c>
      <c r="T241" s="68" t="s">
        <v>733</v>
      </c>
      <c r="U241" s="68"/>
      <c r="V241" s="68" t="s">
        <v>827</v>
      </c>
      <c r="W241" s="68"/>
      <c r="X241" s="134">
        <v>1</v>
      </c>
    </row>
    <row r="242" spans="3:24">
      <c r="C242" s="58" t="s">
        <v>27</v>
      </c>
      <c r="D242" s="58" t="s">
        <v>27</v>
      </c>
      <c r="E242" s="120" t="s">
        <v>844</v>
      </c>
      <c r="F242" s="68">
        <v>2672573314</v>
      </c>
      <c r="G242" s="58" t="s">
        <v>494</v>
      </c>
      <c r="H242" s="59">
        <v>32010998</v>
      </c>
      <c r="I242" s="60" t="s">
        <v>725</v>
      </c>
      <c r="J242" s="71" t="s">
        <v>414</v>
      </c>
      <c r="K242" s="70" t="s">
        <v>870</v>
      </c>
      <c r="L242" s="70"/>
      <c r="M242" s="121" t="s">
        <v>868</v>
      </c>
      <c r="N242" s="68" t="s">
        <v>733</v>
      </c>
      <c r="O242" s="132" t="s">
        <v>292</v>
      </c>
      <c r="P242" s="73">
        <v>45962</v>
      </c>
      <c r="Q242" s="71" t="s">
        <v>293</v>
      </c>
      <c r="R242" s="68" t="s">
        <v>733</v>
      </c>
      <c r="S242" s="71" t="s">
        <v>293</v>
      </c>
      <c r="T242" s="68" t="s">
        <v>733</v>
      </c>
      <c r="U242" s="68"/>
      <c r="V242" s="68" t="s">
        <v>827</v>
      </c>
      <c r="W242" s="68"/>
      <c r="X242" s="134">
        <v>1</v>
      </c>
    </row>
    <row r="243" spans="3:24">
      <c r="C243" s="148" t="s">
        <v>27</v>
      </c>
      <c r="D243" s="148" t="s">
        <v>27</v>
      </c>
      <c r="E243" s="149" t="s">
        <v>844</v>
      </c>
      <c r="F243" s="150">
        <v>2672573314</v>
      </c>
      <c r="G243" s="148" t="s">
        <v>567</v>
      </c>
      <c r="H243" s="151">
        <v>31068327</v>
      </c>
      <c r="I243" s="148" t="s">
        <v>730</v>
      </c>
      <c r="J243" s="152" t="s">
        <v>53</v>
      </c>
      <c r="K243" s="148" t="s">
        <v>870</v>
      </c>
      <c r="L243" s="148"/>
      <c r="M243" s="152" t="s">
        <v>868</v>
      </c>
      <c r="N243" s="150" t="s">
        <v>733</v>
      </c>
      <c r="O243" s="153" t="s">
        <v>292</v>
      </c>
      <c r="P243" s="154">
        <v>45962</v>
      </c>
      <c r="Q243" s="152" t="s">
        <v>293</v>
      </c>
      <c r="R243" s="150" t="s">
        <v>733</v>
      </c>
      <c r="S243" s="152" t="s">
        <v>293</v>
      </c>
      <c r="T243" s="150" t="s">
        <v>733</v>
      </c>
      <c r="U243" s="150"/>
      <c r="V243" s="150" t="s">
        <v>827</v>
      </c>
      <c r="W243" s="150" t="s">
        <v>916</v>
      </c>
      <c r="X243" s="150">
        <v>1</v>
      </c>
    </row>
    <row r="244" spans="3:24">
      <c r="C244" s="58" t="s">
        <v>27</v>
      </c>
      <c r="D244" s="58" t="s">
        <v>27</v>
      </c>
      <c r="E244" s="120" t="s">
        <v>844</v>
      </c>
      <c r="F244" s="68">
        <v>2672573314</v>
      </c>
      <c r="G244" s="58" t="s">
        <v>568</v>
      </c>
      <c r="H244" s="59">
        <v>14301139</v>
      </c>
      <c r="I244" s="70" t="s">
        <v>730</v>
      </c>
      <c r="J244" s="71" t="s">
        <v>53</v>
      </c>
      <c r="K244" s="70" t="s">
        <v>870</v>
      </c>
      <c r="L244" s="70"/>
      <c r="M244" s="121" t="s">
        <v>868</v>
      </c>
      <c r="N244" s="68" t="s">
        <v>733</v>
      </c>
      <c r="O244" s="132" t="s">
        <v>292</v>
      </c>
      <c r="P244" s="73">
        <v>45962</v>
      </c>
      <c r="Q244" s="71" t="s">
        <v>293</v>
      </c>
      <c r="R244" s="68" t="s">
        <v>733</v>
      </c>
      <c r="S244" s="71" t="s">
        <v>293</v>
      </c>
      <c r="T244" s="68" t="s">
        <v>733</v>
      </c>
      <c r="U244" s="68"/>
      <c r="V244" s="68" t="s">
        <v>827</v>
      </c>
      <c r="W244" s="68"/>
      <c r="X244" s="134">
        <v>1</v>
      </c>
    </row>
    <row r="245" spans="3:24">
      <c r="C245" s="58" t="s">
        <v>27</v>
      </c>
      <c r="D245" s="58" t="s">
        <v>27</v>
      </c>
      <c r="E245" s="120" t="s">
        <v>844</v>
      </c>
      <c r="F245" s="68">
        <v>2672573314</v>
      </c>
      <c r="G245" s="58" t="s">
        <v>569</v>
      </c>
      <c r="H245" s="59">
        <v>19257168</v>
      </c>
      <c r="I245" s="60" t="s">
        <v>725</v>
      </c>
      <c r="J245" s="71" t="s">
        <v>53</v>
      </c>
      <c r="K245" s="70" t="s">
        <v>870</v>
      </c>
      <c r="L245" s="70"/>
      <c r="M245" s="121" t="s">
        <v>868</v>
      </c>
      <c r="N245" s="68" t="s">
        <v>733</v>
      </c>
      <c r="O245" s="132" t="s">
        <v>292</v>
      </c>
      <c r="P245" s="73">
        <v>45962</v>
      </c>
      <c r="Q245" s="71" t="s">
        <v>293</v>
      </c>
      <c r="R245" s="68" t="s">
        <v>733</v>
      </c>
      <c r="S245" s="71" t="s">
        <v>293</v>
      </c>
      <c r="T245" s="68" t="s">
        <v>733</v>
      </c>
      <c r="U245" s="68"/>
      <c r="V245" s="68" t="s">
        <v>827</v>
      </c>
      <c r="W245" s="68"/>
      <c r="X245" s="134">
        <v>1</v>
      </c>
    </row>
    <row r="246" spans="3:24">
      <c r="C246" s="58" t="s">
        <v>27</v>
      </c>
      <c r="D246" s="58" t="s">
        <v>27</v>
      </c>
      <c r="E246" s="120" t="s">
        <v>844</v>
      </c>
      <c r="F246" s="68">
        <v>2672573314</v>
      </c>
      <c r="G246" s="58" t="s">
        <v>570</v>
      </c>
      <c r="H246" s="59">
        <v>10525882</v>
      </c>
      <c r="I246" s="70" t="s">
        <v>730</v>
      </c>
      <c r="J246" s="71" t="s">
        <v>414</v>
      </c>
      <c r="K246" s="70" t="s">
        <v>870</v>
      </c>
      <c r="L246" s="70"/>
      <c r="M246" s="121" t="s">
        <v>868</v>
      </c>
      <c r="N246" s="68" t="s">
        <v>733</v>
      </c>
      <c r="O246" s="132" t="s">
        <v>292</v>
      </c>
      <c r="P246" s="73">
        <v>45962</v>
      </c>
      <c r="Q246" s="71" t="s">
        <v>293</v>
      </c>
      <c r="R246" s="68" t="s">
        <v>733</v>
      </c>
      <c r="S246" s="71" t="s">
        <v>293</v>
      </c>
      <c r="T246" s="68" t="s">
        <v>733</v>
      </c>
      <c r="U246" s="68"/>
      <c r="V246" s="68" t="s">
        <v>827</v>
      </c>
      <c r="W246" s="68"/>
      <c r="X246" s="134">
        <v>1</v>
      </c>
    </row>
    <row r="247" spans="3:24">
      <c r="C247" s="58" t="s">
        <v>27</v>
      </c>
      <c r="D247" s="58" t="s">
        <v>27</v>
      </c>
      <c r="E247" s="120" t="s">
        <v>844</v>
      </c>
      <c r="F247" s="68">
        <v>2672573314</v>
      </c>
      <c r="G247" s="58" t="s">
        <v>571</v>
      </c>
      <c r="H247" s="59">
        <v>28754101</v>
      </c>
      <c r="I247" s="70" t="s">
        <v>730</v>
      </c>
      <c r="J247" s="71" t="s">
        <v>414</v>
      </c>
      <c r="K247" s="70" t="s">
        <v>870</v>
      </c>
      <c r="L247" s="70"/>
      <c r="M247" s="121" t="s">
        <v>868</v>
      </c>
      <c r="N247" s="68" t="s">
        <v>733</v>
      </c>
      <c r="O247" s="132" t="s">
        <v>292</v>
      </c>
      <c r="P247" s="73">
        <v>45962</v>
      </c>
      <c r="Q247" s="71" t="s">
        <v>293</v>
      </c>
      <c r="R247" s="68" t="s">
        <v>733</v>
      </c>
      <c r="S247" s="71" t="s">
        <v>293</v>
      </c>
      <c r="T247" s="68" t="s">
        <v>733</v>
      </c>
      <c r="U247" s="68"/>
      <c r="V247" s="68" t="s">
        <v>827</v>
      </c>
      <c r="W247" s="68"/>
      <c r="X247" s="134">
        <v>1</v>
      </c>
    </row>
    <row r="248" spans="3:24">
      <c r="C248" s="58" t="s">
        <v>27</v>
      </c>
      <c r="D248" s="58" t="s">
        <v>27</v>
      </c>
      <c r="E248" s="120" t="s">
        <v>844</v>
      </c>
      <c r="F248" s="68">
        <v>2672573314</v>
      </c>
      <c r="G248" s="58" t="s">
        <v>572</v>
      </c>
      <c r="H248" s="59">
        <v>30158012</v>
      </c>
      <c r="I248" s="60" t="s">
        <v>725</v>
      </c>
      <c r="J248" s="71" t="s">
        <v>414</v>
      </c>
      <c r="K248" s="70" t="s">
        <v>870</v>
      </c>
      <c r="L248" s="70"/>
      <c r="M248" s="121" t="s">
        <v>868</v>
      </c>
      <c r="N248" s="68" t="s">
        <v>733</v>
      </c>
      <c r="O248" s="132" t="s">
        <v>292</v>
      </c>
      <c r="P248" s="73">
        <v>45962</v>
      </c>
      <c r="Q248" s="71" t="s">
        <v>293</v>
      </c>
      <c r="R248" s="68" t="s">
        <v>733</v>
      </c>
      <c r="S248" s="71" t="s">
        <v>293</v>
      </c>
      <c r="T248" s="68" t="s">
        <v>733</v>
      </c>
      <c r="U248" s="68"/>
      <c r="V248" s="68" t="s">
        <v>827</v>
      </c>
      <c r="W248" s="68"/>
      <c r="X248" s="134">
        <v>1</v>
      </c>
    </row>
    <row r="249" spans="3:24">
      <c r="C249" s="58" t="s">
        <v>27</v>
      </c>
      <c r="D249" s="58" t="s">
        <v>27</v>
      </c>
      <c r="E249" s="120" t="s">
        <v>844</v>
      </c>
      <c r="F249" s="68">
        <v>2672573314</v>
      </c>
      <c r="G249" s="58" t="s">
        <v>573</v>
      </c>
      <c r="H249" s="59">
        <v>6306724</v>
      </c>
      <c r="I249" s="60" t="s">
        <v>725</v>
      </c>
      <c r="J249" s="71" t="s">
        <v>414</v>
      </c>
      <c r="K249" s="70" t="s">
        <v>870</v>
      </c>
      <c r="L249" s="70"/>
      <c r="M249" s="121" t="s">
        <v>868</v>
      </c>
      <c r="N249" s="68" t="s">
        <v>733</v>
      </c>
      <c r="O249" s="132" t="s">
        <v>292</v>
      </c>
      <c r="P249" s="73">
        <v>45962</v>
      </c>
      <c r="Q249" s="71" t="s">
        <v>293</v>
      </c>
      <c r="R249" s="68" t="s">
        <v>733</v>
      </c>
      <c r="S249" s="71" t="s">
        <v>293</v>
      </c>
      <c r="T249" s="68" t="s">
        <v>733</v>
      </c>
      <c r="U249" s="68"/>
      <c r="V249" s="68" t="s">
        <v>827</v>
      </c>
      <c r="W249" s="68"/>
      <c r="X249" s="134">
        <v>1</v>
      </c>
    </row>
    <row r="250" spans="3:24">
      <c r="C250" s="58" t="s">
        <v>27</v>
      </c>
      <c r="D250" s="58" t="s">
        <v>27</v>
      </c>
      <c r="E250" s="120" t="s">
        <v>844</v>
      </c>
      <c r="F250" s="68">
        <v>2672573314</v>
      </c>
      <c r="G250" s="58" t="s">
        <v>139</v>
      </c>
      <c r="H250" s="52">
        <v>15701445</v>
      </c>
      <c r="I250" s="70" t="s">
        <v>730</v>
      </c>
      <c r="J250" s="71" t="s">
        <v>56</v>
      </c>
      <c r="K250" s="70" t="s">
        <v>870</v>
      </c>
      <c r="L250" s="70"/>
      <c r="M250" s="121" t="s">
        <v>868</v>
      </c>
      <c r="N250" s="68" t="s">
        <v>733</v>
      </c>
      <c r="O250" s="132" t="s">
        <v>292</v>
      </c>
      <c r="P250" s="73">
        <v>45962</v>
      </c>
      <c r="Q250" s="71" t="s">
        <v>293</v>
      </c>
      <c r="R250" s="68" t="s">
        <v>733</v>
      </c>
      <c r="S250" s="71" t="s">
        <v>293</v>
      </c>
      <c r="T250" s="68" t="s">
        <v>733</v>
      </c>
      <c r="U250" s="68"/>
      <c r="V250" s="68" t="s">
        <v>827</v>
      </c>
      <c r="W250" s="68"/>
      <c r="X250" s="134">
        <v>1</v>
      </c>
    </row>
    <row r="251" spans="3:24">
      <c r="C251" s="94" t="s">
        <v>27</v>
      </c>
      <c r="D251" s="94" t="s">
        <v>27</v>
      </c>
      <c r="E251" s="123" t="s">
        <v>844</v>
      </c>
      <c r="F251" s="98">
        <v>2672573314</v>
      </c>
      <c r="G251" s="94" t="s">
        <v>140</v>
      </c>
      <c r="H251" s="95">
        <v>29631235</v>
      </c>
      <c r="I251" s="94" t="s">
        <v>730</v>
      </c>
      <c r="J251" s="97" t="s">
        <v>56</v>
      </c>
      <c r="K251" s="94"/>
      <c r="L251" s="94"/>
      <c r="M251" s="97" t="s">
        <v>868</v>
      </c>
      <c r="N251" s="98" t="s">
        <v>733</v>
      </c>
      <c r="O251" s="130" t="s">
        <v>292</v>
      </c>
      <c r="P251" s="99">
        <v>45962</v>
      </c>
      <c r="Q251" s="97" t="s">
        <v>869</v>
      </c>
      <c r="R251" s="98"/>
      <c r="S251" s="97" t="s">
        <v>869</v>
      </c>
      <c r="T251" s="94"/>
      <c r="U251" s="98"/>
      <c r="V251" s="98" t="s">
        <v>827</v>
      </c>
      <c r="W251" s="98" t="s">
        <v>824</v>
      </c>
      <c r="X251" s="134">
        <v>1</v>
      </c>
    </row>
    <row r="252" spans="3:24">
      <c r="C252" s="94" t="s">
        <v>27</v>
      </c>
      <c r="D252" s="94" t="s">
        <v>27</v>
      </c>
      <c r="E252" s="123" t="s">
        <v>844</v>
      </c>
      <c r="F252" s="98">
        <v>2672573314</v>
      </c>
      <c r="G252" s="94" t="s">
        <v>141</v>
      </c>
      <c r="H252" s="95">
        <v>30476540</v>
      </c>
      <c r="I252" s="96" t="s">
        <v>725</v>
      </c>
      <c r="J252" s="97" t="s">
        <v>56</v>
      </c>
      <c r="K252" s="94"/>
      <c r="L252" s="94"/>
      <c r="M252" s="97" t="s">
        <v>868</v>
      </c>
      <c r="N252" s="98" t="s">
        <v>733</v>
      </c>
      <c r="O252" s="130" t="s">
        <v>292</v>
      </c>
      <c r="P252" s="99">
        <v>45962</v>
      </c>
      <c r="Q252" s="97" t="s">
        <v>869</v>
      </c>
      <c r="R252" s="98"/>
      <c r="S252" s="97" t="s">
        <v>869</v>
      </c>
      <c r="T252" s="94"/>
      <c r="U252" s="98"/>
      <c r="V252" s="98" t="s">
        <v>827</v>
      </c>
      <c r="W252" s="98" t="s">
        <v>864</v>
      </c>
      <c r="X252" s="134">
        <v>1</v>
      </c>
    </row>
    <row r="253" spans="3:24">
      <c r="C253" s="58" t="s">
        <v>27</v>
      </c>
      <c r="D253" s="58" t="s">
        <v>27</v>
      </c>
      <c r="E253" s="120" t="s">
        <v>844</v>
      </c>
      <c r="F253" s="68">
        <v>2672573314</v>
      </c>
      <c r="G253" s="58" t="s">
        <v>142</v>
      </c>
      <c r="H253" s="52">
        <v>12417655</v>
      </c>
      <c r="I253" s="60" t="s">
        <v>725</v>
      </c>
      <c r="J253" s="71" t="s">
        <v>56</v>
      </c>
      <c r="K253" s="70" t="s">
        <v>870</v>
      </c>
      <c r="L253" s="70"/>
      <c r="M253" s="121" t="s">
        <v>868</v>
      </c>
      <c r="N253" s="68" t="s">
        <v>733</v>
      </c>
      <c r="O253" s="132" t="s">
        <v>293</v>
      </c>
      <c r="P253" s="68" t="s">
        <v>733</v>
      </c>
      <c r="Q253" s="71" t="s">
        <v>293</v>
      </c>
      <c r="R253" s="68" t="s">
        <v>733</v>
      </c>
      <c r="S253" s="71" t="s">
        <v>293</v>
      </c>
      <c r="T253" s="68" t="s">
        <v>733</v>
      </c>
      <c r="U253" s="68"/>
      <c r="V253" s="68" t="s">
        <v>827</v>
      </c>
      <c r="W253" s="68"/>
      <c r="X253" s="134">
        <v>1</v>
      </c>
    </row>
    <row r="254" spans="3:24">
      <c r="C254" s="58" t="s">
        <v>27</v>
      </c>
      <c r="D254" s="58" t="s">
        <v>27</v>
      </c>
      <c r="E254" s="120" t="s">
        <v>844</v>
      </c>
      <c r="F254" s="68">
        <v>2672573314</v>
      </c>
      <c r="G254" s="58" t="s">
        <v>143</v>
      </c>
      <c r="H254" s="52">
        <v>19424950</v>
      </c>
      <c r="I254" s="70" t="s">
        <v>730</v>
      </c>
      <c r="J254" s="71" t="s">
        <v>56</v>
      </c>
      <c r="K254" s="70" t="s">
        <v>870</v>
      </c>
      <c r="L254" s="70"/>
      <c r="M254" s="121" t="s">
        <v>868</v>
      </c>
      <c r="N254" s="68" t="s">
        <v>733</v>
      </c>
      <c r="O254" s="132" t="s">
        <v>292</v>
      </c>
      <c r="P254" s="73">
        <v>45962</v>
      </c>
      <c r="Q254" s="71" t="s">
        <v>293</v>
      </c>
      <c r="R254" s="68" t="s">
        <v>733</v>
      </c>
      <c r="S254" s="71" t="s">
        <v>293</v>
      </c>
      <c r="T254" s="68" t="s">
        <v>733</v>
      </c>
      <c r="U254" s="68"/>
      <c r="V254" s="68" t="s">
        <v>827</v>
      </c>
      <c r="W254" s="68"/>
      <c r="X254" s="134">
        <v>1</v>
      </c>
    </row>
    <row r="255" spans="3:24">
      <c r="C255" s="58" t="s">
        <v>27</v>
      </c>
      <c r="D255" s="58" t="s">
        <v>27</v>
      </c>
      <c r="E255" s="120" t="s">
        <v>844</v>
      </c>
      <c r="F255" s="68">
        <v>2672573314</v>
      </c>
      <c r="G255" s="58" t="s">
        <v>704</v>
      </c>
      <c r="H255" s="52">
        <v>19223552</v>
      </c>
      <c r="I255" s="70" t="s">
        <v>730</v>
      </c>
      <c r="J255" s="71" t="s">
        <v>56</v>
      </c>
      <c r="K255" s="70" t="s">
        <v>870</v>
      </c>
      <c r="L255" s="70"/>
      <c r="M255" s="121" t="s">
        <v>868</v>
      </c>
      <c r="N255" s="68" t="s">
        <v>733</v>
      </c>
      <c r="O255" s="132" t="s">
        <v>292</v>
      </c>
      <c r="P255" s="73">
        <v>45962</v>
      </c>
      <c r="Q255" s="71" t="s">
        <v>293</v>
      </c>
      <c r="R255" s="68" t="s">
        <v>733</v>
      </c>
      <c r="S255" s="71" t="s">
        <v>293</v>
      </c>
      <c r="T255" s="68" t="s">
        <v>733</v>
      </c>
      <c r="U255" s="68"/>
      <c r="V255" s="68" t="s">
        <v>827</v>
      </c>
      <c r="W255" s="68"/>
      <c r="X255" s="134">
        <v>1</v>
      </c>
    </row>
    <row r="256" spans="3:24">
      <c r="C256" s="58" t="s">
        <v>27</v>
      </c>
      <c r="D256" s="58" t="s">
        <v>27</v>
      </c>
      <c r="E256" s="120" t="s">
        <v>844</v>
      </c>
      <c r="F256" s="68">
        <v>2672573314</v>
      </c>
      <c r="G256" s="58" t="s">
        <v>145</v>
      </c>
      <c r="H256" s="52">
        <v>20629532</v>
      </c>
      <c r="I256" s="70" t="s">
        <v>730</v>
      </c>
      <c r="J256" s="71" t="s">
        <v>56</v>
      </c>
      <c r="K256" s="70" t="s">
        <v>870</v>
      </c>
      <c r="L256" s="70"/>
      <c r="M256" s="121" t="s">
        <v>868</v>
      </c>
      <c r="N256" s="68" t="s">
        <v>733</v>
      </c>
      <c r="O256" s="132" t="s">
        <v>292</v>
      </c>
      <c r="P256" s="73">
        <v>45962</v>
      </c>
      <c r="Q256" s="71" t="s">
        <v>293</v>
      </c>
      <c r="R256" s="68" t="s">
        <v>733</v>
      </c>
      <c r="S256" s="71" t="s">
        <v>293</v>
      </c>
      <c r="T256" s="68" t="s">
        <v>733</v>
      </c>
      <c r="U256" s="68"/>
      <c r="V256" s="68" t="s">
        <v>827</v>
      </c>
      <c r="W256" s="68"/>
      <c r="X256" s="134">
        <v>1</v>
      </c>
    </row>
    <row r="257" spans="3:24">
      <c r="C257" s="58" t="s">
        <v>27</v>
      </c>
      <c r="D257" s="58" t="s">
        <v>27</v>
      </c>
      <c r="E257" s="120" t="s">
        <v>844</v>
      </c>
      <c r="F257" s="68">
        <v>2672573314</v>
      </c>
      <c r="G257" s="58" t="s">
        <v>146</v>
      </c>
      <c r="H257" s="52">
        <v>27039004</v>
      </c>
      <c r="I257" s="60" t="s">
        <v>725</v>
      </c>
      <c r="J257" s="71" t="s">
        <v>55</v>
      </c>
      <c r="K257" s="70" t="s">
        <v>870</v>
      </c>
      <c r="L257" s="70"/>
      <c r="M257" s="121" t="s">
        <v>868</v>
      </c>
      <c r="N257" s="68" t="s">
        <v>733</v>
      </c>
      <c r="O257" s="132" t="s">
        <v>292</v>
      </c>
      <c r="P257" s="73">
        <v>45962</v>
      </c>
      <c r="Q257" s="71" t="s">
        <v>293</v>
      </c>
      <c r="R257" s="68" t="s">
        <v>733</v>
      </c>
      <c r="S257" s="71" t="s">
        <v>293</v>
      </c>
      <c r="T257" s="68" t="s">
        <v>733</v>
      </c>
      <c r="U257" s="68"/>
      <c r="V257" s="68" t="s">
        <v>827</v>
      </c>
      <c r="W257" s="68"/>
      <c r="X257" s="134">
        <v>1</v>
      </c>
    </row>
    <row r="258" spans="3:24">
      <c r="C258" s="58" t="s">
        <v>27</v>
      </c>
      <c r="D258" s="58" t="s">
        <v>27</v>
      </c>
      <c r="E258" s="120" t="s">
        <v>844</v>
      </c>
      <c r="F258" s="68">
        <v>2672573314</v>
      </c>
      <c r="G258" s="58" t="s">
        <v>152</v>
      </c>
      <c r="H258" s="59">
        <v>16509925</v>
      </c>
      <c r="I258" s="70" t="s">
        <v>730</v>
      </c>
      <c r="J258" s="71" t="s">
        <v>56</v>
      </c>
      <c r="K258" s="70" t="s">
        <v>870</v>
      </c>
      <c r="L258" s="70"/>
      <c r="M258" s="121" t="s">
        <v>868</v>
      </c>
      <c r="N258" s="68" t="s">
        <v>733</v>
      </c>
      <c r="O258" s="132" t="s">
        <v>292</v>
      </c>
      <c r="P258" s="73">
        <v>45962</v>
      </c>
      <c r="Q258" s="71" t="s">
        <v>293</v>
      </c>
      <c r="R258" s="68" t="s">
        <v>733</v>
      </c>
      <c r="S258" s="71" t="s">
        <v>293</v>
      </c>
      <c r="T258" s="68" t="s">
        <v>733</v>
      </c>
      <c r="U258" s="68"/>
      <c r="V258" s="68" t="s">
        <v>827</v>
      </c>
      <c r="W258" s="68"/>
      <c r="X258" s="134">
        <v>1</v>
      </c>
    </row>
    <row r="259" spans="3:24">
      <c r="C259" s="58" t="s">
        <v>27</v>
      </c>
      <c r="D259" s="58" t="s">
        <v>27</v>
      </c>
      <c r="E259" s="120" t="s">
        <v>844</v>
      </c>
      <c r="F259" s="68">
        <v>2672573314</v>
      </c>
      <c r="G259" s="58" t="s">
        <v>574</v>
      </c>
      <c r="H259" s="59">
        <v>21195076</v>
      </c>
      <c r="I259" s="70" t="s">
        <v>730</v>
      </c>
      <c r="J259" s="71" t="s">
        <v>56</v>
      </c>
      <c r="K259" s="70" t="s">
        <v>870</v>
      </c>
      <c r="L259" s="70"/>
      <c r="M259" s="121" t="s">
        <v>868</v>
      </c>
      <c r="N259" s="68" t="s">
        <v>733</v>
      </c>
      <c r="O259" s="132" t="s">
        <v>293</v>
      </c>
      <c r="P259" s="68" t="s">
        <v>733</v>
      </c>
      <c r="Q259" s="71" t="s">
        <v>293</v>
      </c>
      <c r="R259" s="68" t="s">
        <v>733</v>
      </c>
      <c r="S259" s="71" t="s">
        <v>293</v>
      </c>
      <c r="T259" s="68" t="s">
        <v>733</v>
      </c>
      <c r="U259" s="68"/>
      <c r="V259" s="68" t="s">
        <v>827</v>
      </c>
      <c r="W259" s="68"/>
      <c r="X259" s="134">
        <v>1</v>
      </c>
    </row>
    <row r="260" spans="3:24">
      <c r="C260" s="58" t="s">
        <v>27</v>
      </c>
      <c r="D260" s="58" t="s">
        <v>27</v>
      </c>
      <c r="E260" s="120" t="s">
        <v>844</v>
      </c>
      <c r="F260" s="68">
        <v>2672573314</v>
      </c>
      <c r="G260" s="58" t="s">
        <v>575</v>
      </c>
      <c r="H260" s="59">
        <v>28338494</v>
      </c>
      <c r="I260" s="70" t="s">
        <v>730</v>
      </c>
      <c r="J260" s="71" t="s">
        <v>56</v>
      </c>
      <c r="K260" s="70" t="s">
        <v>870</v>
      </c>
      <c r="L260" s="70"/>
      <c r="M260" s="121" t="s">
        <v>868</v>
      </c>
      <c r="N260" s="68" t="s">
        <v>733</v>
      </c>
      <c r="O260" s="132" t="s">
        <v>292</v>
      </c>
      <c r="P260" s="73">
        <v>45962</v>
      </c>
      <c r="Q260" s="71" t="s">
        <v>293</v>
      </c>
      <c r="R260" s="68" t="s">
        <v>733</v>
      </c>
      <c r="S260" s="71" t="s">
        <v>293</v>
      </c>
      <c r="T260" s="68" t="s">
        <v>733</v>
      </c>
      <c r="U260" s="68"/>
      <c r="V260" s="68" t="s">
        <v>827</v>
      </c>
      <c r="W260" s="68"/>
      <c r="X260" s="134">
        <v>1</v>
      </c>
    </row>
    <row r="261" spans="3:24">
      <c r="C261" s="58" t="s">
        <v>27</v>
      </c>
      <c r="D261" s="58" t="s">
        <v>27</v>
      </c>
      <c r="E261" s="120" t="s">
        <v>844</v>
      </c>
      <c r="F261" s="68">
        <v>2672573314</v>
      </c>
      <c r="G261" s="58" t="s">
        <v>576</v>
      </c>
      <c r="H261" s="59">
        <v>18554085</v>
      </c>
      <c r="I261" s="70" t="s">
        <v>730</v>
      </c>
      <c r="J261" s="71" t="s">
        <v>56</v>
      </c>
      <c r="K261" s="70" t="s">
        <v>870</v>
      </c>
      <c r="L261" s="70"/>
      <c r="M261" s="121" t="s">
        <v>868</v>
      </c>
      <c r="N261" s="68" t="s">
        <v>733</v>
      </c>
      <c r="O261" s="132" t="s">
        <v>292</v>
      </c>
      <c r="P261" s="73">
        <v>45962</v>
      </c>
      <c r="Q261" s="71" t="s">
        <v>293</v>
      </c>
      <c r="R261" s="68" t="s">
        <v>733</v>
      </c>
      <c r="S261" s="71" t="s">
        <v>293</v>
      </c>
      <c r="T261" s="68" t="s">
        <v>733</v>
      </c>
      <c r="U261" s="68"/>
      <c r="V261" s="68" t="s">
        <v>827</v>
      </c>
      <c r="W261" s="68"/>
      <c r="X261" s="134">
        <v>1</v>
      </c>
    </row>
    <row r="262" spans="3:24">
      <c r="C262" s="58" t="s">
        <v>27</v>
      </c>
      <c r="D262" s="58" t="s">
        <v>27</v>
      </c>
      <c r="E262" s="120" t="s">
        <v>844</v>
      </c>
      <c r="F262" s="68">
        <v>2672573314</v>
      </c>
      <c r="G262" s="58" t="s">
        <v>156</v>
      </c>
      <c r="H262" s="59">
        <v>15587040</v>
      </c>
      <c r="I262" s="70" t="s">
        <v>730</v>
      </c>
      <c r="J262" s="71" t="s">
        <v>56</v>
      </c>
      <c r="K262" s="70" t="s">
        <v>870</v>
      </c>
      <c r="L262" s="70"/>
      <c r="M262" s="121" t="s">
        <v>868</v>
      </c>
      <c r="N262" s="68" t="s">
        <v>733</v>
      </c>
      <c r="O262" s="132" t="s">
        <v>292</v>
      </c>
      <c r="P262" s="73">
        <v>45962</v>
      </c>
      <c r="Q262" s="71" t="s">
        <v>293</v>
      </c>
      <c r="R262" s="68" t="s">
        <v>733</v>
      </c>
      <c r="S262" s="71" t="s">
        <v>293</v>
      </c>
      <c r="T262" s="68" t="s">
        <v>733</v>
      </c>
      <c r="U262" s="68"/>
      <c r="V262" s="68" t="s">
        <v>827</v>
      </c>
      <c r="W262" s="68"/>
      <c r="X262" s="134">
        <v>1</v>
      </c>
    </row>
    <row r="263" spans="3:24">
      <c r="C263" s="58" t="s">
        <v>27</v>
      </c>
      <c r="D263" s="58" t="s">
        <v>27</v>
      </c>
      <c r="E263" s="120" t="s">
        <v>844</v>
      </c>
      <c r="F263" s="68">
        <v>2672573314</v>
      </c>
      <c r="G263" s="58" t="s">
        <v>157</v>
      </c>
      <c r="H263" s="59">
        <v>20127698</v>
      </c>
      <c r="I263" s="60" t="s">
        <v>725</v>
      </c>
      <c r="J263" s="71" t="s">
        <v>56</v>
      </c>
      <c r="K263" s="70" t="s">
        <v>870</v>
      </c>
      <c r="L263" s="70"/>
      <c r="M263" s="121" t="s">
        <v>868</v>
      </c>
      <c r="N263" s="68" t="s">
        <v>733</v>
      </c>
      <c r="O263" s="132" t="s">
        <v>292</v>
      </c>
      <c r="P263" s="73">
        <v>45962</v>
      </c>
      <c r="Q263" s="71" t="s">
        <v>293</v>
      </c>
      <c r="R263" s="68" t="s">
        <v>733</v>
      </c>
      <c r="S263" s="71" t="s">
        <v>293</v>
      </c>
      <c r="T263" s="68" t="s">
        <v>733</v>
      </c>
      <c r="U263" s="68"/>
      <c r="V263" s="68" t="s">
        <v>827</v>
      </c>
      <c r="W263" s="68"/>
      <c r="X263" s="134">
        <v>1</v>
      </c>
    </row>
    <row r="264" spans="3:24">
      <c r="C264" s="58" t="s">
        <v>27</v>
      </c>
      <c r="D264" s="58" t="s">
        <v>27</v>
      </c>
      <c r="E264" s="120" t="s">
        <v>844</v>
      </c>
      <c r="F264" s="68">
        <v>2672573314</v>
      </c>
      <c r="G264" s="58" t="s">
        <v>158</v>
      </c>
      <c r="H264" s="59">
        <v>18270472</v>
      </c>
      <c r="I264" s="60" t="s">
        <v>725</v>
      </c>
      <c r="J264" s="71" t="s">
        <v>56</v>
      </c>
      <c r="K264" s="70" t="s">
        <v>870</v>
      </c>
      <c r="L264" s="70"/>
      <c r="M264" s="121" t="s">
        <v>868</v>
      </c>
      <c r="N264" s="68" t="s">
        <v>733</v>
      </c>
      <c r="O264" s="132" t="s">
        <v>292</v>
      </c>
      <c r="P264" s="73">
        <v>45962</v>
      </c>
      <c r="Q264" s="71" t="s">
        <v>293</v>
      </c>
      <c r="R264" s="68" t="s">
        <v>733</v>
      </c>
      <c r="S264" s="71" t="s">
        <v>293</v>
      </c>
      <c r="T264" s="68" t="s">
        <v>733</v>
      </c>
      <c r="U264" s="68"/>
      <c r="V264" s="68" t="s">
        <v>827</v>
      </c>
      <c r="W264" s="68"/>
      <c r="X264" s="134">
        <v>1</v>
      </c>
    </row>
    <row r="265" spans="3:24">
      <c r="C265" s="58" t="s">
        <v>27</v>
      </c>
      <c r="D265" s="58" t="s">
        <v>27</v>
      </c>
      <c r="E265" s="120" t="s">
        <v>844</v>
      </c>
      <c r="F265" s="68">
        <v>2672573314</v>
      </c>
      <c r="G265" s="58" t="s">
        <v>159</v>
      </c>
      <c r="H265" s="59">
        <v>17152866</v>
      </c>
      <c r="I265" s="60" t="s">
        <v>725</v>
      </c>
      <c r="J265" s="71" t="s">
        <v>56</v>
      </c>
      <c r="K265" s="70" t="s">
        <v>870</v>
      </c>
      <c r="L265" s="70"/>
      <c r="M265" s="121" t="s">
        <v>868</v>
      </c>
      <c r="N265" s="68" t="s">
        <v>733</v>
      </c>
      <c r="O265" s="132" t="s">
        <v>292</v>
      </c>
      <c r="P265" s="73">
        <v>45962</v>
      </c>
      <c r="Q265" s="71" t="s">
        <v>293</v>
      </c>
      <c r="R265" s="68" t="s">
        <v>733</v>
      </c>
      <c r="S265" s="71" t="s">
        <v>293</v>
      </c>
      <c r="T265" s="68" t="s">
        <v>733</v>
      </c>
      <c r="U265" s="68"/>
      <c r="V265" s="68" t="s">
        <v>827</v>
      </c>
      <c r="W265" s="68"/>
      <c r="X265" s="134">
        <v>1</v>
      </c>
    </row>
    <row r="266" spans="3:24">
      <c r="C266" s="58" t="s">
        <v>27</v>
      </c>
      <c r="D266" s="58" t="s">
        <v>27</v>
      </c>
      <c r="E266" s="120" t="s">
        <v>844</v>
      </c>
      <c r="F266" s="68">
        <v>2672573314</v>
      </c>
      <c r="G266" s="58" t="s">
        <v>160</v>
      </c>
      <c r="H266" s="59">
        <v>17562063</v>
      </c>
      <c r="I266" s="60" t="s">
        <v>725</v>
      </c>
      <c r="J266" s="71" t="s">
        <v>56</v>
      </c>
      <c r="K266" s="70" t="s">
        <v>870</v>
      </c>
      <c r="L266" s="70"/>
      <c r="M266" s="121" t="s">
        <v>868</v>
      </c>
      <c r="N266" s="68" t="s">
        <v>733</v>
      </c>
      <c r="O266" s="132" t="s">
        <v>292</v>
      </c>
      <c r="P266" s="73">
        <v>45962</v>
      </c>
      <c r="Q266" s="71" t="s">
        <v>293</v>
      </c>
      <c r="R266" s="68" t="s">
        <v>733</v>
      </c>
      <c r="S266" s="71" t="s">
        <v>293</v>
      </c>
      <c r="T266" s="68" t="s">
        <v>733</v>
      </c>
      <c r="U266" s="68"/>
      <c r="V266" s="68" t="s">
        <v>827</v>
      </c>
      <c r="W266" s="68"/>
      <c r="X266" s="134">
        <v>1</v>
      </c>
    </row>
    <row r="267" spans="3:24">
      <c r="C267" s="58" t="s">
        <v>27</v>
      </c>
      <c r="D267" s="58" t="s">
        <v>27</v>
      </c>
      <c r="E267" s="120" t="s">
        <v>844</v>
      </c>
      <c r="F267" s="68">
        <v>2672573314</v>
      </c>
      <c r="G267" s="58" t="s">
        <v>161</v>
      </c>
      <c r="H267" s="59">
        <v>14758526</v>
      </c>
      <c r="I267" s="70" t="s">
        <v>730</v>
      </c>
      <c r="J267" s="71" t="s">
        <v>56</v>
      </c>
      <c r="K267" s="70" t="s">
        <v>870</v>
      </c>
      <c r="L267" s="70"/>
      <c r="M267" s="121" t="s">
        <v>868</v>
      </c>
      <c r="N267" s="68" t="s">
        <v>733</v>
      </c>
      <c r="O267" s="132" t="s">
        <v>292</v>
      </c>
      <c r="P267" s="73">
        <v>45962</v>
      </c>
      <c r="Q267" s="71" t="s">
        <v>293</v>
      </c>
      <c r="R267" s="68" t="s">
        <v>733</v>
      </c>
      <c r="S267" s="71" t="s">
        <v>293</v>
      </c>
      <c r="T267" s="68" t="s">
        <v>733</v>
      </c>
      <c r="U267" s="68"/>
      <c r="V267" s="68" t="s">
        <v>827</v>
      </c>
      <c r="W267" s="68"/>
      <c r="X267" s="134">
        <v>1</v>
      </c>
    </row>
    <row r="268" spans="3:24">
      <c r="C268" s="58" t="s">
        <v>27</v>
      </c>
      <c r="D268" s="58" t="s">
        <v>27</v>
      </c>
      <c r="E268" s="120" t="s">
        <v>844</v>
      </c>
      <c r="F268" s="68">
        <v>2672573314</v>
      </c>
      <c r="G268" s="58" t="s">
        <v>649</v>
      </c>
      <c r="H268" s="59">
        <v>16074491</v>
      </c>
      <c r="I268" s="60" t="s">
        <v>410</v>
      </c>
      <c r="J268" s="71" t="s">
        <v>414</v>
      </c>
      <c r="K268" s="70" t="s">
        <v>870</v>
      </c>
      <c r="L268" s="70"/>
      <c r="M268" s="121" t="s">
        <v>868</v>
      </c>
      <c r="N268" s="68" t="s">
        <v>733</v>
      </c>
      <c r="O268" s="132" t="s">
        <v>293</v>
      </c>
      <c r="P268" s="68" t="s">
        <v>733</v>
      </c>
      <c r="Q268" s="71" t="s">
        <v>293</v>
      </c>
      <c r="R268" s="68" t="s">
        <v>733</v>
      </c>
      <c r="S268" s="71" t="s">
        <v>293</v>
      </c>
      <c r="T268" s="68" t="s">
        <v>733</v>
      </c>
      <c r="U268" s="68"/>
      <c r="V268" s="68" t="s">
        <v>827</v>
      </c>
      <c r="W268" s="68"/>
      <c r="X268" s="134">
        <v>1</v>
      </c>
    </row>
    <row r="269" spans="3:24">
      <c r="C269" s="58" t="s">
        <v>27</v>
      </c>
      <c r="D269" s="58" t="s">
        <v>27</v>
      </c>
      <c r="E269" s="120" t="s">
        <v>844</v>
      </c>
      <c r="F269" s="68">
        <v>2672573314</v>
      </c>
      <c r="G269" s="58" t="s">
        <v>650</v>
      </c>
      <c r="H269" s="59">
        <v>26901515</v>
      </c>
      <c r="I269" s="60" t="s">
        <v>725</v>
      </c>
      <c r="J269" s="71" t="s">
        <v>414</v>
      </c>
      <c r="K269" s="70" t="s">
        <v>870</v>
      </c>
      <c r="L269" s="70"/>
      <c r="M269" s="121" t="s">
        <v>868</v>
      </c>
      <c r="N269" s="68" t="s">
        <v>733</v>
      </c>
      <c r="O269" s="132" t="s">
        <v>292</v>
      </c>
      <c r="P269" s="73">
        <v>45962</v>
      </c>
      <c r="Q269" s="71" t="s">
        <v>293</v>
      </c>
      <c r="R269" s="68" t="s">
        <v>733</v>
      </c>
      <c r="S269" s="71" t="s">
        <v>293</v>
      </c>
      <c r="T269" s="68" t="s">
        <v>733</v>
      </c>
      <c r="U269" s="68"/>
      <c r="V269" s="68" t="s">
        <v>827</v>
      </c>
      <c r="W269" s="68"/>
      <c r="X269" s="134">
        <v>1</v>
      </c>
    </row>
    <row r="270" spans="3:24">
      <c r="C270" s="58" t="s">
        <v>27</v>
      </c>
      <c r="D270" s="58" t="s">
        <v>27</v>
      </c>
      <c r="E270" s="120" t="s">
        <v>844</v>
      </c>
      <c r="F270" s="68">
        <v>2672573314</v>
      </c>
      <c r="G270" s="58" t="s">
        <v>651</v>
      </c>
      <c r="H270" s="59">
        <v>29571160</v>
      </c>
      <c r="I270" s="60" t="s">
        <v>725</v>
      </c>
      <c r="J270" s="71" t="s">
        <v>414</v>
      </c>
      <c r="K270" s="70" t="s">
        <v>870</v>
      </c>
      <c r="L270" s="70"/>
      <c r="M270" s="121" t="s">
        <v>868</v>
      </c>
      <c r="N270" s="68" t="s">
        <v>733</v>
      </c>
      <c r="O270" s="132" t="s">
        <v>292</v>
      </c>
      <c r="P270" s="73">
        <v>45962</v>
      </c>
      <c r="Q270" s="71" t="s">
        <v>293</v>
      </c>
      <c r="R270" s="68" t="s">
        <v>733</v>
      </c>
      <c r="S270" s="71" t="s">
        <v>293</v>
      </c>
      <c r="T270" s="68" t="s">
        <v>733</v>
      </c>
      <c r="U270" s="68"/>
      <c r="V270" s="68" t="s">
        <v>827</v>
      </c>
      <c r="W270" s="68"/>
      <c r="X270" s="134">
        <v>1</v>
      </c>
    </row>
    <row r="271" spans="3:24">
      <c r="C271" s="58" t="s">
        <v>27</v>
      </c>
      <c r="D271" s="58" t="s">
        <v>27</v>
      </c>
      <c r="E271" s="120" t="s">
        <v>844</v>
      </c>
      <c r="F271" s="68">
        <v>2672573314</v>
      </c>
      <c r="G271" s="58" t="s">
        <v>652</v>
      </c>
      <c r="H271" s="59">
        <v>19254876</v>
      </c>
      <c r="I271" s="60" t="s">
        <v>725</v>
      </c>
      <c r="J271" s="71" t="s">
        <v>414</v>
      </c>
      <c r="K271" s="70" t="s">
        <v>870</v>
      </c>
      <c r="L271" s="70"/>
      <c r="M271" s="121" t="s">
        <v>868</v>
      </c>
      <c r="N271" s="68" t="s">
        <v>733</v>
      </c>
      <c r="O271" s="132" t="s">
        <v>292</v>
      </c>
      <c r="P271" s="73">
        <v>45962</v>
      </c>
      <c r="Q271" s="71" t="s">
        <v>293</v>
      </c>
      <c r="R271" s="68" t="s">
        <v>733</v>
      </c>
      <c r="S271" s="71" t="s">
        <v>293</v>
      </c>
      <c r="T271" s="68" t="s">
        <v>733</v>
      </c>
      <c r="U271" s="68"/>
      <c r="V271" s="68" t="s">
        <v>827</v>
      </c>
      <c r="W271" s="68"/>
      <c r="X271" s="134">
        <v>1</v>
      </c>
    </row>
    <row r="272" spans="3:24">
      <c r="C272" s="58" t="s">
        <v>27</v>
      </c>
      <c r="D272" s="58" t="s">
        <v>27</v>
      </c>
      <c r="E272" s="120" t="s">
        <v>844</v>
      </c>
      <c r="F272" s="68">
        <v>2672573314</v>
      </c>
      <c r="G272" s="58" t="s">
        <v>659</v>
      </c>
      <c r="H272" s="59">
        <v>29969613</v>
      </c>
      <c r="I272" s="60" t="s">
        <v>725</v>
      </c>
      <c r="J272" s="71" t="s">
        <v>414</v>
      </c>
      <c r="K272" s="70" t="s">
        <v>870</v>
      </c>
      <c r="L272" s="70"/>
      <c r="M272" s="121" t="s">
        <v>868</v>
      </c>
      <c r="N272" s="68" t="s">
        <v>733</v>
      </c>
      <c r="O272" s="132" t="s">
        <v>292</v>
      </c>
      <c r="P272" s="73">
        <v>45962</v>
      </c>
      <c r="Q272" s="71" t="s">
        <v>293</v>
      </c>
      <c r="R272" s="68" t="s">
        <v>733</v>
      </c>
      <c r="S272" s="71" t="s">
        <v>293</v>
      </c>
      <c r="T272" s="68" t="s">
        <v>733</v>
      </c>
      <c r="U272" s="68"/>
      <c r="V272" s="68" t="s">
        <v>827</v>
      </c>
      <c r="W272" s="68"/>
      <c r="X272" s="134">
        <v>1</v>
      </c>
    </row>
    <row r="273" spans="3:24">
      <c r="C273" s="94" t="s">
        <v>27</v>
      </c>
      <c r="D273" s="94" t="s">
        <v>27</v>
      </c>
      <c r="E273" s="123" t="s">
        <v>844</v>
      </c>
      <c r="F273" s="98">
        <v>2672573314</v>
      </c>
      <c r="G273" s="94" t="s">
        <v>653</v>
      </c>
      <c r="H273" s="95">
        <v>24041125</v>
      </c>
      <c r="I273" s="96" t="s">
        <v>725</v>
      </c>
      <c r="J273" s="97" t="s">
        <v>414</v>
      </c>
      <c r="K273" s="94"/>
      <c r="L273" s="94"/>
      <c r="M273" s="97" t="s">
        <v>868</v>
      </c>
      <c r="N273" s="98" t="s">
        <v>733</v>
      </c>
      <c r="O273" s="130" t="s">
        <v>292</v>
      </c>
      <c r="P273" s="99">
        <v>45962</v>
      </c>
      <c r="Q273" s="97" t="s">
        <v>869</v>
      </c>
      <c r="R273" s="98"/>
      <c r="S273" s="97" t="s">
        <v>869</v>
      </c>
      <c r="T273" s="94"/>
      <c r="U273" s="98"/>
      <c r="V273" s="98" t="s">
        <v>827</v>
      </c>
      <c r="W273" s="98" t="s">
        <v>867</v>
      </c>
      <c r="X273" s="134">
        <v>1</v>
      </c>
    </row>
    <row r="274" spans="3:24">
      <c r="C274" s="58" t="s">
        <v>27</v>
      </c>
      <c r="D274" s="58" t="s">
        <v>27</v>
      </c>
      <c r="E274" s="120" t="s">
        <v>844</v>
      </c>
      <c r="F274" s="68">
        <v>2672573314</v>
      </c>
      <c r="G274" s="58" t="s">
        <v>654</v>
      </c>
      <c r="H274" s="59">
        <v>84589609</v>
      </c>
      <c r="I274" s="60" t="s">
        <v>410</v>
      </c>
      <c r="J274" s="71" t="s">
        <v>414</v>
      </c>
      <c r="K274" s="70" t="s">
        <v>870</v>
      </c>
      <c r="L274" s="70"/>
      <c r="M274" s="121" t="s">
        <v>868</v>
      </c>
      <c r="N274" s="68" t="s">
        <v>733</v>
      </c>
      <c r="O274" s="132" t="s">
        <v>292</v>
      </c>
      <c r="P274" s="73">
        <v>45962</v>
      </c>
      <c r="Q274" s="71" t="s">
        <v>293</v>
      </c>
      <c r="R274" s="68" t="s">
        <v>733</v>
      </c>
      <c r="S274" s="71" t="s">
        <v>293</v>
      </c>
      <c r="T274" s="68" t="s">
        <v>733</v>
      </c>
      <c r="U274" s="68"/>
      <c r="V274" s="68" t="s">
        <v>827</v>
      </c>
      <c r="W274" s="68"/>
      <c r="X274" s="134">
        <v>1</v>
      </c>
    </row>
    <row r="275" spans="3:24">
      <c r="C275" s="58" t="s">
        <v>27</v>
      </c>
      <c r="D275" s="58" t="s">
        <v>27</v>
      </c>
      <c r="E275" s="120" t="s">
        <v>844</v>
      </c>
      <c r="F275" s="68">
        <v>2672573314</v>
      </c>
      <c r="G275" s="58" t="s">
        <v>655</v>
      </c>
      <c r="H275" s="59">
        <v>31448244</v>
      </c>
      <c r="I275" s="60" t="s">
        <v>725</v>
      </c>
      <c r="J275" s="71" t="s">
        <v>414</v>
      </c>
      <c r="K275" s="70" t="s">
        <v>870</v>
      </c>
      <c r="L275" s="70"/>
      <c r="M275" s="121" t="s">
        <v>868</v>
      </c>
      <c r="N275" s="68" t="s">
        <v>733</v>
      </c>
      <c r="O275" s="132" t="s">
        <v>292</v>
      </c>
      <c r="P275" s="73">
        <v>45962</v>
      </c>
      <c r="Q275" s="71" t="s">
        <v>293</v>
      </c>
      <c r="R275" s="68" t="s">
        <v>733</v>
      </c>
      <c r="S275" s="71" t="s">
        <v>293</v>
      </c>
      <c r="T275" s="68" t="s">
        <v>733</v>
      </c>
      <c r="U275" s="68"/>
      <c r="V275" s="68" t="s">
        <v>827</v>
      </c>
      <c r="W275" s="68"/>
      <c r="X275" s="134">
        <v>1</v>
      </c>
    </row>
    <row r="276" spans="3:24">
      <c r="C276" s="58" t="s">
        <v>27</v>
      </c>
      <c r="D276" s="58" t="s">
        <v>27</v>
      </c>
      <c r="E276" s="120" t="s">
        <v>844</v>
      </c>
      <c r="F276" s="68">
        <v>2672573314</v>
      </c>
      <c r="G276" s="58" t="s">
        <v>656</v>
      </c>
      <c r="H276" s="59">
        <v>25866051</v>
      </c>
      <c r="I276" s="60" t="s">
        <v>725</v>
      </c>
      <c r="J276" s="71" t="s">
        <v>414</v>
      </c>
      <c r="K276" s="70" t="s">
        <v>870</v>
      </c>
      <c r="L276" s="70"/>
      <c r="M276" s="121" t="s">
        <v>868</v>
      </c>
      <c r="N276" s="68" t="s">
        <v>733</v>
      </c>
      <c r="O276" s="132" t="s">
        <v>292</v>
      </c>
      <c r="P276" s="73">
        <v>45962</v>
      </c>
      <c r="Q276" s="71" t="s">
        <v>293</v>
      </c>
      <c r="R276" s="68" t="s">
        <v>733</v>
      </c>
      <c r="S276" s="71" t="s">
        <v>293</v>
      </c>
      <c r="T276" s="68" t="s">
        <v>733</v>
      </c>
      <c r="U276" s="68"/>
      <c r="V276" s="68" t="s">
        <v>827</v>
      </c>
      <c r="W276" s="68"/>
      <c r="X276" s="134">
        <v>1</v>
      </c>
    </row>
    <row r="277" spans="3:24">
      <c r="C277" s="58" t="s">
        <v>27</v>
      </c>
      <c r="D277" s="58" t="s">
        <v>27</v>
      </c>
      <c r="E277" s="120" t="s">
        <v>844</v>
      </c>
      <c r="F277" s="68">
        <v>2672573314</v>
      </c>
      <c r="G277" s="58" t="s">
        <v>666</v>
      </c>
      <c r="H277" s="59">
        <v>28082163</v>
      </c>
      <c r="I277" s="60" t="s">
        <v>725</v>
      </c>
      <c r="J277" s="71" t="s">
        <v>56</v>
      </c>
      <c r="K277" s="70" t="s">
        <v>870</v>
      </c>
      <c r="L277" s="70"/>
      <c r="M277" s="121" t="s">
        <v>868</v>
      </c>
      <c r="N277" s="68" t="s">
        <v>733</v>
      </c>
      <c r="O277" s="132" t="s">
        <v>292</v>
      </c>
      <c r="P277" s="73">
        <v>45962</v>
      </c>
      <c r="Q277" s="71" t="s">
        <v>293</v>
      </c>
      <c r="R277" s="68" t="s">
        <v>733</v>
      </c>
      <c r="S277" s="71" t="s">
        <v>293</v>
      </c>
      <c r="T277" s="68" t="s">
        <v>733</v>
      </c>
      <c r="U277" s="68"/>
      <c r="V277" s="68" t="s">
        <v>827</v>
      </c>
      <c r="W277" s="68"/>
      <c r="X277" s="134">
        <v>1</v>
      </c>
    </row>
    <row r="278" spans="3:24">
      <c r="C278" s="58" t="s">
        <v>27</v>
      </c>
      <c r="D278" s="58" t="s">
        <v>27</v>
      </c>
      <c r="E278" s="120" t="s">
        <v>844</v>
      </c>
      <c r="F278" s="68">
        <v>2672573314</v>
      </c>
      <c r="G278" s="58" t="s">
        <v>669</v>
      </c>
      <c r="H278" s="59">
        <v>28324753</v>
      </c>
      <c r="I278" s="70" t="s">
        <v>730</v>
      </c>
      <c r="J278" s="71" t="s">
        <v>389</v>
      </c>
      <c r="K278" s="70" t="s">
        <v>870</v>
      </c>
      <c r="L278" s="70"/>
      <c r="M278" s="121" t="s">
        <v>868</v>
      </c>
      <c r="N278" s="68" t="s">
        <v>733</v>
      </c>
      <c r="O278" s="132" t="s">
        <v>292</v>
      </c>
      <c r="P278" s="73">
        <v>45962</v>
      </c>
      <c r="Q278" s="71" t="s">
        <v>293</v>
      </c>
      <c r="R278" s="68" t="s">
        <v>733</v>
      </c>
      <c r="S278" s="71" t="s">
        <v>293</v>
      </c>
      <c r="T278" s="68" t="s">
        <v>733</v>
      </c>
      <c r="U278" s="68"/>
      <c r="V278" s="68" t="s">
        <v>827</v>
      </c>
      <c r="W278" s="68"/>
      <c r="X278" s="134">
        <v>1</v>
      </c>
    </row>
    <row r="279" spans="3:24">
      <c r="C279" s="58" t="s">
        <v>27</v>
      </c>
      <c r="D279" s="58" t="s">
        <v>27</v>
      </c>
      <c r="E279" s="120" t="s">
        <v>844</v>
      </c>
      <c r="F279" s="68">
        <v>2672573314</v>
      </c>
      <c r="G279" s="58" t="s">
        <v>670</v>
      </c>
      <c r="H279" s="59">
        <v>31784740</v>
      </c>
      <c r="I279" s="60" t="s">
        <v>725</v>
      </c>
      <c r="J279" s="71" t="s">
        <v>56</v>
      </c>
      <c r="K279" s="70" t="s">
        <v>870</v>
      </c>
      <c r="L279" s="70"/>
      <c r="M279" s="121" t="s">
        <v>868</v>
      </c>
      <c r="N279" s="68" t="s">
        <v>733</v>
      </c>
      <c r="O279" s="132" t="s">
        <v>292</v>
      </c>
      <c r="P279" s="73">
        <v>45962</v>
      </c>
      <c r="Q279" s="71" t="s">
        <v>293</v>
      </c>
      <c r="R279" s="68" t="s">
        <v>733</v>
      </c>
      <c r="S279" s="71" t="s">
        <v>293</v>
      </c>
      <c r="T279" s="68" t="s">
        <v>733</v>
      </c>
      <c r="U279" s="68"/>
      <c r="V279" s="68" t="s">
        <v>827</v>
      </c>
      <c r="W279" s="68"/>
      <c r="X279" s="134">
        <v>1</v>
      </c>
    </row>
    <row r="280" spans="3:24">
      <c r="C280" s="58" t="s">
        <v>27</v>
      </c>
      <c r="D280" s="58" t="s">
        <v>27</v>
      </c>
      <c r="E280" s="120" t="s">
        <v>844</v>
      </c>
      <c r="F280" s="68">
        <v>2672573314</v>
      </c>
      <c r="G280" s="58" t="s">
        <v>671</v>
      </c>
      <c r="H280" s="59">
        <v>10865648</v>
      </c>
      <c r="I280" s="60" t="s">
        <v>410</v>
      </c>
      <c r="J280" s="71" t="s">
        <v>56</v>
      </c>
      <c r="K280" s="70" t="s">
        <v>870</v>
      </c>
      <c r="L280" s="70"/>
      <c r="M280" s="121" t="s">
        <v>868</v>
      </c>
      <c r="N280" s="68" t="s">
        <v>733</v>
      </c>
      <c r="O280" s="132" t="s">
        <v>292</v>
      </c>
      <c r="P280" s="73">
        <v>45962</v>
      </c>
      <c r="Q280" s="71" t="s">
        <v>293</v>
      </c>
      <c r="R280" s="68" t="s">
        <v>733</v>
      </c>
      <c r="S280" s="71" t="s">
        <v>293</v>
      </c>
      <c r="T280" s="68" t="s">
        <v>733</v>
      </c>
      <c r="U280" s="68"/>
      <c r="V280" s="68" t="s">
        <v>827</v>
      </c>
      <c r="W280" s="68"/>
      <c r="X280" s="134">
        <v>1</v>
      </c>
    </row>
    <row r="281" spans="3:24">
      <c r="C281" s="58" t="s">
        <v>27</v>
      </c>
      <c r="D281" s="58" t="s">
        <v>27</v>
      </c>
      <c r="E281" s="120" t="s">
        <v>844</v>
      </c>
      <c r="F281" s="68">
        <v>2672573314</v>
      </c>
      <c r="G281" s="58" t="s">
        <v>672</v>
      </c>
      <c r="H281" s="59">
        <v>20604349</v>
      </c>
      <c r="I281" s="70" t="s">
        <v>730</v>
      </c>
      <c r="J281" s="71" t="s">
        <v>56</v>
      </c>
      <c r="K281" s="70" t="s">
        <v>870</v>
      </c>
      <c r="L281" s="70"/>
      <c r="M281" s="121" t="s">
        <v>868</v>
      </c>
      <c r="N281" s="68" t="s">
        <v>733</v>
      </c>
      <c r="O281" s="132" t="s">
        <v>292</v>
      </c>
      <c r="P281" s="73">
        <v>45962</v>
      </c>
      <c r="Q281" s="71" t="s">
        <v>293</v>
      </c>
      <c r="R281" s="68" t="s">
        <v>733</v>
      </c>
      <c r="S281" s="71" t="s">
        <v>293</v>
      </c>
      <c r="T281" s="68" t="s">
        <v>733</v>
      </c>
      <c r="U281" s="68"/>
      <c r="V281" s="68" t="s">
        <v>827</v>
      </c>
      <c r="W281" s="68"/>
      <c r="X281" s="134">
        <v>1</v>
      </c>
    </row>
    <row r="282" spans="3:24">
      <c r="C282" s="58" t="s">
        <v>27</v>
      </c>
      <c r="D282" s="58" t="s">
        <v>27</v>
      </c>
      <c r="E282" s="120" t="s">
        <v>844</v>
      </c>
      <c r="F282" s="68">
        <v>2672573314</v>
      </c>
      <c r="G282" s="58" t="s">
        <v>673</v>
      </c>
      <c r="H282" s="59">
        <v>17142406</v>
      </c>
      <c r="I282" s="70" t="s">
        <v>730</v>
      </c>
      <c r="J282" s="71" t="s">
        <v>56</v>
      </c>
      <c r="K282" s="70" t="s">
        <v>870</v>
      </c>
      <c r="L282" s="70"/>
      <c r="M282" s="121" t="s">
        <v>868</v>
      </c>
      <c r="N282" s="68" t="s">
        <v>733</v>
      </c>
      <c r="O282" s="132" t="s">
        <v>292</v>
      </c>
      <c r="P282" s="73">
        <v>45962</v>
      </c>
      <c r="Q282" s="71" t="s">
        <v>293</v>
      </c>
      <c r="R282" s="68" t="s">
        <v>733</v>
      </c>
      <c r="S282" s="71" t="s">
        <v>293</v>
      </c>
      <c r="T282" s="68" t="s">
        <v>733</v>
      </c>
      <c r="U282" s="68"/>
      <c r="V282" s="68" t="s">
        <v>827</v>
      </c>
      <c r="W282" s="68"/>
      <c r="X282" s="134">
        <v>1</v>
      </c>
    </row>
    <row r="283" spans="3:24">
      <c r="C283" s="58" t="s">
        <v>27</v>
      </c>
      <c r="D283" s="58" t="s">
        <v>27</v>
      </c>
      <c r="E283" s="120" t="s">
        <v>844</v>
      </c>
      <c r="F283" s="68">
        <v>2672573314</v>
      </c>
      <c r="G283" s="58" t="s">
        <v>674</v>
      </c>
      <c r="H283" s="59">
        <v>27667420</v>
      </c>
      <c r="I283" s="70" t="s">
        <v>730</v>
      </c>
      <c r="J283" s="71" t="s">
        <v>56</v>
      </c>
      <c r="K283" s="70" t="s">
        <v>870</v>
      </c>
      <c r="L283" s="70"/>
      <c r="M283" s="121" t="s">
        <v>868</v>
      </c>
      <c r="N283" s="68" t="s">
        <v>733</v>
      </c>
      <c r="O283" s="132" t="s">
        <v>292</v>
      </c>
      <c r="P283" s="73">
        <v>45962</v>
      </c>
      <c r="Q283" s="71" t="s">
        <v>293</v>
      </c>
      <c r="R283" s="68" t="s">
        <v>733</v>
      </c>
      <c r="S283" s="71" t="s">
        <v>293</v>
      </c>
      <c r="T283" s="68" t="s">
        <v>733</v>
      </c>
      <c r="U283" s="68"/>
      <c r="V283" s="68" t="s">
        <v>827</v>
      </c>
      <c r="W283" s="68"/>
      <c r="X283" s="134">
        <v>1</v>
      </c>
    </row>
    <row r="284" spans="3:24">
      <c r="C284" s="58" t="s">
        <v>27</v>
      </c>
      <c r="D284" s="58" t="s">
        <v>27</v>
      </c>
      <c r="E284" s="120" t="s">
        <v>844</v>
      </c>
      <c r="F284" s="68">
        <v>2672573314</v>
      </c>
      <c r="G284" s="58" t="s">
        <v>758</v>
      </c>
      <c r="H284" s="59">
        <v>12785597</v>
      </c>
      <c r="I284" s="70" t="s">
        <v>754</v>
      </c>
      <c r="J284" s="71" t="s">
        <v>755</v>
      </c>
      <c r="K284" s="70" t="s">
        <v>870</v>
      </c>
      <c r="L284" s="70"/>
      <c r="M284" s="121" t="s">
        <v>868</v>
      </c>
      <c r="N284" s="68" t="s">
        <v>733</v>
      </c>
      <c r="O284" s="132" t="s">
        <v>293</v>
      </c>
      <c r="P284" s="68" t="s">
        <v>733</v>
      </c>
      <c r="Q284" s="71" t="s">
        <v>293</v>
      </c>
      <c r="R284" s="68" t="s">
        <v>733</v>
      </c>
      <c r="S284" s="71" t="s">
        <v>293</v>
      </c>
      <c r="T284" s="68" t="s">
        <v>733</v>
      </c>
      <c r="U284" s="68"/>
      <c r="V284" s="68" t="s">
        <v>827</v>
      </c>
      <c r="W284" s="68"/>
      <c r="X284" s="134">
        <v>1</v>
      </c>
    </row>
    <row r="285" spans="3:24" s="70" customFormat="1">
      <c r="C285" s="58" t="s">
        <v>27</v>
      </c>
      <c r="D285" s="58" t="s">
        <v>27</v>
      </c>
      <c r="E285" s="120" t="s">
        <v>844</v>
      </c>
      <c r="F285" s="68">
        <v>2672573314</v>
      </c>
      <c r="G285" s="58" t="s">
        <v>759</v>
      </c>
      <c r="H285" s="59">
        <v>17077133</v>
      </c>
      <c r="I285" s="59" t="s">
        <v>754</v>
      </c>
      <c r="J285" s="70" t="s">
        <v>755</v>
      </c>
      <c r="K285" s="70" t="s">
        <v>870</v>
      </c>
      <c r="M285" s="121" t="s">
        <v>868</v>
      </c>
      <c r="N285" s="68" t="s">
        <v>733</v>
      </c>
      <c r="O285" s="132" t="s">
        <v>293</v>
      </c>
      <c r="P285" s="68" t="s">
        <v>733</v>
      </c>
      <c r="Q285" s="71" t="s">
        <v>293</v>
      </c>
      <c r="R285" s="68" t="s">
        <v>733</v>
      </c>
      <c r="S285" s="71" t="s">
        <v>293</v>
      </c>
      <c r="T285" s="68" t="s">
        <v>733</v>
      </c>
      <c r="U285" s="68"/>
      <c r="V285" s="68" t="s">
        <v>827</v>
      </c>
      <c r="W285" s="68"/>
      <c r="X285" s="134">
        <v>1</v>
      </c>
    </row>
    <row r="286" spans="3:24" s="70" customFormat="1">
      <c r="C286" s="58" t="s">
        <v>27</v>
      </c>
      <c r="D286" s="58" t="s">
        <v>27</v>
      </c>
      <c r="E286" s="120" t="s">
        <v>844</v>
      </c>
      <c r="F286" s="68">
        <v>2672573314</v>
      </c>
      <c r="G286" s="58" t="s">
        <v>773</v>
      </c>
      <c r="H286" s="52">
        <v>17390765</v>
      </c>
      <c r="I286" s="60" t="s">
        <v>729</v>
      </c>
      <c r="J286" s="71" t="s">
        <v>727</v>
      </c>
      <c r="K286" s="70" t="s">
        <v>870</v>
      </c>
      <c r="M286" s="121" t="s">
        <v>868</v>
      </c>
      <c r="N286" s="68" t="s">
        <v>733</v>
      </c>
      <c r="O286" s="132" t="s">
        <v>293</v>
      </c>
      <c r="P286" s="68" t="s">
        <v>733</v>
      </c>
      <c r="Q286" s="71" t="s">
        <v>293</v>
      </c>
      <c r="R286" s="68" t="s">
        <v>733</v>
      </c>
      <c r="S286" s="71" t="s">
        <v>293</v>
      </c>
      <c r="T286" s="68" t="s">
        <v>733</v>
      </c>
      <c r="U286" s="68"/>
      <c r="V286" s="68" t="s">
        <v>827</v>
      </c>
      <c r="W286" s="68"/>
      <c r="X286" s="134">
        <v>1</v>
      </c>
    </row>
    <row r="287" spans="3:24" s="70" customFormat="1">
      <c r="C287" s="58" t="s">
        <v>27</v>
      </c>
      <c r="D287" s="58" t="s">
        <v>27</v>
      </c>
      <c r="E287" s="120" t="s">
        <v>844</v>
      </c>
      <c r="F287" s="68">
        <v>2672573314</v>
      </c>
      <c r="G287" s="58" t="s">
        <v>774</v>
      </c>
      <c r="H287" s="52">
        <v>28070903</v>
      </c>
      <c r="I287" s="60" t="s">
        <v>729</v>
      </c>
      <c r="J287" s="71" t="s">
        <v>727</v>
      </c>
      <c r="K287" s="70" t="s">
        <v>870</v>
      </c>
      <c r="M287" s="121" t="s">
        <v>868</v>
      </c>
      <c r="N287" s="68" t="s">
        <v>733</v>
      </c>
      <c r="O287" s="132" t="s">
        <v>293</v>
      </c>
      <c r="P287" s="68" t="s">
        <v>733</v>
      </c>
      <c r="Q287" s="71" t="s">
        <v>293</v>
      </c>
      <c r="R287" s="68" t="s">
        <v>733</v>
      </c>
      <c r="S287" s="71" t="s">
        <v>293</v>
      </c>
      <c r="T287" s="68" t="s">
        <v>733</v>
      </c>
      <c r="U287" s="68"/>
      <c r="V287" s="68" t="s">
        <v>827</v>
      </c>
      <c r="W287" s="68"/>
      <c r="X287" s="134">
        <v>1</v>
      </c>
    </row>
    <row r="288" spans="3:24" s="70" customFormat="1">
      <c r="C288" s="58" t="s">
        <v>27</v>
      </c>
      <c r="D288" s="58" t="s">
        <v>27</v>
      </c>
      <c r="E288" s="120" t="s">
        <v>844</v>
      </c>
      <c r="F288" s="68">
        <v>2672573314</v>
      </c>
      <c r="G288" s="58" t="s">
        <v>777</v>
      </c>
      <c r="H288" s="52">
        <v>16095522</v>
      </c>
      <c r="I288" s="60" t="s">
        <v>729</v>
      </c>
      <c r="J288" s="71" t="s">
        <v>55</v>
      </c>
      <c r="K288" s="70" t="s">
        <v>870</v>
      </c>
      <c r="M288" s="121" t="s">
        <v>868</v>
      </c>
      <c r="N288" s="68" t="s">
        <v>733</v>
      </c>
      <c r="O288" s="132" t="s">
        <v>293</v>
      </c>
      <c r="P288" s="68" t="s">
        <v>733</v>
      </c>
      <c r="Q288" s="71" t="s">
        <v>293</v>
      </c>
      <c r="R288" s="68" t="s">
        <v>733</v>
      </c>
      <c r="S288" s="71" t="s">
        <v>293</v>
      </c>
      <c r="T288" s="68" t="s">
        <v>733</v>
      </c>
      <c r="U288" s="68"/>
      <c r="V288" s="68" t="s">
        <v>827</v>
      </c>
      <c r="W288" s="68"/>
      <c r="X288" s="134">
        <v>1</v>
      </c>
    </row>
    <row r="289" spans="3:24" s="70" customFormat="1">
      <c r="C289" s="58" t="s">
        <v>27</v>
      </c>
      <c r="D289" s="58" t="s">
        <v>27</v>
      </c>
      <c r="E289" s="120" t="s">
        <v>844</v>
      </c>
      <c r="F289" s="68">
        <v>2672573314</v>
      </c>
      <c r="G289" s="58" t="s">
        <v>791</v>
      </c>
      <c r="H289" s="52">
        <v>21482200</v>
      </c>
      <c r="I289" s="60" t="s">
        <v>729</v>
      </c>
      <c r="J289" s="71" t="s">
        <v>55</v>
      </c>
      <c r="K289" s="70" t="s">
        <v>870</v>
      </c>
      <c r="M289" s="121" t="s">
        <v>868</v>
      </c>
      <c r="N289" s="68" t="s">
        <v>733</v>
      </c>
      <c r="O289" s="132" t="s">
        <v>293</v>
      </c>
      <c r="P289" s="68" t="s">
        <v>733</v>
      </c>
      <c r="Q289" s="71" t="s">
        <v>293</v>
      </c>
      <c r="R289" s="68" t="s">
        <v>733</v>
      </c>
      <c r="S289" s="71" t="s">
        <v>293</v>
      </c>
      <c r="T289" s="68" t="s">
        <v>733</v>
      </c>
      <c r="U289" s="68"/>
      <c r="V289" s="68" t="s">
        <v>827</v>
      </c>
      <c r="W289" s="68"/>
      <c r="X289" s="134">
        <v>1</v>
      </c>
    </row>
    <row r="290" spans="3:24" s="70" customFormat="1">
      <c r="C290" s="58" t="s">
        <v>27</v>
      </c>
      <c r="D290" s="58" t="s">
        <v>27</v>
      </c>
      <c r="E290" s="120" t="s">
        <v>844</v>
      </c>
      <c r="F290" s="68">
        <v>2672573314</v>
      </c>
      <c r="G290" s="58" t="s">
        <v>797</v>
      </c>
      <c r="H290" s="59">
        <v>25019808</v>
      </c>
      <c r="I290" s="60" t="s">
        <v>729</v>
      </c>
      <c r="J290" s="71" t="s">
        <v>55</v>
      </c>
      <c r="K290" s="70" t="s">
        <v>870</v>
      </c>
      <c r="M290" s="121" t="s">
        <v>868</v>
      </c>
      <c r="N290" s="68" t="s">
        <v>733</v>
      </c>
      <c r="O290" s="132" t="s">
        <v>293</v>
      </c>
      <c r="P290" s="68" t="s">
        <v>733</v>
      </c>
      <c r="Q290" s="71" t="s">
        <v>293</v>
      </c>
      <c r="R290" s="68" t="s">
        <v>733</v>
      </c>
      <c r="S290" s="71" t="s">
        <v>293</v>
      </c>
      <c r="T290" s="68" t="s">
        <v>733</v>
      </c>
      <c r="U290" s="68"/>
      <c r="V290" s="68" t="s">
        <v>827</v>
      </c>
      <c r="W290" s="68"/>
      <c r="X290" s="134">
        <v>1</v>
      </c>
    </row>
    <row r="291" spans="3:24" s="70" customFormat="1">
      <c r="C291" s="58" t="s">
        <v>27</v>
      </c>
      <c r="D291" s="58" t="s">
        <v>27</v>
      </c>
      <c r="E291" s="120" t="s">
        <v>844</v>
      </c>
      <c r="F291" s="68">
        <v>2672573314</v>
      </c>
      <c r="G291" s="58" t="s">
        <v>813</v>
      </c>
      <c r="H291" s="59">
        <v>15931722</v>
      </c>
      <c r="I291" s="60" t="s">
        <v>725</v>
      </c>
      <c r="J291" s="70" t="s">
        <v>727</v>
      </c>
      <c r="K291" s="70" t="s">
        <v>870</v>
      </c>
      <c r="M291" s="121" t="s">
        <v>868</v>
      </c>
      <c r="N291" s="68" t="s">
        <v>733</v>
      </c>
      <c r="O291" s="132" t="s">
        <v>293</v>
      </c>
      <c r="P291" s="68" t="s">
        <v>733</v>
      </c>
      <c r="Q291" s="71" t="s">
        <v>293</v>
      </c>
      <c r="R291" s="68" t="s">
        <v>733</v>
      </c>
      <c r="S291" s="71" t="s">
        <v>293</v>
      </c>
      <c r="T291" s="68" t="s">
        <v>733</v>
      </c>
      <c r="U291" s="68"/>
      <c r="V291" s="68" t="s">
        <v>827</v>
      </c>
      <c r="W291" s="68"/>
      <c r="X291" s="134">
        <v>1</v>
      </c>
    </row>
    <row r="292" spans="3:24" s="70" customFormat="1">
      <c r="C292" s="94" t="s">
        <v>27</v>
      </c>
      <c r="D292" s="94" t="s">
        <v>27</v>
      </c>
      <c r="E292" s="123" t="s">
        <v>844</v>
      </c>
      <c r="F292" s="98">
        <v>2672573314</v>
      </c>
      <c r="G292" s="94" t="s">
        <v>815</v>
      </c>
      <c r="H292" s="95">
        <v>25258063</v>
      </c>
      <c r="I292" s="96" t="s">
        <v>725</v>
      </c>
      <c r="J292" s="94" t="s">
        <v>727</v>
      </c>
      <c r="K292" s="94" t="s">
        <v>870</v>
      </c>
      <c r="L292" s="94"/>
      <c r="M292" s="97" t="s">
        <v>868</v>
      </c>
      <c r="N292" s="98" t="s">
        <v>733</v>
      </c>
      <c r="O292" s="130" t="s">
        <v>293</v>
      </c>
      <c r="P292" s="98" t="s">
        <v>733</v>
      </c>
      <c r="Q292" s="97" t="s">
        <v>293</v>
      </c>
      <c r="R292" s="98" t="s">
        <v>733</v>
      </c>
      <c r="S292" s="97" t="s">
        <v>293</v>
      </c>
      <c r="T292" s="98" t="s">
        <v>733</v>
      </c>
      <c r="U292" s="98"/>
      <c r="V292" s="98" t="s">
        <v>827</v>
      </c>
      <c r="W292" s="98" t="s">
        <v>915</v>
      </c>
      <c r="X292" s="139">
        <v>1</v>
      </c>
    </row>
    <row r="293" spans="3:24" s="70" customFormat="1">
      <c r="C293" s="58" t="s">
        <v>27</v>
      </c>
      <c r="D293" s="58" t="s">
        <v>27</v>
      </c>
      <c r="E293" s="120" t="s">
        <v>844</v>
      </c>
      <c r="F293" s="68">
        <v>2672573314</v>
      </c>
      <c r="G293" s="58" t="s">
        <v>816</v>
      </c>
      <c r="H293" s="59">
        <v>29584813</v>
      </c>
      <c r="I293" s="60" t="s">
        <v>725</v>
      </c>
      <c r="J293" s="70" t="s">
        <v>727</v>
      </c>
      <c r="K293" s="70" t="s">
        <v>870</v>
      </c>
      <c r="M293" s="121" t="s">
        <v>868</v>
      </c>
      <c r="N293" s="68" t="s">
        <v>733</v>
      </c>
      <c r="O293" s="132" t="s">
        <v>293</v>
      </c>
      <c r="P293" s="68" t="s">
        <v>733</v>
      </c>
      <c r="Q293" s="71" t="s">
        <v>293</v>
      </c>
      <c r="R293" s="68" t="s">
        <v>733</v>
      </c>
      <c r="S293" s="71" t="s">
        <v>293</v>
      </c>
      <c r="T293" s="68" t="s">
        <v>733</v>
      </c>
      <c r="U293" s="68"/>
      <c r="V293" s="68" t="s">
        <v>827</v>
      </c>
      <c r="W293" s="68"/>
      <c r="X293" s="134">
        <v>1</v>
      </c>
    </row>
    <row r="294" spans="3:24" s="70" customFormat="1">
      <c r="C294" s="58" t="s">
        <v>27</v>
      </c>
      <c r="D294" s="58" t="s">
        <v>27</v>
      </c>
      <c r="E294" s="120" t="s">
        <v>844</v>
      </c>
      <c r="F294" s="68">
        <v>2672573314</v>
      </c>
      <c r="G294" s="58" t="s">
        <v>817</v>
      </c>
      <c r="H294" s="59">
        <v>29898115</v>
      </c>
      <c r="I294" s="60" t="s">
        <v>725</v>
      </c>
      <c r="J294" s="70" t="s">
        <v>727</v>
      </c>
      <c r="K294" s="70" t="s">
        <v>870</v>
      </c>
      <c r="M294" s="121" t="s">
        <v>868</v>
      </c>
      <c r="N294" s="68" t="s">
        <v>733</v>
      </c>
      <c r="O294" s="132" t="s">
        <v>293</v>
      </c>
      <c r="P294" s="68" t="s">
        <v>733</v>
      </c>
      <c r="Q294" s="71" t="s">
        <v>293</v>
      </c>
      <c r="R294" s="68" t="s">
        <v>733</v>
      </c>
      <c r="S294" s="71" t="s">
        <v>293</v>
      </c>
      <c r="T294" s="68" t="s">
        <v>733</v>
      </c>
      <c r="U294" s="68"/>
      <c r="V294" s="68" t="s">
        <v>827</v>
      </c>
      <c r="W294" s="68"/>
      <c r="X294" s="134">
        <v>1</v>
      </c>
    </row>
    <row r="295" spans="3:24" s="70" customFormat="1">
      <c r="C295" s="94" t="s">
        <v>27</v>
      </c>
      <c r="D295" s="94" t="s">
        <v>27</v>
      </c>
      <c r="E295" s="123" t="s">
        <v>844</v>
      </c>
      <c r="F295" s="98">
        <v>2672573314</v>
      </c>
      <c r="G295" s="94" t="s">
        <v>818</v>
      </c>
      <c r="H295" s="95">
        <v>30349965</v>
      </c>
      <c r="I295" s="96" t="s">
        <v>725</v>
      </c>
      <c r="J295" s="94" t="s">
        <v>727</v>
      </c>
      <c r="K295" s="94"/>
      <c r="L295" s="94"/>
      <c r="M295" s="97" t="s">
        <v>868</v>
      </c>
      <c r="N295" s="98" t="s">
        <v>733</v>
      </c>
      <c r="O295" s="130" t="s">
        <v>869</v>
      </c>
      <c r="P295" s="99" t="s">
        <v>733</v>
      </c>
      <c r="Q295" s="97" t="s">
        <v>869</v>
      </c>
      <c r="R295" s="99" t="s">
        <v>733</v>
      </c>
      <c r="S295" s="97" t="s">
        <v>869</v>
      </c>
      <c r="T295" s="98" t="s">
        <v>733</v>
      </c>
      <c r="U295" s="98"/>
      <c r="V295" s="98" t="s">
        <v>827</v>
      </c>
      <c r="W295" s="98" t="s">
        <v>825</v>
      </c>
      <c r="X295" s="134">
        <v>1</v>
      </c>
    </row>
    <row r="296" spans="3:24" s="70" customFormat="1">
      <c r="C296" s="58" t="s">
        <v>27</v>
      </c>
      <c r="D296" s="58" t="s">
        <v>27</v>
      </c>
      <c r="E296" s="120" t="s">
        <v>844</v>
      </c>
      <c r="F296" s="68">
        <v>2672573314</v>
      </c>
      <c r="G296" s="58" t="s">
        <v>909</v>
      </c>
      <c r="H296" s="59">
        <v>29725386</v>
      </c>
      <c r="I296" s="60" t="s">
        <v>729</v>
      </c>
      <c r="J296" s="71" t="s">
        <v>53</v>
      </c>
      <c r="K296" s="70" t="s">
        <v>899</v>
      </c>
      <c r="M296" s="121" t="s">
        <v>868</v>
      </c>
      <c r="N296" s="68" t="s">
        <v>733</v>
      </c>
      <c r="O296" s="132" t="s">
        <v>293</v>
      </c>
      <c r="P296" s="73" t="s">
        <v>733</v>
      </c>
      <c r="Q296" s="71" t="s">
        <v>293</v>
      </c>
      <c r="R296" s="68" t="s">
        <v>733</v>
      </c>
      <c r="S296" s="71" t="s">
        <v>293</v>
      </c>
      <c r="T296" s="68" t="s">
        <v>733</v>
      </c>
      <c r="U296" s="68"/>
      <c r="V296" s="68" t="s">
        <v>827</v>
      </c>
      <c r="W296" s="68"/>
      <c r="X296" s="134">
        <v>1</v>
      </c>
    </row>
    <row r="297" spans="3:24">
      <c r="C297" s="58" t="s">
        <v>27</v>
      </c>
      <c r="D297" s="58" t="s">
        <v>27</v>
      </c>
      <c r="E297" s="120" t="s">
        <v>844</v>
      </c>
      <c r="F297" s="68">
        <v>2672573314</v>
      </c>
      <c r="G297" s="58" t="s">
        <v>820</v>
      </c>
      <c r="H297" s="59">
        <v>12385103</v>
      </c>
      <c r="I297" s="60" t="s">
        <v>730</v>
      </c>
      <c r="J297" s="70" t="s">
        <v>56</v>
      </c>
      <c r="K297" s="70" t="s">
        <v>870</v>
      </c>
      <c r="L297" s="70"/>
      <c r="M297" s="121" t="s">
        <v>868</v>
      </c>
      <c r="N297" s="68" t="s">
        <v>733</v>
      </c>
      <c r="O297" s="132" t="s">
        <v>293</v>
      </c>
      <c r="P297" s="68" t="s">
        <v>733</v>
      </c>
      <c r="Q297" s="71" t="s">
        <v>293</v>
      </c>
      <c r="R297" s="68" t="s">
        <v>733</v>
      </c>
      <c r="S297" s="71" t="s">
        <v>293</v>
      </c>
      <c r="T297" s="68" t="s">
        <v>733</v>
      </c>
      <c r="U297" s="68"/>
      <c r="V297" s="68" t="s">
        <v>827</v>
      </c>
      <c r="W297" s="68"/>
      <c r="X297" s="134">
        <v>1</v>
      </c>
    </row>
    <row r="298" spans="3:24">
      <c r="C298" s="58" t="s">
        <v>20</v>
      </c>
      <c r="D298" s="58" t="s">
        <v>20</v>
      </c>
      <c r="E298" s="120" t="s">
        <v>844</v>
      </c>
      <c r="F298" s="68">
        <v>2672573314</v>
      </c>
      <c r="G298" s="58" t="s">
        <v>705</v>
      </c>
      <c r="H298" s="59">
        <v>27890716</v>
      </c>
      <c r="I298" s="60" t="s">
        <v>706</v>
      </c>
      <c r="J298" s="71" t="s">
        <v>56</v>
      </c>
      <c r="K298" s="70" t="s">
        <v>837</v>
      </c>
      <c r="L298" s="70"/>
      <c r="M298" s="121" t="s">
        <v>868</v>
      </c>
      <c r="N298" s="68" t="s">
        <v>733</v>
      </c>
      <c r="O298" s="132" t="s">
        <v>292</v>
      </c>
      <c r="P298" s="73">
        <v>45992</v>
      </c>
      <c r="Q298" s="71" t="s">
        <v>293</v>
      </c>
      <c r="R298" s="68" t="s">
        <v>733</v>
      </c>
      <c r="S298" s="71" t="s">
        <v>293</v>
      </c>
      <c r="T298" s="68" t="s">
        <v>733</v>
      </c>
      <c r="U298" s="68"/>
      <c r="V298" s="68" t="s">
        <v>827</v>
      </c>
      <c r="W298" s="68"/>
      <c r="X298" s="134">
        <v>1</v>
      </c>
    </row>
    <row r="299" spans="3:24">
      <c r="C299" s="58" t="s">
        <v>20</v>
      </c>
      <c r="D299" s="58" t="s">
        <v>20</v>
      </c>
      <c r="E299" s="120" t="s">
        <v>844</v>
      </c>
      <c r="F299" s="68">
        <v>2672573314</v>
      </c>
      <c r="G299" s="58" t="s">
        <v>707</v>
      </c>
      <c r="H299" s="59">
        <v>25332341</v>
      </c>
      <c r="I299" s="60" t="s">
        <v>410</v>
      </c>
      <c r="J299" s="71" t="s">
        <v>56</v>
      </c>
      <c r="K299" s="70" t="s">
        <v>837</v>
      </c>
      <c r="L299" s="70"/>
      <c r="M299" s="121" t="s">
        <v>868</v>
      </c>
      <c r="N299" s="68" t="s">
        <v>733</v>
      </c>
      <c r="O299" s="132" t="s">
        <v>292</v>
      </c>
      <c r="P299" s="73">
        <v>45992</v>
      </c>
      <c r="Q299" s="71" t="s">
        <v>293</v>
      </c>
      <c r="R299" s="68" t="s">
        <v>733</v>
      </c>
      <c r="S299" s="71" t="s">
        <v>293</v>
      </c>
      <c r="T299" s="68" t="s">
        <v>733</v>
      </c>
      <c r="U299" s="68"/>
      <c r="V299" s="68" t="s">
        <v>827</v>
      </c>
      <c r="W299" s="68"/>
      <c r="X299" s="134">
        <v>1</v>
      </c>
    </row>
    <row r="300" spans="3:24">
      <c r="C300" s="58" t="s">
        <v>20</v>
      </c>
      <c r="D300" s="58" t="s">
        <v>20</v>
      </c>
      <c r="E300" s="120" t="s">
        <v>844</v>
      </c>
      <c r="F300" s="68">
        <v>2672573314</v>
      </c>
      <c r="G300" s="58" t="s">
        <v>500</v>
      </c>
      <c r="H300" s="59">
        <v>20700330</v>
      </c>
      <c r="I300" s="70" t="s">
        <v>730</v>
      </c>
      <c r="J300" s="71" t="s">
        <v>53</v>
      </c>
      <c r="K300" s="70" t="s">
        <v>837</v>
      </c>
      <c r="L300" s="70"/>
      <c r="M300" s="121" t="s">
        <v>292</v>
      </c>
      <c r="N300" s="128">
        <v>45748</v>
      </c>
      <c r="O300" s="132" t="s">
        <v>292</v>
      </c>
      <c r="P300" s="73">
        <v>45962</v>
      </c>
      <c r="Q300" s="71" t="s">
        <v>293</v>
      </c>
      <c r="R300" s="68" t="s">
        <v>733</v>
      </c>
      <c r="S300" s="71" t="s">
        <v>293</v>
      </c>
      <c r="T300" s="68" t="s">
        <v>733</v>
      </c>
      <c r="U300" s="68"/>
      <c r="V300" s="68" t="s">
        <v>827</v>
      </c>
      <c r="W300" s="68"/>
      <c r="X300" s="134">
        <v>1</v>
      </c>
    </row>
    <row r="301" spans="3:24">
      <c r="C301" s="58" t="s">
        <v>20</v>
      </c>
      <c r="D301" s="58" t="s">
        <v>20</v>
      </c>
      <c r="E301" s="120" t="s">
        <v>844</v>
      </c>
      <c r="F301" s="68">
        <v>2672573314</v>
      </c>
      <c r="G301" s="58" t="s">
        <v>499</v>
      </c>
      <c r="H301" s="59">
        <v>30371821</v>
      </c>
      <c r="I301" s="70" t="s">
        <v>730</v>
      </c>
      <c r="J301" s="71" t="s">
        <v>53</v>
      </c>
      <c r="K301" s="70" t="s">
        <v>837</v>
      </c>
      <c r="L301" s="70"/>
      <c r="M301" s="121" t="s">
        <v>292</v>
      </c>
      <c r="N301" s="128">
        <v>45748</v>
      </c>
      <c r="O301" s="132" t="s">
        <v>292</v>
      </c>
      <c r="P301" s="73">
        <v>45962</v>
      </c>
      <c r="Q301" s="71" t="s">
        <v>293</v>
      </c>
      <c r="R301" s="68" t="s">
        <v>733</v>
      </c>
      <c r="S301" s="71" t="s">
        <v>293</v>
      </c>
      <c r="T301" s="68" t="s">
        <v>733</v>
      </c>
      <c r="U301" s="68"/>
      <c r="V301" s="68" t="s">
        <v>827</v>
      </c>
      <c r="W301" s="68"/>
      <c r="X301" s="134">
        <v>1</v>
      </c>
    </row>
    <row r="302" spans="3:24">
      <c r="C302" s="58" t="s">
        <v>20</v>
      </c>
      <c r="D302" s="58" t="s">
        <v>20</v>
      </c>
      <c r="E302" s="120" t="s">
        <v>844</v>
      </c>
      <c r="F302" s="68">
        <v>2672573314</v>
      </c>
      <c r="G302" s="58" t="s">
        <v>498</v>
      </c>
      <c r="H302" s="59">
        <v>19260284</v>
      </c>
      <c r="I302" s="70" t="s">
        <v>730</v>
      </c>
      <c r="J302" s="71" t="s">
        <v>56</v>
      </c>
      <c r="K302" s="70" t="s">
        <v>837</v>
      </c>
      <c r="L302" s="70"/>
      <c r="M302" s="121" t="s">
        <v>292</v>
      </c>
      <c r="N302" s="128">
        <v>45748</v>
      </c>
      <c r="O302" s="132" t="s">
        <v>292</v>
      </c>
      <c r="P302" s="73">
        <v>45962</v>
      </c>
      <c r="Q302" s="71" t="s">
        <v>293</v>
      </c>
      <c r="R302" s="68" t="s">
        <v>733</v>
      </c>
      <c r="S302" s="71" t="s">
        <v>293</v>
      </c>
      <c r="T302" s="68" t="s">
        <v>733</v>
      </c>
      <c r="U302" s="68"/>
      <c r="V302" s="68" t="s">
        <v>827</v>
      </c>
      <c r="W302" s="68"/>
      <c r="X302" s="134">
        <v>1</v>
      </c>
    </row>
    <row r="303" spans="3:24">
      <c r="C303" s="58" t="s">
        <v>20</v>
      </c>
      <c r="D303" s="58" t="s">
        <v>20</v>
      </c>
      <c r="E303" s="120" t="s">
        <v>844</v>
      </c>
      <c r="F303" s="68">
        <v>2672573314</v>
      </c>
      <c r="G303" s="58" t="s">
        <v>708</v>
      </c>
      <c r="H303" s="59">
        <v>27013056</v>
      </c>
      <c r="I303" s="70" t="s">
        <v>730</v>
      </c>
      <c r="J303" s="71" t="s">
        <v>56</v>
      </c>
      <c r="K303" s="70" t="s">
        <v>837</v>
      </c>
      <c r="L303" s="70"/>
      <c r="M303" s="121" t="s">
        <v>292</v>
      </c>
      <c r="N303" s="128">
        <v>45748</v>
      </c>
      <c r="O303" s="132" t="s">
        <v>292</v>
      </c>
      <c r="P303" s="73">
        <v>45962</v>
      </c>
      <c r="Q303" s="71" t="s">
        <v>293</v>
      </c>
      <c r="R303" s="68" t="s">
        <v>733</v>
      </c>
      <c r="S303" s="71" t="s">
        <v>293</v>
      </c>
      <c r="T303" s="68" t="s">
        <v>733</v>
      </c>
      <c r="U303" s="68"/>
      <c r="V303" s="68" t="s">
        <v>827</v>
      </c>
      <c r="W303" s="68"/>
      <c r="X303" s="134">
        <v>1</v>
      </c>
    </row>
    <row r="304" spans="3:24">
      <c r="C304" s="58" t="s">
        <v>20</v>
      </c>
      <c r="D304" s="58" t="s">
        <v>20</v>
      </c>
      <c r="E304" s="120" t="s">
        <v>844</v>
      </c>
      <c r="F304" s="68">
        <v>2672573314</v>
      </c>
      <c r="G304" s="58" t="s">
        <v>497</v>
      </c>
      <c r="H304" s="59">
        <v>26145382</v>
      </c>
      <c r="I304" s="70" t="s">
        <v>730</v>
      </c>
      <c r="J304" s="71" t="s">
        <v>56</v>
      </c>
      <c r="K304" s="70" t="s">
        <v>837</v>
      </c>
      <c r="L304" s="70"/>
      <c r="M304" s="121" t="s">
        <v>292</v>
      </c>
      <c r="N304" s="128">
        <v>45748</v>
      </c>
      <c r="O304" s="132" t="s">
        <v>292</v>
      </c>
      <c r="P304" s="73">
        <v>45962</v>
      </c>
      <c r="Q304" s="71" t="s">
        <v>293</v>
      </c>
      <c r="R304" s="68" t="s">
        <v>733</v>
      </c>
      <c r="S304" s="71" t="s">
        <v>293</v>
      </c>
      <c r="T304" s="68" t="s">
        <v>733</v>
      </c>
      <c r="U304" s="68"/>
      <c r="V304" s="68" t="s">
        <v>827</v>
      </c>
      <c r="W304" s="68"/>
      <c r="X304" s="134">
        <v>1</v>
      </c>
    </row>
    <row r="305" spans="3:24">
      <c r="C305" s="58" t="s">
        <v>20</v>
      </c>
      <c r="D305" s="58" t="s">
        <v>20</v>
      </c>
      <c r="E305" s="120" t="s">
        <v>844</v>
      </c>
      <c r="F305" s="68">
        <v>2672573314</v>
      </c>
      <c r="G305" s="58" t="s">
        <v>496</v>
      </c>
      <c r="H305" s="59">
        <v>25534806</v>
      </c>
      <c r="I305" s="70" t="s">
        <v>730</v>
      </c>
      <c r="J305" s="71" t="s">
        <v>56</v>
      </c>
      <c r="K305" s="70" t="s">
        <v>837</v>
      </c>
      <c r="L305" s="70"/>
      <c r="M305" s="121" t="s">
        <v>292</v>
      </c>
      <c r="N305" s="128">
        <v>45748</v>
      </c>
      <c r="O305" s="132" t="s">
        <v>292</v>
      </c>
      <c r="P305" s="73">
        <v>45962</v>
      </c>
      <c r="Q305" s="71" t="s">
        <v>293</v>
      </c>
      <c r="R305" s="68" t="s">
        <v>733</v>
      </c>
      <c r="S305" s="71" t="s">
        <v>293</v>
      </c>
      <c r="T305" s="68" t="s">
        <v>733</v>
      </c>
      <c r="U305" s="68"/>
      <c r="V305" s="68" t="s">
        <v>827</v>
      </c>
      <c r="W305" s="68"/>
      <c r="X305" s="134">
        <v>1</v>
      </c>
    </row>
    <row r="306" spans="3:24">
      <c r="C306" s="58" t="s">
        <v>20</v>
      </c>
      <c r="D306" s="58" t="s">
        <v>20</v>
      </c>
      <c r="E306" s="120" t="s">
        <v>844</v>
      </c>
      <c r="F306" s="68">
        <v>2672573314</v>
      </c>
      <c r="G306" s="58" t="s">
        <v>495</v>
      </c>
      <c r="H306" s="59">
        <v>20041117</v>
      </c>
      <c r="I306" s="60" t="s">
        <v>725</v>
      </c>
      <c r="J306" s="71" t="s">
        <v>56</v>
      </c>
      <c r="K306" s="70" t="s">
        <v>837</v>
      </c>
      <c r="L306" s="70"/>
      <c r="M306" s="121" t="s">
        <v>292</v>
      </c>
      <c r="N306" s="128">
        <v>45748</v>
      </c>
      <c r="O306" s="132" t="s">
        <v>292</v>
      </c>
      <c r="P306" s="73">
        <v>45962</v>
      </c>
      <c r="Q306" s="71" t="s">
        <v>293</v>
      </c>
      <c r="R306" s="68" t="s">
        <v>733</v>
      </c>
      <c r="S306" s="71" t="s">
        <v>293</v>
      </c>
      <c r="T306" s="68" t="s">
        <v>733</v>
      </c>
      <c r="U306" s="68"/>
      <c r="V306" s="68" t="s">
        <v>827</v>
      </c>
      <c r="W306" s="68"/>
      <c r="X306" s="134">
        <v>1</v>
      </c>
    </row>
    <row r="307" spans="3:24">
      <c r="C307" s="58" t="s">
        <v>20</v>
      </c>
      <c r="D307" s="58" t="s">
        <v>20</v>
      </c>
      <c r="E307" s="120" t="s">
        <v>844</v>
      </c>
      <c r="F307" s="68">
        <v>2672573314</v>
      </c>
      <c r="G307" s="58" t="s">
        <v>591</v>
      </c>
      <c r="H307" s="59">
        <v>14414733</v>
      </c>
      <c r="I307" s="70" t="s">
        <v>730</v>
      </c>
      <c r="J307" s="71" t="s">
        <v>53</v>
      </c>
      <c r="K307" s="70" t="s">
        <v>837</v>
      </c>
      <c r="L307" s="70"/>
      <c r="M307" s="121" t="s">
        <v>868</v>
      </c>
      <c r="N307" s="68" t="s">
        <v>733</v>
      </c>
      <c r="O307" s="132" t="s">
        <v>292</v>
      </c>
      <c r="P307" s="73">
        <v>45962</v>
      </c>
      <c r="Q307" s="71" t="s">
        <v>293</v>
      </c>
      <c r="R307" s="68" t="s">
        <v>733</v>
      </c>
      <c r="S307" s="71" t="s">
        <v>293</v>
      </c>
      <c r="T307" s="68" t="s">
        <v>733</v>
      </c>
      <c r="U307" s="68"/>
      <c r="V307" s="68" t="s">
        <v>827</v>
      </c>
      <c r="W307" s="68"/>
      <c r="X307" s="134">
        <v>1</v>
      </c>
    </row>
    <row r="308" spans="3:24">
      <c r="C308" s="58" t="s">
        <v>20</v>
      </c>
      <c r="D308" s="58" t="s">
        <v>20</v>
      </c>
      <c r="E308" s="120" t="s">
        <v>844</v>
      </c>
      <c r="F308" s="68">
        <v>2672573314</v>
      </c>
      <c r="G308" s="58" t="s">
        <v>592</v>
      </c>
      <c r="H308" s="59">
        <v>25954162</v>
      </c>
      <c r="I308" s="60" t="s">
        <v>725</v>
      </c>
      <c r="J308" s="71" t="s">
        <v>53</v>
      </c>
      <c r="K308" s="70" t="s">
        <v>837</v>
      </c>
      <c r="L308" s="70"/>
      <c r="M308" s="121" t="s">
        <v>868</v>
      </c>
      <c r="N308" s="68" t="s">
        <v>733</v>
      </c>
      <c r="O308" s="132" t="s">
        <v>292</v>
      </c>
      <c r="P308" s="73">
        <v>45962</v>
      </c>
      <c r="Q308" s="71" t="s">
        <v>293</v>
      </c>
      <c r="R308" s="68" t="s">
        <v>733</v>
      </c>
      <c r="S308" s="71" t="s">
        <v>293</v>
      </c>
      <c r="T308" s="68" t="s">
        <v>733</v>
      </c>
      <c r="U308" s="68"/>
      <c r="V308" s="68" t="s">
        <v>827</v>
      </c>
      <c r="W308" s="68"/>
      <c r="X308" s="134">
        <v>1</v>
      </c>
    </row>
    <row r="309" spans="3:24">
      <c r="C309" s="58" t="s">
        <v>20</v>
      </c>
      <c r="D309" s="58" t="s">
        <v>20</v>
      </c>
      <c r="E309" s="120" t="s">
        <v>844</v>
      </c>
      <c r="F309" s="68">
        <v>2672573314</v>
      </c>
      <c r="G309" s="58" t="s">
        <v>593</v>
      </c>
      <c r="H309" s="59">
        <v>28339838</v>
      </c>
      <c r="I309" s="60" t="s">
        <v>725</v>
      </c>
      <c r="J309" s="71" t="s">
        <v>53</v>
      </c>
      <c r="K309" s="70" t="s">
        <v>837</v>
      </c>
      <c r="L309" s="70"/>
      <c r="M309" s="121" t="s">
        <v>868</v>
      </c>
      <c r="N309" s="68" t="s">
        <v>733</v>
      </c>
      <c r="O309" s="132" t="s">
        <v>292</v>
      </c>
      <c r="P309" s="73">
        <v>45962</v>
      </c>
      <c r="Q309" s="71" t="s">
        <v>293</v>
      </c>
      <c r="R309" s="68" t="s">
        <v>733</v>
      </c>
      <c r="S309" s="71" t="s">
        <v>293</v>
      </c>
      <c r="T309" s="68" t="s">
        <v>733</v>
      </c>
      <c r="U309" s="68"/>
      <c r="V309" s="68" t="s">
        <v>827</v>
      </c>
      <c r="W309" s="68"/>
      <c r="X309" s="134">
        <v>1</v>
      </c>
    </row>
    <row r="310" spans="3:24">
      <c r="C310" s="58" t="s">
        <v>20</v>
      </c>
      <c r="D310" s="58" t="s">
        <v>20</v>
      </c>
      <c r="E310" s="120" t="s">
        <v>844</v>
      </c>
      <c r="F310" s="68">
        <v>2672573314</v>
      </c>
      <c r="G310" s="58" t="s">
        <v>594</v>
      </c>
      <c r="H310" s="59">
        <v>24793644</v>
      </c>
      <c r="I310" s="60" t="s">
        <v>725</v>
      </c>
      <c r="J310" s="71" t="s">
        <v>53</v>
      </c>
      <c r="K310" s="70" t="s">
        <v>837</v>
      </c>
      <c r="L310" s="70"/>
      <c r="M310" s="121" t="s">
        <v>868</v>
      </c>
      <c r="N310" s="68" t="s">
        <v>733</v>
      </c>
      <c r="O310" s="132" t="s">
        <v>292</v>
      </c>
      <c r="P310" s="73">
        <v>45962</v>
      </c>
      <c r="Q310" s="71" t="s">
        <v>293</v>
      </c>
      <c r="R310" s="68" t="s">
        <v>733</v>
      </c>
      <c r="S310" s="71" t="s">
        <v>293</v>
      </c>
      <c r="T310" s="68" t="s">
        <v>733</v>
      </c>
      <c r="U310" s="68"/>
      <c r="V310" s="68" t="s">
        <v>827</v>
      </c>
      <c r="W310" s="68"/>
      <c r="X310" s="134">
        <v>1</v>
      </c>
    </row>
    <row r="311" spans="3:24">
      <c r="C311" s="58" t="s">
        <v>20</v>
      </c>
      <c r="D311" s="58" t="s">
        <v>20</v>
      </c>
      <c r="E311" s="120" t="s">
        <v>844</v>
      </c>
      <c r="F311" s="68">
        <v>2672573314</v>
      </c>
      <c r="G311" s="58" t="s">
        <v>595</v>
      </c>
      <c r="H311" s="59">
        <v>18850224</v>
      </c>
      <c r="I311" s="60" t="s">
        <v>725</v>
      </c>
      <c r="J311" s="71" t="s">
        <v>56</v>
      </c>
      <c r="K311" s="70" t="s">
        <v>837</v>
      </c>
      <c r="L311" s="70"/>
      <c r="M311" s="121" t="s">
        <v>868</v>
      </c>
      <c r="N311" s="68" t="s">
        <v>733</v>
      </c>
      <c r="O311" s="132" t="s">
        <v>292</v>
      </c>
      <c r="P311" s="73">
        <v>45992</v>
      </c>
      <c r="Q311" s="71" t="s">
        <v>293</v>
      </c>
      <c r="R311" s="68" t="s">
        <v>733</v>
      </c>
      <c r="S311" s="71" t="s">
        <v>293</v>
      </c>
      <c r="T311" s="68" t="s">
        <v>733</v>
      </c>
      <c r="U311" s="68"/>
      <c r="V311" s="68" t="s">
        <v>827</v>
      </c>
      <c r="W311" s="68"/>
      <c r="X311" s="134">
        <v>1</v>
      </c>
    </row>
    <row r="312" spans="3:24">
      <c r="C312" s="58" t="s">
        <v>20</v>
      </c>
      <c r="D312" s="58" t="s">
        <v>20</v>
      </c>
      <c r="E312" s="120" t="s">
        <v>844</v>
      </c>
      <c r="F312" s="68">
        <v>2672573314</v>
      </c>
      <c r="G312" s="58" t="s">
        <v>596</v>
      </c>
      <c r="H312" s="59">
        <v>22597048</v>
      </c>
      <c r="I312" s="60" t="s">
        <v>725</v>
      </c>
      <c r="J312" s="71" t="s">
        <v>56</v>
      </c>
      <c r="K312" s="70" t="s">
        <v>837</v>
      </c>
      <c r="L312" s="70"/>
      <c r="M312" s="121" t="s">
        <v>868</v>
      </c>
      <c r="N312" s="68" t="s">
        <v>733</v>
      </c>
      <c r="O312" s="132" t="s">
        <v>292</v>
      </c>
      <c r="P312" s="73">
        <v>45992</v>
      </c>
      <c r="Q312" s="71" t="s">
        <v>293</v>
      </c>
      <c r="R312" s="68" t="s">
        <v>733</v>
      </c>
      <c r="S312" s="71" t="s">
        <v>293</v>
      </c>
      <c r="T312" s="68" t="s">
        <v>733</v>
      </c>
      <c r="U312" s="68"/>
      <c r="V312" s="68" t="s">
        <v>827</v>
      </c>
      <c r="W312" s="68"/>
      <c r="X312" s="134">
        <v>1</v>
      </c>
    </row>
    <row r="313" spans="3:24">
      <c r="C313" s="58" t="s">
        <v>20</v>
      </c>
      <c r="D313" s="58" t="s">
        <v>20</v>
      </c>
      <c r="E313" s="120" t="s">
        <v>844</v>
      </c>
      <c r="F313" s="68">
        <v>2672573314</v>
      </c>
      <c r="G313" s="58" t="s">
        <v>597</v>
      </c>
      <c r="H313" s="59">
        <v>19182485</v>
      </c>
      <c r="I313" s="60" t="s">
        <v>725</v>
      </c>
      <c r="J313" s="71" t="s">
        <v>56</v>
      </c>
      <c r="K313" s="70" t="s">
        <v>837</v>
      </c>
      <c r="L313" s="70"/>
      <c r="M313" s="121" t="s">
        <v>868</v>
      </c>
      <c r="N313" s="68" t="s">
        <v>733</v>
      </c>
      <c r="O313" s="132" t="s">
        <v>292</v>
      </c>
      <c r="P313" s="73">
        <v>45962</v>
      </c>
      <c r="Q313" s="71" t="s">
        <v>293</v>
      </c>
      <c r="R313" s="68" t="s">
        <v>733</v>
      </c>
      <c r="S313" s="71" t="s">
        <v>293</v>
      </c>
      <c r="T313" s="68" t="s">
        <v>733</v>
      </c>
      <c r="U313" s="68"/>
      <c r="V313" s="68" t="s">
        <v>827</v>
      </c>
      <c r="W313" s="68"/>
      <c r="X313" s="134">
        <v>1</v>
      </c>
    </row>
    <row r="314" spans="3:24">
      <c r="C314" s="58" t="s">
        <v>20</v>
      </c>
      <c r="D314" s="58" t="s">
        <v>20</v>
      </c>
      <c r="E314" s="120" t="s">
        <v>844</v>
      </c>
      <c r="F314" s="68">
        <v>2672573314</v>
      </c>
      <c r="G314" s="58" t="s">
        <v>598</v>
      </c>
      <c r="H314" s="59">
        <v>19357155</v>
      </c>
      <c r="I314" s="60" t="s">
        <v>725</v>
      </c>
      <c r="J314" s="71" t="s">
        <v>56</v>
      </c>
      <c r="K314" s="70" t="s">
        <v>837</v>
      </c>
      <c r="L314" s="70"/>
      <c r="M314" s="121" t="s">
        <v>868</v>
      </c>
      <c r="N314" s="68" t="s">
        <v>733</v>
      </c>
      <c r="O314" s="132" t="s">
        <v>292</v>
      </c>
      <c r="P314" s="73">
        <v>45962</v>
      </c>
      <c r="Q314" s="71" t="s">
        <v>293</v>
      </c>
      <c r="R314" s="68" t="s">
        <v>733</v>
      </c>
      <c r="S314" s="71" t="s">
        <v>293</v>
      </c>
      <c r="T314" s="68" t="s">
        <v>733</v>
      </c>
      <c r="U314" s="68"/>
      <c r="V314" s="68" t="s">
        <v>827</v>
      </c>
      <c r="W314" s="68"/>
      <c r="X314" s="134">
        <v>1</v>
      </c>
    </row>
    <row r="315" spans="3:24">
      <c r="C315" s="58" t="s">
        <v>20</v>
      </c>
      <c r="D315" s="58" t="s">
        <v>20</v>
      </c>
      <c r="E315" s="120" t="s">
        <v>844</v>
      </c>
      <c r="F315" s="68">
        <v>2672573314</v>
      </c>
      <c r="G315" s="58" t="s">
        <v>599</v>
      </c>
      <c r="H315" s="59">
        <v>20641121</v>
      </c>
      <c r="I315" s="70" t="s">
        <v>730</v>
      </c>
      <c r="J315" s="71" t="s">
        <v>56</v>
      </c>
      <c r="K315" s="70" t="s">
        <v>837</v>
      </c>
      <c r="L315" s="70"/>
      <c r="M315" s="121" t="s">
        <v>868</v>
      </c>
      <c r="N315" s="68" t="s">
        <v>733</v>
      </c>
      <c r="O315" s="132" t="s">
        <v>292</v>
      </c>
      <c r="P315" s="73">
        <v>45962</v>
      </c>
      <c r="Q315" s="71" t="s">
        <v>293</v>
      </c>
      <c r="R315" s="68" t="s">
        <v>733</v>
      </c>
      <c r="S315" s="71" t="s">
        <v>293</v>
      </c>
      <c r="T315" s="68" t="s">
        <v>733</v>
      </c>
      <c r="U315" s="68"/>
      <c r="V315" s="68" t="s">
        <v>827</v>
      </c>
      <c r="W315" s="68"/>
      <c r="X315" s="134">
        <v>1</v>
      </c>
    </row>
    <row r="316" spans="3:24">
      <c r="C316" s="58" t="s">
        <v>20</v>
      </c>
      <c r="D316" s="58" t="s">
        <v>20</v>
      </c>
      <c r="E316" s="120" t="s">
        <v>844</v>
      </c>
      <c r="F316" s="68">
        <v>2672573314</v>
      </c>
      <c r="G316" s="58" t="s">
        <v>600</v>
      </c>
      <c r="H316" s="59">
        <v>26400401</v>
      </c>
      <c r="I316" s="60" t="s">
        <v>725</v>
      </c>
      <c r="J316" s="71" t="s">
        <v>56</v>
      </c>
      <c r="K316" s="70" t="s">
        <v>837</v>
      </c>
      <c r="L316" s="70"/>
      <c r="M316" s="121" t="s">
        <v>868</v>
      </c>
      <c r="N316" s="68" t="s">
        <v>733</v>
      </c>
      <c r="O316" s="132" t="s">
        <v>292</v>
      </c>
      <c r="P316" s="73">
        <v>45962</v>
      </c>
      <c r="Q316" s="71" t="s">
        <v>293</v>
      </c>
      <c r="R316" s="68" t="s">
        <v>733</v>
      </c>
      <c r="S316" s="71" t="s">
        <v>293</v>
      </c>
      <c r="T316" s="68" t="s">
        <v>733</v>
      </c>
      <c r="U316" s="68"/>
      <c r="V316" s="68" t="s">
        <v>827</v>
      </c>
      <c r="W316" s="68"/>
      <c r="X316" s="134">
        <v>1</v>
      </c>
    </row>
    <row r="317" spans="3:24">
      <c r="C317" s="58" t="s">
        <v>20</v>
      </c>
      <c r="D317" s="58" t="s">
        <v>20</v>
      </c>
      <c r="E317" s="120" t="s">
        <v>844</v>
      </c>
      <c r="F317" s="68">
        <v>2672573314</v>
      </c>
      <c r="G317" s="58" t="s">
        <v>601</v>
      </c>
      <c r="H317" s="59">
        <v>23959129</v>
      </c>
      <c r="I317" s="70" t="s">
        <v>730</v>
      </c>
      <c r="J317" s="71" t="s">
        <v>56</v>
      </c>
      <c r="K317" s="70" t="s">
        <v>837</v>
      </c>
      <c r="L317" s="70"/>
      <c r="M317" s="121" t="s">
        <v>868</v>
      </c>
      <c r="N317" s="68" t="s">
        <v>733</v>
      </c>
      <c r="O317" s="132" t="s">
        <v>292</v>
      </c>
      <c r="P317" s="73">
        <v>45992</v>
      </c>
      <c r="Q317" s="71" t="s">
        <v>293</v>
      </c>
      <c r="R317" s="68" t="s">
        <v>733</v>
      </c>
      <c r="S317" s="71" t="s">
        <v>293</v>
      </c>
      <c r="T317" s="68" t="s">
        <v>733</v>
      </c>
      <c r="U317" s="68"/>
      <c r="V317" s="68" t="s">
        <v>827</v>
      </c>
      <c r="W317" s="68"/>
      <c r="X317" s="134">
        <v>1</v>
      </c>
    </row>
    <row r="318" spans="3:24">
      <c r="C318" s="58" t="s">
        <v>20</v>
      </c>
      <c r="D318" s="58" t="s">
        <v>20</v>
      </c>
      <c r="E318" s="120" t="s">
        <v>844</v>
      </c>
      <c r="F318" s="68">
        <v>2672573314</v>
      </c>
      <c r="G318" s="58" t="s">
        <v>602</v>
      </c>
      <c r="H318" s="59">
        <v>19542063</v>
      </c>
      <c r="I318" s="60" t="s">
        <v>725</v>
      </c>
      <c r="J318" s="71" t="s">
        <v>56</v>
      </c>
      <c r="K318" s="70" t="s">
        <v>837</v>
      </c>
      <c r="L318" s="70"/>
      <c r="M318" s="121" t="s">
        <v>868</v>
      </c>
      <c r="N318" s="68" t="s">
        <v>733</v>
      </c>
      <c r="O318" s="132" t="s">
        <v>292</v>
      </c>
      <c r="P318" s="73">
        <v>45992</v>
      </c>
      <c r="Q318" s="71" t="s">
        <v>293</v>
      </c>
      <c r="R318" s="68" t="s">
        <v>733</v>
      </c>
      <c r="S318" s="71" t="s">
        <v>293</v>
      </c>
      <c r="T318" s="68" t="s">
        <v>733</v>
      </c>
      <c r="U318" s="68"/>
      <c r="V318" s="68" t="s">
        <v>827</v>
      </c>
      <c r="W318" s="68"/>
      <c r="X318" s="134">
        <v>1</v>
      </c>
    </row>
    <row r="319" spans="3:24">
      <c r="C319" s="58" t="s">
        <v>20</v>
      </c>
      <c r="D319" s="58" t="s">
        <v>20</v>
      </c>
      <c r="E319" s="120" t="s">
        <v>844</v>
      </c>
      <c r="F319" s="68">
        <v>2672573314</v>
      </c>
      <c r="G319" s="58" t="s">
        <v>603</v>
      </c>
      <c r="H319" s="59">
        <v>24793601</v>
      </c>
      <c r="I319" s="70" t="s">
        <v>730</v>
      </c>
      <c r="J319" s="71" t="s">
        <v>56</v>
      </c>
      <c r="K319" s="70" t="s">
        <v>837</v>
      </c>
      <c r="L319" s="70"/>
      <c r="M319" s="121" t="s">
        <v>868</v>
      </c>
      <c r="N319" s="68" t="s">
        <v>733</v>
      </c>
      <c r="O319" s="132" t="s">
        <v>292</v>
      </c>
      <c r="P319" s="73">
        <v>45992</v>
      </c>
      <c r="Q319" s="71" t="s">
        <v>293</v>
      </c>
      <c r="R319" s="68" t="s">
        <v>733</v>
      </c>
      <c r="S319" s="71" t="s">
        <v>293</v>
      </c>
      <c r="T319" s="68" t="s">
        <v>733</v>
      </c>
      <c r="U319" s="68"/>
      <c r="V319" s="68" t="s">
        <v>827</v>
      </c>
      <c r="W319" s="68"/>
      <c r="X319" s="134">
        <v>1</v>
      </c>
    </row>
    <row r="320" spans="3:24">
      <c r="C320" s="58" t="s">
        <v>20</v>
      </c>
      <c r="D320" s="58" t="s">
        <v>20</v>
      </c>
      <c r="E320" s="120" t="s">
        <v>844</v>
      </c>
      <c r="F320" s="68">
        <v>2672573314</v>
      </c>
      <c r="G320" s="58" t="s">
        <v>604</v>
      </c>
      <c r="H320" s="59">
        <v>29920753</v>
      </c>
      <c r="I320" s="60" t="s">
        <v>725</v>
      </c>
      <c r="J320" s="71" t="s">
        <v>56</v>
      </c>
      <c r="K320" s="70" t="s">
        <v>837</v>
      </c>
      <c r="L320" s="70"/>
      <c r="M320" s="121" t="s">
        <v>868</v>
      </c>
      <c r="N320" s="68" t="s">
        <v>733</v>
      </c>
      <c r="O320" s="132" t="s">
        <v>292</v>
      </c>
      <c r="P320" s="73">
        <v>45962</v>
      </c>
      <c r="Q320" s="71" t="s">
        <v>293</v>
      </c>
      <c r="R320" s="68" t="s">
        <v>733</v>
      </c>
      <c r="S320" s="71" t="s">
        <v>293</v>
      </c>
      <c r="T320" s="68" t="s">
        <v>733</v>
      </c>
      <c r="U320" s="68"/>
      <c r="V320" s="68" t="s">
        <v>827</v>
      </c>
      <c r="W320" s="68"/>
      <c r="X320" s="134">
        <v>1</v>
      </c>
    </row>
    <row r="321" spans="3:24">
      <c r="C321" s="58" t="s">
        <v>20</v>
      </c>
      <c r="D321" s="58" t="s">
        <v>20</v>
      </c>
      <c r="E321" s="120" t="s">
        <v>844</v>
      </c>
      <c r="F321" s="68">
        <v>2672573314</v>
      </c>
      <c r="G321" s="58" t="s">
        <v>605</v>
      </c>
      <c r="H321" s="59">
        <v>25954652</v>
      </c>
      <c r="I321" s="70" t="s">
        <v>730</v>
      </c>
      <c r="J321" s="71" t="s">
        <v>56</v>
      </c>
      <c r="K321" s="70" t="s">
        <v>837</v>
      </c>
      <c r="L321" s="70"/>
      <c r="M321" s="121" t="s">
        <v>868</v>
      </c>
      <c r="N321" s="68" t="s">
        <v>733</v>
      </c>
      <c r="O321" s="132" t="s">
        <v>292</v>
      </c>
      <c r="P321" s="73">
        <v>45992</v>
      </c>
      <c r="Q321" s="71" t="s">
        <v>293</v>
      </c>
      <c r="R321" s="68" t="s">
        <v>733</v>
      </c>
      <c r="S321" s="71" t="s">
        <v>293</v>
      </c>
      <c r="T321" s="68" t="s">
        <v>733</v>
      </c>
      <c r="U321" s="68"/>
      <c r="V321" s="68" t="s">
        <v>827</v>
      </c>
      <c r="W321" s="68"/>
      <c r="X321" s="134">
        <v>1</v>
      </c>
    </row>
    <row r="322" spans="3:24">
      <c r="C322" s="58" t="s">
        <v>20</v>
      </c>
      <c r="D322" s="58" t="s">
        <v>20</v>
      </c>
      <c r="E322" s="120" t="s">
        <v>844</v>
      </c>
      <c r="F322" s="68">
        <v>2672573314</v>
      </c>
      <c r="G322" s="58" t="s">
        <v>606</v>
      </c>
      <c r="H322" s="59">
        <v>24247265</v>
      </c>
      <c r="I322" s="60" t="s">
        <v>725</v>
      </c>
      <c r="J322" s="71" t="s">
        <v>56</v>
      </c>
      <c r="K322" s="70" t="s">
        <v>837</v>
      </c>
      <c r="L322" s="70"/>
      <c r="M322" s="121" t="s">
        <v>868</v>
      </c>
      <c r="N322" s="68" t="s">
        <v>733</v>
      </c>
      <c r="O322" s="132" t="s">
        <v>292</v>
      </c>
      <c r="P322" s="73">
        <v>45992</v>
      </c>
      <c r="Q322" s="71" t="s">
        <v>293</v>
      </c>
      <c r="R322" s="68" t="s">
        <v>733</v>
      </c>
      <c r="S322" s="71" t="s">
        <v>293</v>
      </c>
      <c r="T322" s="68" t="s">
        <v>733</v>
      </c>
      <c r="U322" s="68"/>
      <c r="V322" s="68" t="s">
        <v>827</v>
      </c>
      <c r="W322" s="68"/>
      <c r="X322" s="134">
        <v>1</v>
      </c>
    </row>
    <row r="323" spans="3:24">
      <c r="C323" s="58" t="s">
        <v>20</v>
      </c>
      <c r="D323" s="58" t="s">
        <v>20</v>
      </c>
      <c r="E323" s="120" t="s">
        <v>844</v>
      </c>
      <c r="F323" s="68">
        <v>2672573314</v>
      </c>
      <c r="G323" s="58" t="s">
        <v>607</v>
      </c>
      <c r="H323" s="59">
        <v>19356963</v>
      </c>
      <c r="I323" s="70" t="s">
        <v>730</v>
      </c>
      <c r="J323" s="71" t="s">
        <v>56</v>
      </c>
      <c r="K323" s="70" t="s">
        <v>837</v>
      </c>
      <c r="L323" s="70"/>
      <c r="M323" s="121" t="s">
        <v>868</v>
      </c>
      <c r="N323" s="68" t="s">
        <v>733</v>
      </c>
      <c r="O323" s="132" t="s">
        <v>292</v>
      </c>
      <c r="P323" s="73">
        <v>45962</v>
      </c>
      <c r="Q323" s="71" t="s">
        <v>293</v>
      </c>
      <c r="R323" s="68" t="s">
        <v>733</v>
      </c>
      <c r="S323" s="71" t="s">
        <v>293</v>
      </c>
      <c r="T323" s="68" t="s">
        <v>733</v>
      </c>
      <c r="U323" s="68"/>
      <c r="V323" s="68" t="s">
        <v>827</v>
      </c>
      <c r="W323" s="68"/>
      <c r="X323" s="134">
        <v>1</v>
      </c>
    </row>
    <row r="324" spans="3:24">
      <c r="C324" s="58" t="s">
        <v>20</v>
      </c>
      <c r="D324" s="58" t="s">
        <v>20</v>
      </c>
      <c r="E324" s="120" t="s">
        <v>844</v>
      </c>
      <c r="F324" s="68">
        <v>2672573314</v>
      </c>
      <c r="G324" s="58" t="s">
        <v>608</v>
      </c>
      <c r="H324" s="59">
        <v>25419378</v>
      </c>
      <c r="I324" s="60" t="s">
        <v>725</v>
      </c>
      <c r="J324" s="71" t="s">
        <v>56</v>
      </c>
      <c r="K324" s="70" t="s">
        <v>837</v>
      </c>
      <c r="L324" s="70"/>
      <c r="M324" s="121" t="s">
        <v>868</v>
      </c>
      <c r="N324" s="68" t="s">
        <v>733</v>
      </c>
      <c r="O324" s="132" t="s">
        <v>292</v>
      </c>
      <c r="P324" s="73">
        <v>45962</v>
      </c>
      <c r="Q324" s="71" t="s">
        <v>293</v>
      </c>
      <c r="R324" s="68" t="s">
        <v>733</v>
      </c>
      <c r="S324" s="71" t="s">
        <v>293</v>
      </c>
      <c r="T324" s="68" t="s">
        <v>733</v>
      </c>
      <c r="U324" s="68"/>
      <c r="V324" s="68" t="s">
        <v>827</v>
      </c>
      <c r="W324" s="68"/>
      <c r="X324" s="134">
        <v>1</v>
      </c>
    </row>
    <row r="325" spans="3:24">
      <c r="C325" s="58" t="s">
        <v>20</v>
      </c>
      <c r="D325" s="58" t="s">
        <v>20</v>
      </c>
      <c r="E325" s="120" t="s">
        <v>844</v>
      </c>
      <c r="F325" s="68">
        <v>2672573314</v>
      </c>
      <c r="G325" s="58" t="s">
        <v>609</v>
      </c>
      <c r="H325" s="59">
        <v>21139746</v>
      </c>
      <c r="I325" s="70" t="s">
        <v>730</v>
      </c>
      <c r="J325" s="71" t="s">
        <v>56</v>
      </c>
      <c r="K325" s="70" t="s">
        <v>837</v>
      </c>
      <c r="L325" s="70"/>
      <c r="M325" s="121" t="s">
        <v>868</v>
      </c>
      <c r="N325" s="68" t="s">
        <v>733</v>
      </c>
      <c r="O325" s="132" t="s">
        <v>292</v>
      </c>
      <c r="P325" s="73">
        <v>45992</v>
      </c>
      <c r="Q325" s="71" t="s">
        <v>293</v>
      </c>
      <c r="R325" s="68" t="s">
        <v>733</v>
      </c>
      <c r="S325" s="71" t="s">
        <v>293</v>
      </c>
      <c r="T325" s="68" t="s">
        <v>733</v>
      </c>
      <c r="U325" s="68"/>
      <c r="V325" s="68" t="s">
        <v>827</v>
      </c>
      <c r="W325" s="68"/>
      <c r="X325" s="134">
        <v>1</v>
      </c>
    </row>
    <row r="326" spans="3:24">
      <c r="C326" s="58" t="s">
        <v>20</v>
      </c>
      <c r="D326" s="58" t="s">
        <v>20</v>
      </c>
      <c r="E326" s="120" t="s">
        <v>844</v>
      </c>
      <c r="F326" s="68">
        <v>2672573314</v>
      </c>
      <c r="G326" s="58" t="s">
        <v>610</v>
      </c>
      <c r="H326" s="59">
        <v>30241946</v>
      </c>
      <c r="I326" s="60" t="s">
        <v>725</v>
      </c>
      <c r="J326" s="71" t="s">
        <v>56</v>
      </c>
      <c r="K326" s="70" t="s">
        <v>837</v>
      </c>
      <c r="L326" s="70"/>
      <c r="M326" s="121" t="s">
        <v>868</v>
      </c>
      <c r="N326" s="68" t="s">
        <v>733</v>
      </c>
      <c r="O326" s="132" t="s">
        <v>292</v>
      </c>
      <c r="P326" s="73">
        <v>45992</v>
      </c>
      <c r="Q326" s="71" t="s">
        <v>293</v>
      </c>
      <c r="R326" s="68" t="s">
        <v>733</v>
      </c>
      <c r="S326" s="71" t="s">
        <v>293</v>
      </c>
      <c r="T326" s="68" t="s">
        <v>733</v>
      </c>
      <c r="U326" s="68"/>
      <c r="V326" s="68" t="s">
        <v>827</v>
      </c>
      <c r="W326" s="68"/>
      <c r="X326" s="134">
        <v>1</v>
      </c>
    </row>
    <row r="327" spans="3:24">
      <c r="C327" s="58" t="s">
        <v>20</v>
      </c>
      <c r="D327" s="58" t="s">
        <v>20</v>
      </c>
      <c r="E327" s="120" t="s">
        <v>844</v>
      </c>
      <c r="F327" s="68">
        <v>2672573314</v>
      </c>
      <c r="G327" s="58" t="s">
        <v>611</v>
      </c>
      <c r="H327" s="59">
        <v>29525224</v>
      </c>
      <c r="I327" s="70" t="s">
        <v>730</v>
      </c>
      <c r="J327" s="71" t="s">
        <v>56</v>
      </c>
      <c r="K327" s="70" t="s">
        <v>837</v>
      </c>
      <c r="L327" s="70"/>
      <c r="M327" s="121" t="s">
        <v>868</v>
      </c>
      <c r="N327" s="68" t="s">
        <v>733</v>
      </c>
      <c r="O327" s="132" t="s">
        <v>292</v>
      </c>
      <c r="P327" s="73">
        <v>45992</v>
      </c>
      <c r="Q327" s="71" t="s">
        <v>293</v>
      </c>
      <c r="R327" s="68" t="s">
        <v>733</v>
      </c>
      <c r="S327" s="71" t="s">
        <v>293</v>
      </c>
      <c r="T327" s="68" t="s">
        <v>733</v>
      </c>
      <c r="U327" s="68"/>
      <c r="V327" s="68" t="s">
        <v>827</v>
      </c>
      <c r="W327" s="68"/>
      <c r="X327" s="134">
        <v>1</v>
      </c>
    </row>
    <row r="328" spans="3:24">
      <c r="C328" s="58" t="s">
        <v>20</v>
      </c>
      <c r="D328" s="58" t="s">
        <v>20</v>
      </c>
      <c r="E328" s="120" t="s">
        <v>844</v>
      </c>
      <c r="F328" s="68">
        <v>2672573314</v>
      </c>
      <c r="G328" s="58" t="s">
        <v>709</v>
      </c>
      <c r="H328" s="59">
        <v>31903946</v>
      </c>
      <c r="I328" s="60" t="s">
        <v>725</v>
      </c>
      <c r="J328" s="71" t="s">
        <v>56</v>
      </c>
      <c r="K328" s="70" t="s">
        <v>837</v>
      </c>
      <c r="L328" s="70"/>
      <c r="M328" s="121" t="s">
        <v>868</v>
      </c>
      <c r="N328" s="68" t="s">
        <v>733</v>
      </c>
      <c r="O328" s="132" t="s">
        <v>292</v>
      </c>
      <c r="P328" s="73">
        <v>45992</v>
      </c>
      <c r="Q328" s="71" t="s">
        <v>293</v>
      </c>
      <c r="R328" s="68" t="s">
        <v>733</v>
      </c>
      <c r="S328" s="71" t="s">
        <v>293</v>
      </c>
      <c r="T328" s="68" t="s">
        <v>733</v>
      </c>
      <c r="U328" s="68"/>
      <c r="V328" s="68" t="s">
        <v>827</v>
      </c>
      <c r="W328" s="68"/>
      <c r="X328" s="134">
        <v>1</v>
      </c>
    </row>
    <row r="329" spans="3:24">
      <c r="C329" s="58" t="s">
        <v>20</v>
      </c>
      <c r="D329" s="58" t="s">
        <v>20</v>
      </c>
      <c r="E329" s="120" t="s">
        <v>844</v>
      </c>
      <c r="F329" s="68">
        <v>2672573314</v>
      </c>
      <c r="G329" s="58" t="s">
        <v>612</v>
      </c>
      <c r="H329" s="59">
        <v>10992362</v>
      </c>
      <c r="I329" s="70" t="s">
        <v>730</v>
      </c>
      <c r="J329" s="71" t="s">
        <v>56</v>
      </c>
      <c r="K329" s="70" t="s">
        <v>837</v>
      </c>
      <c r="L329" s="70"/>
      <c r="M329" s="121" t="s">
        <v>868</v>
      </c>
      <c r="N329" s="68" t="s">
        <v>733</v>
      </c>
      <c r="O329" s="132" t="s">
        <v>292</v>
      </c>
      <c r="P329" s="73">
        <v>45992</v>
      </c>
      <c r="Q329" s="71" t="s">
        <v>293</v>
      </c>
      <c r="R329" s="68" t="s">
        <v>733</v>
      </c>
      <c r="S329" s="71" t="s">
        <v>293</v>
      </c>
      <c r="T329" s="68" t="s">
        <v>733</v>
      </c>
      <c r="U329" s="68"/>
      <c r="V329" s="68" t="s">
        <v>827</v>
      </c>
      <c r="W329" s="68"/>
      <c r="X329" s="134">
        <v>1</v>
      </c>
    </row>
    <row r="330" spans="3:24" s="70" customFormat="1">
      <c r="C330" s="58" t="s">
        <v>20</v>
      </c>
      <c r="D330" s="58" t="s">
        <v>20</v>
      </c>
      <c r="E330" s="120" t="s">
        <v>844</v>
      </c>
      <c r="F330" s="68">
        <v>2672573314</v>
      </c>
      <c r="G330" s="58" t="s">
        <v>416</v>
      </c>
      <c r="H330" s="59">
        <v>12029969</v>
      </c>
      <c r="I330" s="60" t="s">
        <v>410</v>
      </c>
      <c r="J330" s="71" t="s">
        <v>56</v>
      </c>
      <c r="K330" s="70" t="s">
        <v>837</v>
      </c>
      <c r="M330" s="121" t="s">
        <v>868</v>
      </c>
      <c r="N330" s="68" t="s">
        <v>733</v>
      </c>
      <c r="O330" s="132" t="s">
        <v>292</v>
      </c>
      <c r="P330" s="73">
        <v>45962</v>
      </c>
      <c r="Q330" s="71" t="s">
        <v>293</v>
      </c>
      <c r="R330" s="68" t="s">
        <v>733</v>
      </c>
      <c r="S330" s="71" t="s">
        <v>293</v>
      </c>
      <c r="T330" s="68" t="s">
        <v>733</v>
      </c>
      <c r="U330" s="68"/>
      <c r="V330" s="68" t="s">
        <v>827</v>
      </c>
      <c r="W330" s="68"/>
      <c r="X330" s="134">
        <v>1</v>
      </c>
    </row>
    <row r="331" spans="3:24" s="70" customFormat="1">
      <c r="C331" s="58" t="s">
        <v>20</v>
      </c>
      <c r="D331" s="58" t="s">
        <v>20</v>
      </c>
      <c r="E331" s="120" t="s">
        <v>844</v>
      </c>
      <c r="F331" s="68">
        <v>2672573314</v>
      </c>
      <c r="G331" s="58" t="s">
        <v>782</v>
      </c>
      <c r="H331" s="52">
        <v>18322387</v>
      </c>
      <c r="I331" s="60" t="s">
        <v>729</v>
      </c>
      <c r="J331" s="71" t="s">
        <v>55</v>
      </c>
      <c r="K331" s="70" t="s">
        <v>837</v>
      </c>
      <c r="M331" s="121" t="s">
        <v>868</v>
      </c>
      <c r="N331" s="68" t="s">
        <v>733</v>
      </c>
      <c r="O331" s="132" t="s">
        <v>293</v>
      </c>
      <c r="P331" s="68" t="s">
        <v>733</v>
      </c>
      <c r="Q331" s="71" t="s">
        <v>293</v>
      </c>
      <c r="R331" s="68" t="s">
        <v>733</v>
      </c>
      <c r="S331" s="71" t="s">
        <v>293</v>
      </c>
      <c r="T331" s="68" t="s">
        <v>733</v>
      </c>
      <c r="U331" s="68"/>
      <c r="V331" s="68" t="s">
        <v>827</v>
      </c>
      <c r="W331" s="68"/>
      <c r="X331" s="134">
        <v>1</v>
      </c>
    </row>
    <row r="332" spans="3:24" s="70" customFormat="1">
      <c r="C332" s="58" t="s">
        <v>20</v>
      </c>
      <c r="D332" s="58" t="s">
        <v>20</v>
      </c>
      <c r="E332" s="120" t="s">
        <v>844</v>
      </c>
      <c r="F332" s="68">
        <v>2672573314</v>
      </c>
      <c r="G332" s="58" t="s">
        <v>789</v>
      </c>
      <c r="H332" s="52">
        <v>20949978</v>
      </c>
      <c r="I332" s="60" t="s">
        <v>729</v>
      </c>
      <c r="J332" s="71" t="s">
        <v>55</v>
      </c>
      <c r="K332" s="70" t="s">
        <v>837</v>
      </c>
      <c r="M332" s="121" t="s">
        <v>868</v>
      </c>
      <c r="N332" s="68" t="s">
        <v>733</v>
      </c>
      <c r="O332" s="132" t="s">
        <v>293</v>
      </c>
      <c r="P332" s="68" t="s">
        <v>733</v>
      </c>
      <c r="Q332" s="71" t="s">
        <v>293</v>
      </c>
      <c r="R332" s="68" t="s">
        <v>733</v>
      </c>
      <c r="S332" s="71" t="s">
        <v>293</v>
      </c>
      <c r="T332" s="68" t="s">
        <v>733</v>
      </c>
      <c r="U332" s="68"/>
      <c r="V332" s="68" t="s">
        <v>827</v>
      </c>
      <c r="W332" s="68"/>
      <c r="X332" s="134">
        <v>1</v>
      </c>
    </row>
    <row r="333" spans="3:24">
      <c r="C333" s="58" t="s">
        <v>20</v>
      </c>
      <c r="D333" s="58" t="s">
        <v>20</v>
      </c>
      <c r="E333" s="120" t="s">
        <v>844</v>
      </c>
      <c r="F333" s="68">
        <v>2672573314</v>
      </c>
      <c r="G333" s="58" t="s">
        <v>792</v>
      </c>
      <c r="H333" s="59">
        <v>21670559</v>
      </c>
      <c r="I333" s="60" t="s">
        <v>729</v>
      </c>
      <c r="J333" s="71" t="s">
        <v>55</v>
      </c>
      <c r="K333" s="70" t="s">
        <v>837</v>
      </c>
      <c r="L333" s="70"/>
      <c r="M333" s="121" t="s">
        <v>868</v>
      </c>
      <c r="N333" s="68" t="s">
        <v>733</v>
      </c>
      <c r="O333" s="132" t="s">
        <v>293</v>
      </c>
      <c r="P333" s="68" t="s">
        <v>733</v>
      </c>
      <c r="Q333" s="71" t="s">
        <v>293</v>
      </c>
      <c r="R333" s="68" t="s">
        <v>733</v>
      </c>
      <c r="S333" s="71" t="s">
        <v>293</v>
      </c>
      <c r="T333" s="68" t="s">
        <v>733</v>
      </c>
      <c r="U333" s="68"/>
      <c r="V333" s="68" t="s">
        <v>827</v>
      </c>
      <c r="W333" s="68"/>
      <c r="X333" s="134">
        <v>1</v>
      </c>
    </row>
    <row r="334" spans="3:24">
      <c r="C334" s="58" t="s">
        <v>36</v>
      </c>
      <c r="D334" s="58" t="s">
        <v>36</v>
      </c>
      <c r="E334" s="120" t="s">
        <v>844</v>
      </c>
      <c r="F334" s="68">
        <v>2672573314</v>
      </c>
      <c r="G334" s="58" t="s">
        <v>710</v>
      </c>
      <c r="H334" s="59">
        <v>19543804</v>
      </c>
      <c r="I334" s="60" t="s">
        <v>706</v>
      </c>
      <c r="J334" s="71" t="s">
        <v>56</v>
      </c>
      <c r="K334" s="70" t="s">
        <v>838</v>
      </c>
      <c r="L334" s="70"/>
      <c r="M334" s="121" t="s">
        <v>868</v>
      </c>
      <c r="N334" s="68" t="s">
        <v>733</v>
      </c>
      <c r="O334" s="132" t="s">
        <v>292</v>
      </c>
      <c r="P334" s="68" t="s">
        <v>733</v>
      </c>
      <c r="Q334" s="71" t="s">
        <v>293</v>
      </c>
      <c r="R334" s="68" t="s">
        <v>733</v>
      </c>
      <c r="S334" s="71" t="s">
        <v>293</v>
      </c>
      <c r="T334" s="68" t="s">
        <v>733</v>
      </c>
      <c r="U334" s="68"/>
      <c r="V334" s="68" t="s">
        <v>827</v>
      </c>
      <c r="W334" s="68"/>
      <c r="X334" s="134">
        <v>1</v>
      </c>
    </row>
    <row r="335" spans="3:24">
      <c r="C335" s="58" t="s">
        <v>36</v>
      </c>
      <c r="D335" s="58" t="s">
        <v>36</v>
      </c>
      <c r="E335" s="120" t="s">
        <v>844</v>
      </c>
      <c r="F335" s="68">
        <v>2672573314</v>
      </c>
      <c r="G335" s="58" t="s">
        <v>712</v>
      </c>
      <c r="H335" s="59">
        <v>16505021</v>
      </c>
      <c r="I335" s="60" t="s">
        <v>410</v>
      </c>
      <c r="J335" s="71" t="s">
        <v>56</v>
      </c>
      <c r="K335" s="70" t="s">
        <v>838</v>
      </c>
      <c r="L335" s="70"/>
      <c r="M335" s="121" t="s">
        <v>868</v>
      </c>
      <c r="N335" s="68" t="s">
        <v>733</v>
      </c>
      <c r="O335" s="132" t="s">
        <v>292</v>
      </c>
      <c r="P335" s="68" t="s">
        <v>733</v>
      </c>
      <c r="Q335" s="71" t="s">
        <v>293</v>
      </c>
      <c r="R335" s="68" t="s">
        <v>733</v>
      </c>
      <c r="S335" s="71" t="s">
        <v>293</v>
      </c>
      <c r="T335" s="68" t="s">
        <v>733</v>
      </c>
      <c r="U335" s="68"/>
      <c r="V335" s="68" t="s">
        <v>827</v>
      </c>
      <c r="W335" s="68"/>
      <c r="X335" s="134">
        <v>1</v>
      </c>
    </row>
    <row r="336" spans="3:24">
      <c r="C336" s="58" t="s">
        <v>36</v>
      </c>
      <c r="D336" s="58" t="s">
        <v>36</v>
      </c>
      <c r="E336" s="120" t="s">
        <v>844</v>
      </c>
      <c r="F336" s="68">
        <v>2672573314</v>
      </c>
      <c r="G336" s="58" t="s">
        <v>613</v>
      </c>
      <c r="H336" s="59">
        <v>27867242</v>
      </c>
      <c r="I336" s="70" t="s">
        <v>730</v>
      </c>
      <c r="J336" s="71" t="s">
        <v>53</v>
      </c>
      <c r="K336" s="70" t="s">
        <v>838</v>
      </c>
      <c r="L336" s="70"/>
      <c r="M336" s="121" t="s">
        <v>868</v>
      </c>
      <c r="N336" s="68" t="s">
        <v>733</v>
      </c>
      <c r="O336" s="132" t="s">
        <v>292</v>
      </c>
      <c r="P336" s="68" t="s">
        <v>733</v>
      </c>
      <c r="Q336" s="71" t="s">
        <v>293</v>
      </c>
      <c r="R336" s="68" t="s">
        <v>733</v>
      </c>
      <c r="S336" s="71" t="s">
        <v>293</v>
      </c>
      <c r="T336" s="68" t="s">
        <v>733</v>
      </c>
      <c r="U336" s="68"/>
      <c r="V336" s="68" t="s">
        <v>827</v>
      </c>
      <c r="W336" s="68"/>
      <c r="X336" s="134">
        <v>1</v>
      </c>
    </row>
    <row r="337" spans="3:24">
      <c r="C337" s="58" t="s">
        <v>36</v>
      </c>
      <c r="D337" s="58" t="s">
        <v>36</v>
      </c>
      <c r="E337" s="120" t="s">
        <v>844</v>
      </c>
      <c r="F337" s="68">
        <v>2672573314</v>
      </c>
      <c r="G337" s="58" t="s">
        <v>614</v>
      </c>
      <c r="H337" s="59">
        <v>18972727</v>
      </c>
      <c r="I337" s="60" t="s">
        <v>725</v>
      </c>
      <c r="J337" s="71" t="s">
        <v>53</v>
      </c>
      <c r="K337" s="70" t="s">
        <v>838</v>
      </c>
      <c r="L337" s="70"/>
      <c r="M337" s="121" t="s">
        <v>868</v>
      </c>
      <c r="N337" s="68" t="s">
        <v>733</v>
      </c>
      <c r="O337" s="132" t="s">
        <v>292</v>
      </c>
      <c r="P337" s="68" t="s">
        <v>733</v>
      </c>
      <c r="Q337" s="71" t="s">
        <v>293</v>
      </c>
      <c r="R337" s="68" t="s">
        <v>733</v>
      </c>
      <c r="S337" s="71" t="s">
        <v>293</v>
      </c>
      <c r="T337" s="68" t="s">
        <v>733</v>
      </c>
      <c r="U337" s="68"/>
      <c r="V337" s="68" t="s">
        <v>827</v>
      </c>
      <c r="W337" s="68"/>
      <c r="X337" s="134">
        <v>1</v>
      </c>
    </row>
    <row r="338" spans="3:24">
      <c r="C338" s="58" t="s">
        <v>36</v>
      </c>
      <c r="D338" s="58" t="s">
        <v>36</v>
      </c>
      <c r="E338" s="120" t="s">
        <v>844</v>
      </c>
      <c r="F338" s="68">
        <v>2672573314</v>
      </c>
      <c r="G338" s="63" t="s">
        <v>923</v>
      </c>
      <c r="H338" s="112">
        <v>16984589</v>
      </c>
      <c r="I338" s="116" t="s">
        <v>729</v>
      </c>
      <c r="J338" s="113" t="s">
        <v>53</v>
      </c>
      <c r="K338" s="70" t="s">
        <v>838</v>
      </c>
      <c r="L338" s="70"/>
      <c r="M338" s="121" t="s">
        <v>868</v>
      </c>
      <c r="N338" s="68" t="s">
        <v>733</v>
      </c>
      <c r="O338" s="132" t="s">
        <v>292</v>
      </c>
      <c r="P338" s="68" t="s">
        <v>733</v>
      </c>
      <c r="Q338" s="71" t="s">
        <v>293</v>
      </c>
      <c r="R338" s="68" t="s">
        <v>733</v>
      </c>
      <c r="S338" s="71" t="s">
        <v>293</v>
      </c>
      <c r="T338" s="68" t="s">
        <v>733</v>
      </c>
      <c r="U338" s="68"/>
      <c r="V338" s="68" t="s">
        <v>827</v>
      </c>
      <c r="W338" s="68"/>
      <c r="X338" s="134">
        <v>1</v>
      </c>
    </row>
    <row r="339" spans="3:24">
      <c r="C339" s="58" t="s">
        <v>36</v>
      </c>
      <c r="D339" s="58" t="s">
        <v>36</v>
      </c>
      <c r="E339" s="120" t="s">
        <v>844</v>
      </c>
      <c r="F339" s="68">
        <v>2672573314</v>
      </c>
      <c r="G339" s="58" t="s">
        <v>711</v>
      </c>
      <c r="H339" s="59">
        <v>25130170</v>
      </c>
      <c r="I339" s="70" t="s">
        <v>730</v>
      </c>
      <c r="J339" s="71" t="s">
        <v>56</v>
      </c>
      <c r="K339" s="70" t="s">
        <v>838</v>
      </c>
      <c r="L339" s="70"/>
      <c r="M339" s="121" t="s">
        <v>868</v>
      </c>
      <c r="N339" s="68" t="s">
        <v>733</v>
      </c>
      <c r="O339" s="132" t="s">
        <v>292</v>
      </c>
      <c r="P339" s="68" t="s">
        <v>733</v>
      </c>
      <c r="Q339" s="71" t="s">
        <v>293</v>
      </c>
      <c r="R339" s="68" t="s">
        <v>733</v>
      </c>
      <c r="S339" s="71" t="s">
        <v>293</v>
      </c>
      <c r="T339" s="68" t="s">
        <v>733</v>
      </c>
      <c r="U339" s="68"/>
      <c r="V339" s="68" t="s">
        <v>827</v>
      </c>
      <c r="W339" s="68"/>
      <c r="X339" s="134">
        <v>1</v>
      </c>
    </row>
    <row r="340" spans="3:24">
      <c r="C340" s="58" t="s">
        <v>36</v>
      </c>
      <c r="D340" s="58" t="s">
        <v>36</v>
      </c>
      <c r="E340" s="120" t="s">
        <v>844</v>
      </c>
      <c r="F340" s="68">
        <v>2672573314</v>
      </c>
      <c r="G340" s="58" t="s">
        <v>615</v>
      </c>
      <c r="H340" s="59">
        <v>26973137</v>
      </c>
      <c r="I340" s="60" t="s">
        <v>725</v>
      </c>
      <c r="J340" s="71" t="s">
        <v>56</v>
      </c>
      <c r="K340" s="70" t="s">
        <v>838</v>
      </c>
      <c r="L340" s="70"/>
      <c r="M340" s="121" t="s">
        <v>868</v>
      </c>
      <c r="N340" s="68" t="s">
        <v>733</v>
      </c>
      <c r="O340" s="132" t="s">
        <v>292</v>
      </c>
      <c r="P340" s="68" t="s">
        <v>733</v>
      </c>
      <c r="Q340" s="71" t="s">
        <v>293</v>
      </c>
      <c r="R340" s="68" t="s">
        <v>733</v>
      </c>
      <c r="S340" s="71" t="s">
        <v>293</v>
      </c>
      <c r="T340" s="68" t="s">
        <v>733</v>
      </c>
      <c r="U340" s="68"/>
      <c r="V340" s="68" t="s">
        <v>827</v>
      </c>
      <c r="W340" s="68"/>
      <c r="X340" s="134">
        <v>1</v>
      </c>
    </row>
    <row r="341" spans="3:24">
      <c r="C341" s="94" t="s">
        <v>36</v>
      </c>
      <c r="D341" s="94" t="s">
        <v>36</v>
      </c>
      <c r="E341" s="123" t="s">
        <v>844</v>
      </c>
      <c r="F341" s="98">
        <v>2672573314</v>
      </c>
      <c r="G341" s="94" t="s">
        <v>616</v>
      </c>
      <c r="H341" s="95">
        <v>26620970</v>
      </c>
      <c r="I341" s="96" t="s">
        <v>410</v>
      </c>
      <c r="J341" s="97" t="s">
        <v>56</v>
      </c>
      <c r="K341" s="94" t="s">
        <v>838</v>
      </c>
      <c r="L341" s="94"/>
      <c r="M341" s="97" t="s">
        <v>868</v>
      </c>
      <c r="N341" s="98" t="s">
        <v>733</v>
      </c>
      <c r="O341" s="130" t="s">
        <v>869</v>
      </c>
      <c r="P341" s="99" t="s">
        <v>733</v>
      </c>
      <c r="Q341" s="97" t="s">
        <v>869</v>
      </c>
      <c r="R341" s="99" t="s">
        <v>733</v>
      </c>
      <c r="S341" s="97" t="s">
        <v>869</v>
      </c>
      <c r="T341" s="98" t="s">
        <v>733</v>
      </c>
      <c r="U341" s="98"/>
      <c r="V341" s="98" t="s">
        <v>827</v>
      </c>
      <c r="W341" s="98" t="s">
        <v>821</v>
      </c>
      <c r="X341" s="134">
        <v>1</v>
      </c>
    </row>
    <row r="342" spans="3:24">
      <c r="C342" s="58" t="s">
        <v>36</v>
      </c>
      <c r="D342" s="58" t="s">
        <v>36</v>
      </c>
      <c r="E342" s="120" t="s">
        <v>844</v>
      </c>
      <c r="F342" s="68">
        <v>2672573314</v>
      </c>
      <c r="G342" s="58" t="s">
        <v>713</v>
      </c>
      <c r="H342" s="59">
        <v>19600123</v>
      </c>
      <c r="I342" s="60" t="s">
        <v>410</v>
      </c>
      <c r="J342" s="71" t="s">
        <v>56</v>
      </c>
      <c r="K342" s="70" t="s">
        <v>838</v>
      </c>
      <c r="L342" s="70"/>
      <c r="M342" s="121" t="s">
        <v>868</v>
      </c>
      <c r="N342" s="68" t="s">
        <v>733</v>
      </c>
      <c r="O342" s="132" t="s">
        <v>292</v>
      </c>
      <c r="P342" s="68" t="s">
        <v>733</v>
      </c>
      <c r="Q342" s="71" t="s">
        <v>293</v>
      </c>
      <c r="R342" s="68" t="s">
        <v>733</v>
      </c>
      <c r="S342" s="71" t="s">
        <v>293</v>
      </c>
      <c r="T342" s="68" t="s">
        <v>733</v>
      </c>
      <c r="U342" s="68"/>
      <c r="V342" s="68" t="s">
        <v>827</v>
      </c>
      <c r="W342" s="68"/>
      <c r="X342" s="134">
        <v>1</v>
      </c>
    </row>
    <row r="343" spans="3:24">
      <c r="C343" s="58" t="s">
        <v>36</v>
      </c>
      <c r="D343" s="58" t="s">
        <v>36</v>
      </c>
      <c r="E343" s="120" t="s">
        <v>844</v>
      </c>
      <c r="F343" s="68">
        <v>2672573314</v>
      </c>
      <c r="G343" s="58" t="s">
        <v>714</v>
      </c>
      <c r="H343" s="59">
        <v>30459887</v>
      </c>
      <c r="I343" s="60" t="s">
        <v>729</v>
      </c>
      <c r="J343" s="71" t="s">
        <v>56</v>
      </c>
      <c r="K343" s="70" t="s">
        <v>838</v>
      </c>
      <c r="L343" s="70"/>
      <c r="M343" s="121" t="s">
        <v>868</v>
      </c>
      <c r="N343" s="68" t="s">
        <v>733</v>
      </c>
      <c r="O343" s="132" t="s">
        <v>292</v>
      </c>
      <c r="P343" s="68" t="s">
        <v>733</v>
      </c>
      <c r="Q343" s="71" t="s">
        <v>293</v>
      </c>
      <c r="R343" s="68" t="s">
        <v>733</v>
      </c>
      <c r="S343" s="71" t="s">
        <v>293</v>
      </c>
      <c r="T343" s="68" t="s">
        <v>733</v>
      </c>
      <c r="U343" s="68"/>
      <c r="V343" s="68" t="s">
        <v>827</v>
      </c>
      <c r="W343" s="68"/>
      <c r="X343" s="134">
        <v>1</v>
      </c>
    </row>
    <row r="344" spans="3:24">
      <c r="C344" s="58" t="s">
        <v>36</v>
      </c>
      <c r="D344" s="58" t="s">
        <v>36</v>
      </c>
      <c r="E344" s="120" t="s">
        <v>844</v>
      </c>
      <c r="F344" s="68">
        <v>2672573314</v>
      </c>
      <c r="G344" s="58" t="s">
        <v>715</v>
      </c>
      <c r="H344" s="59">
        <v>20878360</v>
      </c>
      <c r="I344" s="60" t="s">
        <v>729</v>
      </c>
      <c r="J344" s="71" t="s">
        <v>56</v>
      </c>
      <c r="K344" s="70" t="s">
        <v>838</v>
      </c>
      <c r="L344" s="70"/>
      <c r="M344" s="121" t="s">
        <v>868</v>
      </c>
      <c r="N344" s="68" t="s">
        <v>733</v>
      </c>
      <c r="O344" s="132" t="s">
        <v>292</v>
      </c>
      <c r="P344" s="68" t="s">
        <v>733</v>
      </c>
      <c r="Q344" s="71" t="s">
        <v>293</v>
      </c>
      <c r="R344" s="68" t="s">
        <v>733</v>
      </c>
      <c r="S344" s="71" t="s">
        <v>293</v>
      </c>
      <c r="T344" s="68" t="s">
        <v>733</v>
      </c>
      <c r="U344" s="68"/>
      <c r="V344" s="68" t="s">
        <v>827</v>
      </c>
      <c r="W344" s="68"/>
      <c r="X344" s="134">
        <v>1</v>
      </c>
    </row>
    <row r="345" spans="3:24">
      <c r="C345" s="58" t="s">
        <v>36</v>
      </c>
      <c r="D345" s="58" t="s">
        <v>36</v>
      </c>
      <c r="E345" s="120" t="s">
        <v>844</v>
      </c>
      <c r="F345" s="68">
        <v>2672573314</v>
      </c>
      <c r="G345" s="58" t="s">
        <v>716</v>
      </c>
      <c r="H345" s="59">
        <v>10976485</v>
      </c>
      <c r="I345" s="60" t="s">
        <v>725</v>
      </c>
      <c r="J345" s="71" t="s">
        <v>56</v>
      </c>
      <c r="K345" s="70" t="s">
        <v>838</v>
      </c>
      <c r="L345" s="70"/>
      <c r="M345" s="121" t="s">
        <v>868</v>
      </c>
      <c r="N345" s="68" t="s">
        <v>733</v>
      </c>
      <c r="O345" s="132" t="s">
        <v>292</v>
      </c>
      <c r="P345" s="68" t="s">
        <v>733</v>
      </c>
      <c r="Q345" s="71" t="s">
        <v>293</v>
      </c>
      <c r="R345" s="68" t="s">
        <v>733</v>
      </c>
      <c r="S345" s="71" t="s">
        <v>293</v>
      </c>
      <c r="T345" s="68" t="s">
        <v>733</v>
      </c>
      <c r="U345" s="68"/>
      <c r="V345" s="68" t="s">
        <v>827</v>
      </c>
      <c r="W345" s="68"/>
      <c r="X345" s="134">
        <v>1</v>
      </c>
    </row>
    <row r="346" spans="3:24">
      <c r="C346" s="58" t="s">
        <v>36</v>
      </c>
      <c r="D346" s="58" t="s">
        <v>36</v>
      </c>
      <c r="E346" s="120" t="s">
        <v>844</v>
      </c>
      <c r="F346" s="68">
        <v>2672573314</v>
      </c>
      <c r="G346" s="58" t="s">
        <v>717</v>
      </c>
      <c r="H346" s="59">
        <v>20908839</v>
      </c>
      <c r="I346" s="70" t="s">
        <v>730</v>
      </c>
      <c r="J346" s="71" t="s">
        <v>56</v>
      </c>
      <c r="K346" s="70" t="s">
        <v>838</v>
      </c>
      <c r="L346" s="70"/>
      <c r="M346" s="121" t="s">
        <v>868</v>
      </c>
      <c r="N346" s="68" t="s">
        <v>733</v>
      </c>
      <c r="O346" s="132" t="s">
        <v>292</v>
      </c>
      <c r="P346" s="68" t="s">
        <v>733</v>
      </c>
      <c r="Q346" s="71" t="s">
        <v>293</v>
      </c>
      <c r="R346" s="68" t="s">
        <v>733</v>
      </c>
      <c r="S346" s="71" t="s">
        <v>293</v>
      </c>
      <c r="T346" s="68" t="s">
        <v>733</v>
      </c>
      <c r="U346" s="68"/>
      <c r="V346" s="68" t="s">
        <v>827</v>
      </c>
      <c r="W346" s="68"/>
      <c r="X346" s="134">
        <v>1</v>
      </c>
    </row>
    <row r="347" spans="3:24">
      <c r="C347" s="58" t="s">
        <v>36</v>
      </c>
      <c r="D347" s="58" t="s">
        <v>36</v>
      </c>
      <c r="E347" s="120" t="s">
        <v>844</v>
      </c>
      <c r="F347" s="68">
        <v>2672573314</v>
      </c>
      <c r="G347" s="58" t="s">
        <v>719</v>
      </c>
      <c r="H347" s="59">
        <v>10674969</v>
      </c>
      <c r="I347" s="70" t="s">
        <v>730</v>
      </c>
      <c r="J347" s="71" t="s">
        <v>56</v>
      </c>
      <c r="K347" s="70" t="s">
        <v>838</v>
      </c>
      <c r="L347" s="70"/>
      <c r="M347" s="121" t="s">
        <v>868</v>
      </c>
      <c r="N347" s="68" t="s">
        <v>733</v>
      </c>
      <c r="O347" s="132" t="s">
        <v>292</v>
      </c>
      <c r="P347" s="68" t="s">
        <v>733</v>
      </c>
      <c r="Q347" s="71" t="s">
        <v>293</v>
      </c>
      <c r="R347" s="68" t="s">
        <v>733</v>
      </c>
      <c r="S347" s="71" t="s">
        <v>293</v>
      </c>
      <c r="T347" s="68" t="s">
        <v>733</v>
      </c>
      <c r="U347" s="68"/>
      <c r="V347" s="68" t="s">
        <v>827</v>
      </c>
      <c r="W347" s="68"/>
      <c r="X347" s="134">
        <v>1</v>
      </c>
    </row>
    <row r="348" spans="3:24">
      <c r="C348" s="58" t="s">
        <v>36</v>
      </c>
      <c r="D348" s="58" t="s">
        <v>36</v>
      </c>
      <c r="E348" s="120" t="s">
        <v>844</v>
      </c>
      <c r="F348" s="68">
        <v>2672573314</v>
      </c>
      <c r="G348" s="58" t="s">
        <v>720</v>
      </c>
      <c r="H348" s="59">
        <v>25573222</v>
      </c>
      <c r="I348" s="60" t="s">
        <v>725</v>
      </c>
      <c r="J348" s="71" t="s">
        <v>56</v>
      </c>
      <c r="K348" s="70" t="s">
        <v>838</v>
      </c>
      <c r="L348" s="70"/>
      <c r="M348" s="121" t="s">
        <v>868</v>
      </c>
      <c r="N348" s="68" t="s">
        <v>733</v>
      </c>
      <c r="O348" s="132" t="s">
        <v>292</v>
      </c>
      <c r="P348" s="68" t="s">
        <v>733</v>
      </c>
      <c r="Q348" s="71" t="s">
        <v>293</v>
      </c>
      <c r="R348" s="68" t="s">
        <v>733</v>
      </c>
      <c r="S348" s="71" t="s">
        <v>293</v>
      </c>
      <c r="T348" s="68" t="s">
        <v>733</v>
      </c>
      <c r="U348" s="68"/>
      <c r="V348" s="68" t="s">
        <v>827</v>
      </c>
      <c r="W348" s="68"/>
      <c r="X348" s="134">
        <v>1</v>
      </c>
    </row>
    <row r="349" spans="3:24">
      <c r="C349" s="58" t="s">
        <v>36</v>
      </c>
      <c r="D349" s="58" t="s">
        <v>36</v>
      </c>
      <c r="E349" s="120" t="s">
        <v>844</v>
      </c>
      <c r="F349" s="68">
        <v>2672573314</v>
      </c>
      <c r="G349" s="58" t="s">
        <v>721</v>
      </c>
      <c r="H349" s="59">
        <v>14147844</v>
      </c>
      <c r="I349" s="70" t="s">
        <v>730</v>
      </c>
      <c r="J349" s="71" t="s">
        <v>56</v>
      </c>
      <c r="K349" s="70" t="s">
        <v>838</v>
      </c>
      <c r="L349" s="70"/>
      <c r="M349" s="121" t="s">
        <v>868</v>
      </c>
      <c r="N349" s="68" t="s">
        <v>733</v>
      </c>
      <c r="O349" s="132" t="s">
        <v>292</v>
      </c>
      <c r="P349" s="68" t="s">
        <v>733</v>
      </c>
      <c r="Q349" s="71" t="s">
        <v>293</v>
      </c>
      <c r="R349" s="68" t="s">
        <v>733</v>
      </c>
      <c r="S349" s="71" t="s">
        <v>293</v>
      </c>
      <c r="T349" s="68" t="s">
        <v>733</v>
      </c>
      <c r="U349" s="68"/>
      <c r="V349" s="68" t="s">
        <v>827</v>
      </c>
      <c r="W349" s="68"/>
      <c r="X349" s="134">
        <v>1</v>
      </c>
    </row>
    <row r="350" spans="3:24">
      <c r="C350" s="58" t="s">
        <v>36</v>
      </c>
      <c r="D350" s="58" t="s">
        <v>36</v>
      </c>
      <c r="E350" s="120" t="s">
        <v>844</v>
      </c>
      <c r="F350" s="68">
        <v>2672573314</v>
      </c>
      <c r="G350" s="58" t="s">
        <v>722</v>
      </c>
      <c r="H350" s="59">
        <v>17714754</v>
      </c>
      <c r="I350" s="60" t="s">
        <v>725</v>
      </c>
      <c r="J350" s="71" t="s">
        <v>56</v>
      </c>
      <c r="K350" s="70" t="s">
        <v>838</v>
      </c>
      <c r="L350" s="70"/>
      <c r="M350" s="121" t="s">
        <v>868</v>
      </c>
      <c r="N350" s="68" t="s">
        <v>733</v>
      </c>
      <c r="O350" s="132" t="s">
        <v>292</v>
      </c>
      <c r="P350" s="68" t="s">
        <v>733</v>
      </c>
      <c r="Q350" s="71" t="s">
        <v>293</v>
      </c>
      <c r="R350" s="68" t="s">
        <v>733</v>
      </c>
      <c r="S350" s="71" t="s">
        <v>293</v>
      </c>
      <c r="T350" s="68" t="s">
        <v>733</v>
      </c>
      <c r="U350" s="68"/>
      <c r="V350" s="68" t="s">
        <v>827</v>
      </c>
      <c r="W350" s="68"/>
      <c r="X350" s="134">
        <v>1</v>
      </c>
    </row>
    <row r="351" spans="3:24">
      <c r="C351" s="58" t="s">
        <v>36</v>
      </c>
      <c r="D351" s="58" t="s">
        <v>36</v>
      </c>
      <c r="E351" s="120" t="s">
        <v>844</v>
      </c>
      <c r="F351" s="68">
        <v>2672573314</v>
      </c>
      <c r="G351" s="58" t="s">
        <v>617</v>
      </c>
      <c r="H351" s="59">
        <v>19273427</v>
      </c>
      <c r="I351" s="70" t="s">
        <v>730</v>
      </c>
      <c r="J351" s="71" t="s">
        <v>56</v>
      </c>
      <c r="K351" s="70" t="s">
        <v>838</v>
      </c>
      <c r="L351" s="70"/>
      <c r="M351" s="121" t="s">
        <v>868</v>
      </c>
      <c r="N351" s="68" t="s">
        <v>733</v>
      </c>
      <c r="O351" s="132" t="s">
        <v>292</v>
      </c>
      <c r="P351" s="68" t="s">
        <v>733</v>
      </c>
      <c r="Q351" s="71" t="s">
        <v>293</v>
      </c>
      <c r="R351" s="68" t="s">
        <v>733</v>
      </c>
      <c r="S351" s="71" t="s">
        <v>293</v>
      </c>
      <c r="T351" s="68" t="s">
        <v>733</v>
      </c>
      <c r="U351" s="68"/>
      <c r="V351" s="68" t="s">
        <v>827</v>
      </c>
      <c r="W351" s="68"/>
      <c r="X351" s="134">
        <v>1</v>
      </c>
    </row>
    <row r="352" spans="3:24">
      <c r="C352" s="58" t="s">
        <v>36</v>
      </c>
      <c r="D352" s="58" t="s">
        <v>36</v>
      </c>
      <c r="E352" s="120" t="s">
        <v>844</v>
      </c>
      <c r="F352" s="68">
        <v>2672573314</v>
      </c>
      <c r="G352" s="58" t="s">
        <v>618</v>
      </c>
      <c r="H352" s="59">
        <v>23563451</v>
      </c>
      <c r="I352" s="60" t="s">
        <v>725</v>
      </c>
      <c r="J352" s="71" t="s">
        <v>56</v>
      </c>
      <c r="K352" s="70" t="s">
        <v>838</v>
      </c>
      <c r="L352" s="70"/>
      <c r="M352" s="121" t="s">
        <v>868</v>
      </c>
      <c r="N352" s="68" t="s">
        <v>733</v>
      </c>
      <c r="O352" s="132" t="s">
        <v>292</v>
      </c>
      <c r="P352" s="68" t="s">
        <v>733</v>
      </c>
      <c r="Q352" s="71" t="s">
        <v>293</v>
      </c>
      <c r="R352" s="68" t="s">
        <v>733</v>
      </c>
      <c r="S352" s="71" t="s">
        <v>293</v>
      </c>
      <c r="T352" s="68" t="s">
        <v>733</v>
      </c>
      <c r="U352" s="68"/>
      <c r="V352" s="68" t="s">
        <v>827</v>
      </c>
      <c r="W352" s="68"/>
      <c r="X352" s="134">
        <v>1</v>
      </c>
    </row>
    <row r="353" spans="3:24">
      <c r="C353" s="58" t="s">
        <v>36</v>
      </c>
      <c r="D353" s="58" t="s">
        <v>36</v>
      </c>
      <c r="E353" s="120" t="s">
        <v>844</v>
      </c>
      <c r="F353" s="68">
        <v>2672573314</v>
      </c>
      <c r="G353" s="58" t="s">
        <v>619</v>
      </c>
      <c r="H353" s="59">
        <v>22610283</v>
      </c>
      <c r="I353" s="70" t="s">
        <v>730</v>
      </c>
      <c r="J353" s="71" t="s">
        <v>56</v>
      </c>
      <c r="K353" s="70" t="s">
        <v>838</v>
      </c>
      <c r="L353" s="70"/>
      <c r="M353" s="121" t="s">
        <v>868</v>
      </c>
      <c r="N353" s="68" t="s">
        <v>733</v>
      </c>
      <c r="O353" s="132" t="s">
        <v>292</v>
      </c>
      <c r="P353" s="68" t="s">
        <v>733</v>
      </c>
      <c r="Q353" s="71" t="s">
        <v>293</v>
      </c>
      <c r="R353" s="68" t="s">
        <v>733</v>
      </c>
      <c r="S353" s="71" t="s">
        <v>293</v>
      </c>
      <c r="T353" s="68" t="s">
        <v>733</v>
      </c>
      <c r="U353" s="68"/>
      <c r="V353" s="68" t="s">
        <v>827</v>
      </c>
      <c r="W353" s="68"/>
      <c r="X353" s="134">
        <v>1</v>
      </c>
    </row>
    <row r="354" spans="3:24">
      <c r="C354" s="58" t="s">
        <v>36</v>
      </c>
      <c r="D354" s="58" t="s">
        <v>36</v>
      </c>
      <c r="E354" s="120" t="s">
        <v>844</v>
      </c>
      <c r="F354" s="68">
        <v>2672573314</v>
      </c>
      <c r="G354" s="58" t="s">
        <v>620</v>
      </c>
      <c r="H354" s="59">
        <v>20247506</v>
      </c>
      <c r="I354" s="60" t="s">
        <v>725</v>
      </c>
      <c r="J354" s="71" t="s">
        <v>56</v>
      </c>
      <c r="K354" s="70" t="s">
        <v>838</v>
      </c>
      <c r="L354" s="70"/>
      <c r="M354" s="121" t="s">
        <v>868</v>
      </c>
      <c r="N354" s="68" t="s">
        <v>733</v>
      </c>
      <c r="O354" s="132" t="s">
        <v>292</v>
      </c>
      <c r="P354" s="68" t="s">
        <v>733</v>
      </c>
      <c r="Q354" s="71" t="s">
        <v>293</v>
      </c>
      <c r="R354" s="68" t="s">
        <v>733</v>
      </c>
      <c r="S354" s="71" t="s">
        <v>293</v>
      </c>
      <c r="T354" s="68" t="s">
        <v>733</v>
      </c>
      <c r="U354" s="68"/>
      <c r="V354" s="68" t="s">
        <v>827</v>
      </c>
      <c r="W354" s="68"/>
      <c r="X354" s="134">
        <v>1</v>
      </c>
    </row>
    <row r="355" spans="3:24">
      <c r="C355" s="58" t="s">
        <v>36</v>
      </c>
      <c r="D355" s="58" t="s">
        <v>36</v>
      </c>
      <c r="E355" s="120" t="s">
        <v>844</v>
      </c>
      <c r="F355" s="68">
        <v>2672573314</v>
      </c>
      <c r="G355" s="58" t="s">
        <v>621</v>
      </c>
      <c r="H355" s="59">
        <v>20958316</v>
      </c>
      <c r="I355" s="70" t="s">
        <v>730</v>
      </c>
      <c r="J355" s="71" t="s">
        <v>56</v>
      </c>
      <c r="K355" s="70" t="s">
        <v>838</v>
      </c>
      <c r="L355" s="70"/>
      <c r="M355" s="121" t="s">
        <v>868</v>
      </c>
      <c r="N355" s="68" t="s">
        <v>733</v>
      </c>
      <c r="O355" s="132" t="s">
        <v>292</v>
      </c>
      <c r="P355" s="68" t="s">
        <v>733</v>
      </c>
      <c r="Q355" s="71" t="s">
        <v>293</v>
      </c>
      <c r="R355" s="68" t="s">
        <v>733</v>
      </c>
      <c r="S355" s="71" t="s">
        <v>293</v>
      </c>
      <c r="T355" s="68" t="s">
        <v>733</v>
      </c>
      <c r="U355" s="68"/>
      <c r="V355" s="68" t="s">
        <v>827</v>
      </c>
      <c r="W355" s="68"/>
      <c r="X355" s="134">
        <v>1</v>
      </c>
    </row>
    <row r="356" spans="3:24">
      <c r="C356" s="58" t="s">
        <v>36</v>
      </c>
      <c r="D356" s="58" t="s">
        <v>36</v>
      </c>
      <c r="E356" s="120" t="s">
        <v>844</v>
      </c>
      <c r="F356" s="68">
        <v>2672573314</v>
      </c>
      <c r="G356" s="58" t="s">
        <v>622</v>
      </c>
      <c r="H356" s="59">
        <v>13811292</v>
      </c>
      <c r="I356" s="70" t="s">
        <v>730</v>
      </c>
      <c r="J356" s="71" t="s">
        <v>56</v>
      </c>
      <c r="K356" s="70" t="s">
        <v>838</v>
      </c>
      <c r="L356" s="70"/>
      <c r="M356" s="121" t="s">
        <v>868</v>
      </c>
      <c r="N356" s="68" t="s">
        <v>733</v>
      </c>
      <c r="O356" s="132" t="s">
        <v>292</v>
      </c>
      <c r="P356" s="68" t="s">
        <v>733</v>
      </c>
      <c r="Q356" s="71" t="s">
        <v>293</v>
      </c>
      <c r="R356" s="68" t="s">
        <v>733</v>
      </c>
      <c r="S356" s="71" t="s">
        <v>293</v>
      </c>
      <c r="T356" s="68" t="s">
        <v>733</v>
      </c>
      <c r="U356" s="68"/>
      <c r="V356" s="68" t="s">
        <v>827</v>
      </c>
      <c r="W356" s="68"/>
      <c r="X356" s="134">
        <v>1</v>
      </c>
    </row>
    <row r="357" spans="3:24">
      <c r="C357" s="58" t="s">
        <v>36</v>
      </c>
      <c r="D357" s="58" t="s">
        <v>36</v>
      </c>
      <c r="E357" s="120" t="s">
        <v>844</v>
      </c>
      <c r="F357" s="68">
        <v>2672573314</v>
      </c>
      <c r="G357" s="58" t="s">
        <v>723</v>
      </c>
      <c r="H357" s="59">
        <v>17252977</v>
      </c>
      <c r="I357" s="60" t="s">
        <v>725</v>
      </c>
      <c r="J357" s="71" t="s">
        <v>56</v>
      </c>
      <c r="K357" s="70" t="s">
        <v>838</v>
      </c>
      <c r="L357" s="70"/>
      <c r="M357" s="121" t="s">
        <v>868</v>
      </c>
      <c r="N357" s="68" t="s">
        <v>733</v>
      </c>
      <c r="O357" s="132" t="s">
        <v>292</v>
      </c>
      <c r="P357" s="68" t="s">
        <v>733</v>
      </c>
      <c r="Q357" s="71" t="s">
        <v>293</v>
      </c>
      <c r="R357" s="68" t="s">
        <v>733</v>
      </c>
      <c r="S357" s="71" t="s">
        <v>293</v>
      </c>
      <c r="T357" s="68" t="s">
        <v>733</v>
      </c>
      <c r="U357" s="68"/>
      <c r="V357" s="68" t="s">
        <v>827</v>
      </c>
      <c r="W357" s="68"/>
      <c r="X357" s="134">
        <v>1</v>
      </c>
    </row>
    <row r="358" spans="3:24">
      <c r="C358" s="58" t="s">
        <v>36</v>
      </c>
      <c r="D358" s="58" t="s">
        <v>36</v>
      </c>
      <c r="E358" s="120" t="s">
        <v>844</v>
      </c>
      <c r="F358" s="68">
        <v>2672573314</v>
      </c>
      <c r="G358" s="58" t="s">
        <v>623</v>
      </c>
      <c r="H358" s="59">
        <v>19601377</v>
      </c>
      <c r="I358" s="60" t="s">
        <v>725</v>
      </c>
      <c r="J358" s="71" t="s">
        <v>56</v>
      </c>
      <c r="K358" s="70" t="s">
        <v>838</v>
      </c>
      <c r="L358" s="70"/>
      <c r="M358" s="121" t="s">
        <v>868</v>
      </c>
      <c r="N358" s="68" t="s">
        <v>733</v>
      </c>
      <c r="O358" s="132" t="s">
        <v>292</v>
      </c>
      <c r="P358" s="68" t="s">
        <v>733</v>
      </c>
      <c r="Q358" s="71" t="s">
        <v>293</v>
      </c>
      <c r="R358" s="68" t="s">
        <v>733</v>
      </c>
      <c r="S358" s="71" t="s">
        <v>293</v>
      </c>
      <c r="T358" s="68" t="s">
        <v>733</v>
      </c>
      <c r="U358" s="68"/>
      <c r="V358" s="68" t="s">
        <v>827</v>
      </c>
      <c r="W358" s="68"/>
      <c r="X358" s="134">
        <v>1</v>
      </c>
    </row>
    <row r="359" spans="3:24">
      <c r="C359" s="58" t="s">
        <v>36</v>
      </c>
      <c r="D359" s="58" t="s">
        <v>36</v>
      </c>
      <c r="E359" s="120" t="s">
        <v>844</v>
      </c>
      <c r="F359" s="68">
        <v>2672573314</v>
      </c>
      <c r="G359" s="58" t="s">
        <v>624</v>
      </c>
      <c r="H359" s="59">
        <v>20247665</v>
      </c>
      <c r="I359" s="60" t="s">
        <v>725</v>
      </c>
      <c r="J359" s="71" t="s">
        <v>56</v>
      </c>
      <c r="K359" s="70" t="s">
        <v>838</v>
      </c>
      <c r="L359" s="70"/>
      <c r="M359" s="121" t="s">
        <v>868</v>
      </c>
      <c r="N359" s="68" t="s">
        <v>733</v>
      </c>
      <c r="O359" s="132" t="s">
        <v>292</v>
      </c>
      <c r="P359" s="68" t="s">
        <v>733</v>
      </c>
      <c r="Q359" s="71" t="s">
        <v>293</v>
      </c>
      <c r="R359" s="68" t="s">
        <v>733</v>
      </c>
      <c r="S359" s="71" t="s">
        <v>293</v>
      </c>
      <c r="T359" s="68" t="s">
        <v>733</v>
      </c>
      <c r="U359" s="68"/>
      <c r="V359" s="68" t="s">
        <v>827</v>
      </c>
      <c r="W359" s="68"/>
      <c r="X359" s="134">
        <v>1</v>
      </c>
    </row>
    <row r="360" spans="3:24">
      <c r="C360" s="58" t="s">
        <v>36</v>
      </c>
      <c r="D360" s="58" t="s">
        <v>36</v>
      </c>
      <c r="E360" s="120" t="s">
        <v>844</v>
      </c>
      <c r="F360" s="68">
        <v>2672573314</v>
      </c>
      <c r="G360" s="58" t="s">
        <v>625</v>
      </c>
      <c r="H360" s="59">
        <v>18616736</v>
      </c>
      <c r="I360" s="60" t="s">
        <v>725</v>
      </c>
      <c r="J360" s="71" t="s">
        <v>56</v>
      </c>
      <c r="K360" s="70" t="s">
        <v>838</v>
      </c>
      <c r="L360" s="70"/>
      <c r="M360" s="121" t="s">
        <v>868</v>
      </c>
      <c r="N360" s="68" t="s">
        <v>733</v>
      </c>
      <c r="O360" s="132" t="s">
        <v>292</v>
      </c>
      <c r="P360" s="68" t="s">
        <v>733</v>
      </c>
      <c r="Q360" s="71" t="s">
        <v>293</v>
      </c>
      <c r="R360" s="68" t="s">
        <v>733</v>
      </c>
      <c r="S360" s="71" t="s">
        <v>293</v>
      </c>
      <c r="T360" s="68" t="s">
        <v>733</v>
      </c>
      <c r="U360" s="68"/>
      <c r="V360" s="68" t="s">
        <v>827</v>
      </c>
      <c r="W360" s="68"/>
      <c r="X360" s="134">
        <v>1</v>
      </c>
    </row>
    <row r="361" spans="3:24">
      <c r="C361" s="58" t="s">
        <v>36</v>
      </c>
      <c r="D361" s="58" t="s">
        <v>36</v>
      </c>
      <c r="E361" s="120" t="s">
        <v>844</v>
      </c>
      <c r="F361" s="68">
        <v>2672573314</v>
      </c>
      <c r="G361" s="58" t="s">
        <v>626</v>
      </c>
      <c r="H361" s="59">
        <v>20521196</v>
      </c>
      <c r="I361" s="60" t="s">
        <v>725</v>
      </c>
      <c r="J361" s="71" t="s">
        <v>56</v>
      </c>
      <c r="K361" s="70" t="s">
        <v>838</v>
      </c>
      <c r="L361" s="70"/>
      <c r="M361" s="121" t="s">
        <v>868</v>
      </c>
      <c r="N361" s="68" t="s">
        <v>733</v>
      </c>
      <c r="O361" s="132" t="s">
        <v>292</v>
      </c>
      <c r="P361" s="68" t="s">
        <v>733</v>
      </c>
      <c r="Q361" s="71" t="s">
        <v>293</v>
      </c>
      <c r="R361" s="68" t="s">
        <v>733</v>
      </c>
      <c r="S361" s="71" t="s">
        <v>293</v>
      </c>
      <c r="T361" s="68" t="s">
        <v>733</v>
      </c>
      <c r="U361" s="68"/>
      <c r="V361" s="68" t="s">
        <v>827</v>
      </c>
      <c r="W361" s="68"/>
      <c r="X361" s="134">
        <v>1</v>
      </c>
    </row>
    <row r="362" spans="3:24">
      <c r="C362" s="58" t="s">
        <v>36</v>
      </c>
      <c r="D362" s="58" t="s">
        <v>36</v>
      </c>
      <c r="E362" s="120" t="s">
        <v>844</v>
      </c>
      <c r="F362" s="68">
        <v>2672573314</v>
      </c>
      <c r="G362" s="58" t="s">
        <v>627</v>
      </c>
      <c r="H362" s="59">
        <v>19600124</v>
      </c>
      <c r="I362" s="60" t="s">
        <v>725</v>
      </c>
      <c r="J362" s="71" t="s">
        <v>56</v>
      </c>
      <c r="K362" s="70" t="s">
        <v>838</v>
      </c>
      <c r="L362" s="70"/>
      <c r="M362" s="121" t="s">
        <v>868</v>
      </c>
      <c r="N362" s="68" t="s">
        <v>733</v>
      </c>
      <c r="O362" s="132" t="s">
        <v>292</v>
      </c>
      <c r="P362" s="68" t="s">
        <v>733</v>
      </c>
      <c r="Q362" s="71" t="s">
        <v>293</v>
      </c>
      <c r="R362" s="68" t="s">
        <v>733</v>
      </c>
      <c r="S362" s="71" t="s">
        <v>293</v>
      </c>
      <c r="T362" s="68" t="s">
        <v>733</v>
      </c>
      <c r="U362" s="68"/>
      <c r="V362" s="68" t="s">
        <v>827</v>
      </c>
      <c r="W362" s="68"/>
      <c r="X362" s="134">
        <v>1</v>
      </c>
    </row>
    <row r="363" spans="3:24">
      <c r="C363" s="58" t="s">
        <v>36</v>
      </c>
      <c r="D363" s="58" t="s">
        <v>36</v>
      </c>
      <c r="E363" s="120" t="s">
        <v>844</v>
      </c>
      <c r="F363" s="68">
        <v>2672573314</v>
      </c>
      <c r="G363" s="58" t="s">
        <v>628</v>
      </c>
      <c r="H363" s="59">
        <v>26448805</v>
      </c>
      <c r="I363" s="60" t="s">
        <v>725</v>
      </c>
      <c r="J363" s="71" t="s">
        <v>56</v>
      </c>
      <c r="K363" s="70" t="s">
        <v>838</v>
      </c>
      <c r="L363" s="70"/>
      <c r="M363" s="121" t="s">
        <v>868</v>
      </c>
      <c r="N363" s="68" t="s">
        <v>733</v>
      </c>
      <c r="O363" s="132" t="s">
        <v>292</v>
      </c>
      <c r="P363" s="68" t="s">
        <v>733</v>
      </c>
      <c r="Q363" s="71" t="s">
        <v>293</v>
      </c>
      <c r="R363" s="68" t="s">
        <v>733</v>
      </c>
      <c r="S363" s="71" t="s">
        <v>293</v>
      </c>
      <c r="T363" s="68" t="s">
        <v>733</v>
      </c>
      <c r="U363" s="68"/>
      <c r="V363" s="68" t="s">
        <v>827</v>
      </c>
      <c r="W363" s="68"/>
      <c r="X363" s="134">
        <v>1</v>
      </c>
    </row>
    <row r="364" spans="3:24">
      <c r="C364" s="58" t="s">
        <v>36</v>
      </c>
      <c r="D364" s="58" t="s">
        <v>36</v>
      </c>
      <c r="E364" s="120" t="s">
        <v>844</v>
      </c>
      <c r="F364" s="68">
        <v>2672573314</v>
      </c>
      <c r="G364" s="58" t="s">
        <v>640</v>
      </c>
      <c r="H364" s="59">
        <v>30038779</v>
      </c>
      <c r="I364" s="60" t="s">
        <v>725</v>
      </c>
      <c r="J364" s="71" t="s">
        <v>53</v>
      </c>
      <c r="K364" s="70" t="s">
        <v>838</v>
      </c>
      <c r="L364" s="70"/>
      <c r="M364" s="121" t="s">
        <v>868</v>
      </c>
      <c r="N364" s="68" t="s">
        <v>733</v>
      </c>
      <c r="O364" s="132" t="s">
        <v>292</v>
      </c>
      <c r="P364" s="68" t="s">
        <v>733</v>
      </c>
      <c r="Q364" s="71" t="s">
        <v>293</v>
      </c>
      <c r="R364" s="68" t="s">
        <v>733</v>
      </c>
      <c r="S364" s="71" t="s">
        <v>293</v>
      </c>
      <c r="T364" s="68" t="s">
        <v>733</v>
      </c>
      <c r="U364" s="68"/>
      <c r="V364" s="68" t="s">
        <v>827</v>
      </c>
      <c r="W364" s="68"/>
      <c r="X364" s="134">
        <v>1</v>
      </c>
    </row>
    <row r="365" spans="3:24">
      <c r="C365" s="58" t="s">
        <v>36</v>
      </c>
      <c r="D365" s="58" t="s">
        <v>36</v>
      </c>
      <c r="E365" s="120" t="s">
        <v>844</v>
      </c>
      <c r="F365" s="68">
        <v>2672573314</v>
      </c>
      <c r="G365" s="58" t="s">
        <v>718</v>
      </c>
      <c r="H365" s="59">
        <v>27698734</v>
      </c>
      <c r="I365" s="60" t="s">
        <v>725</v>
      </c>
      <c r="J365" s="71" t="s">
        <v>56</v>
      </c>
      <c r="K365" s="70" t="s">
        <v>838</v>
      </c>
      <c r="L365" s="70"/>
      <c r="M365" s="121" t="s">
        <v>868</v>
      </c>
      <c r="N365" s="68" t="s">
        <v>733</v>
      </c>
      <c r="O365" s="132" t="s">
        <v>292</v>
      </c>
      <c r="P365" s="68" t="s">
        <v>733</v>
      </c>
      <c r="Q365" s="71" t="s">
        <v>293</v>
      </c>
      <c r="R365" s="68" t="s">
        <v>733</v>
      </c>
      <c r="S365" s="71" t="s">
        <v>293</v>
      </c>
      <c r="T365" s="68" t="s">
        <v>733</v>
      </c>
      <c r="U365" s="68"/>
      <c r="V365" s="68" t="s">
        <v>827</v>
      </c>
      <c r="W365" s="68"/>
      <c r="X365" s="134">
        <v>1</v>
      </c>
    </row>
    <row r="366" spans="3:24">
      <c r="C366" s="58" t="s">
        <v>36</v>
      </c>
      <c r="D366" s="58" t="s">
        <v>36</v>
      </c>
      <c r="E366" s="120" t="s">
        <v>844</v>
      </c>
      <c r="F366" s="68">
        <v>2672573314</v>
      </c>
      <c r="G366" s="58" t="s">
        <v>629</v>
      </c>
      <c r="H366" s="59">
        <v>19657734</v>
      </c>
      <c r="I366" s="70" t="s">
        <v>730</v>
      </c>
      <c r="J366" s="71" t="s">
        <v>56</v>
      </c>
      <c r="K366" s="70" t="s">
        <v>838</v>
      </c>
      <c r="L366" s="70"/>
      <c r="M366" s="121" t="s">
        <v>868</v>
      </c>
      <c r="N366" s="68" t="s">
        <v>733</v>
      </c>
      <c r="O366" s="132" t="s">
        <v>292</v>
      </c>
      <c r="P366" s="68" t="s">
        <v>733</v>
      </c>
      <c r="Q366" s="71" t="s">
        <v>293</v>
      </c>
      <c r="R366" s="68" t="s">
        <v>733</v>
      </c>
      <c r="S366" s="71" t="s">
        <v>293</v>
      </c>
      <c r="T366" s="68" t="s">
        <v>733</v>
      </c>
      <c r="U366" s="68"/>
      <c r="V366" s="68" t="s">
        <v>827</v>
      </c>
      <c r="W366" s="68"/>
      <c r="X366" s="134">
        <v>1</v>
      </c>
    </row>
    <row r="367" spans="3:24">
      <c r="C367" s="58" t="s">
        <v>36</v>
      </c>
      <c r="D367" s="58" t="s">
        <v>36</v>
      </c>
      <c r="E367" s="120" t="s">
        <v>844</v>
      </c>
      <c r="F367" s="68">
        <v>2672573314</v>
      </c>
      <c r="G367" s="58" t="s">
        <v>630</v>
      </c>
      <c r="H367" s="59">
        <v>19361262</v>
      </c>
      <c r="I367" s="60" t="s">
        <v>725</v>
      </c>
      <c r="J367" s="71" t="s">
        <v>56</v>
      </c>
      <c r="K367" s="70" t="s">
        <v>838</v>
      </c>
      <c r="L367" s="70"/>
      <c r="M367" s="121" t="s">
        <v>868</v>
      </c>
      <c r="N367" s="68" t="s">
        <v>733</v>
      </c>
      <c r="O367" s="132" t="s">
        <v>292</v>
      </c>
      <c r="P367" s="68" t="s">
        <v>733</v>
      </c>
      <c r="Q367" s="71" t="s">
        <v>293</v>
      </c>
      <c r="R367" s="68" t="s">
        <v>733</v>
      </c>
      <c r="S367" s="71" t="s">
        <v>293</v>
      </c>
      <c r="T367" s="68" t="s">
        <v>733</v>
      </c>
      <c r="U367" s="68"/>
      <c r="V367" s="68" t="s">
        <v>827</v>
      </c>
      <c r="W367" s="68"/>
      <c r="X367" s="134">
        <v>1</v>
      </c>
    </row>
    <row r="368" spans="3:24">
      <c r="C368" s="58" t="s">
        <v>36</v>
      </c>
      <c r="D368" s="58" t="s">
        <v>36</v>
      </c>
      <c r="E368" s="120" t="s">
        <v>844</v>
      </c>
      <c r="F368" s="68">
        <v>2672573314</v>
      </c>
      <c r="G368" s="58" t="s">
        <v>631</v>
      </c>
      <c r="H368" s="59">
        <v>18834932</v>
      </c>
      <c r="I368" s="60" t="s">
        <v>725</v>
      </c>
      <c r="J368" s="71" t="s">
        <v>56</v>
      </c>
      <c r="K368" s="70" t="s">
        <v>838</v>
      </c>
      <c r="L368" s="70"/>
      <c r="M368" s="121" t="s">
        <v>868</v>
      </c>
      <c r="N368" s="68" t="s">
        <v>733</v>
      </c>
      <c r="O368" s="132" t="s">
        <v>292</v>
      </c>
      <c r="P368" s="68" t="s">
        <v>733</v>
      </c>
      <c r="Q368" s="71" t="s">
        <v>293</v>
      </c>
      <c r="R368" s="68" t="s">
        <v>733</v>
      </c>
      <c r="S368" s="71" t="s">
        <v>293</v>
      </c>
      <c r="T368" s="68" t="s">
        <v>733</v>
      </c>
      <c r="U368" s="68"/>
      <c r="V368" s="68" t="s">
        <v>827</v>
      </c>
      <c r="W368" s="68"/>
      <c r="X368" s="134">
        <v>1</v>
      </c>
    </row>
    <row r="369" spans="3:24">
      <c r="C369" s="58" t="s">
        <v>36</v>
      </c>
      <c r="D369" s="58" t="s">
        <v>36</v>
      </c>
      <c r="E369" s="120" t="s">
        <v>844</v>
      </c>
      <c r="F369" s="68">
        <v>2672573314</v>
      </c>
      <c r="G369" s="58" t="s">
        <v>632</v>
      </c>
      <c r="H369" s="59">
        <v>15823162</v>
      </c>
      <c r="I369" s="70" t="s">
        <v>730</v>
      </c>
      <c r="J369" s="71" t="s">
        <v>56</v>
      </c>
      <c r="K369" s="70" t="s">
        <v>838</v>
      </c>
      <c r="L369" s="70"/>
      <c r="M369" s="121" t="s">
        <v>868</v>
      </c>
      <c r="N369" s="68" t="s">
        <v>733</v>
      </c>
      <c r="O369" s="132" t="s">
        <v>292</v>
      </c>
      <c r="P369" s="68" t="s">
        <v>733</v>
      </c>
      <c r="Q369" s="71" t="s">
        <v>293</v>
      </c>
      <c r="R369" s="68" t="s">
        <v>733</v>
      </c>
      <c r="S369" s="71" t="s">
        <v>293</v>
      </c>
      <c r="T369" s="68" t="s">
        <v>733</v>
      </c>
      <c r="U369" s="68"/>
      <c r="V369" s="68" t="s">
        <v>827</v>
      </c>
      <c r="W369" s="68"/>
      <c r="X369" s="134">
        <v>1</v>
      </c>
    </row>
    <row r="370" spans="3:24">
      <c r="C370" s="58" t="s">
        <v>36</v>
      </c>
      <c r="D370" s="58" t="s">
        <v>36</v>
      </c>
      <c r="E370" s="120" t="s">
        <v>844</v>
      </c>
      <c r="F370" s="68">
        <v>2672573314</v>
      </c>
      <c r="G370" s="58" t="s">
        <v>633</v>
      </c>
      <c r="H370" s="59">
        <v>19067089</v>
      </c>
      <c r="I370" s="60" t="s">
        <v>725</v>
      </c>
      <c r="J370" s="71" t="s">
        <v>56</v>
      </c>
      <c r="K370" s="70" t="s">
        <v>838</v>
      </c>
      <c r="L370" s="70"/>
      <c r="M370" s="121" t="s">
        <v>868</v>
      </c>
      <c r="N370" s="68" t="s">
        <v>733</v>
      </c>
      <c r="O370" s="132" t="s">
        <v>292</v>
      </c>
      <c r="P370" s="68" t="s">
        <v>733</v>
      </c>
      <c r="Q370" s="71" t="s">
        <v>293</v>
      </c>
      <c r="R370" s="68" t="s">
        <v>733</v>
      </c>
      <c r="S370" s="71" t="s">
        <v>293</v>
      </c>
      <c r="T370" s="68" t="s">
        <v>733</v>
      </c>
      <c r="U370" s="68"/>
      <c r="V370" s="68" t="s">
        <v>827</v>
      </c>
      <c r="W370" s="68"/>
      <c r="X370" s="134">
        <v>1</v>
      </c>
    </row>
    <row r="371" spans="3:24" s="70" customFormat="1">
      <c r="C371" s="58" t="s">
        <v>36</v>
      </c>
      <c r="D371" s="58" t="s">
        <v>36</v>
      </c>
      <c r="E371" s="120" t="s">
        <v>844</v>
      </c>
      <c r="F371" s="68">
        <v>2672573314</v>
      </c>
      <c r="G371" s="58" t="s">
        <v>634</v>
      </c>
      <c r="H371" s="59">
        <v>21152260</v>
      </c>
      <c r="I371" s="70" t="s">
        <v>730</v>
      </c>
      <c r="J371" s="71" t="s">
        <v>56</v>
      </c>
      <c r="K371" s="70" t="s">
        <v>838</v>
      </c>
      <c r="M371" s="121" t="s">
        <v>868</v>
      </c>
      <c r="N371" s="68" t="s">
        <v>733</v>
      </c>
      <c r="O371" s="132" t="s">
        <v>292</v>
      </c>
      <c r="P371" s="68" t="s">
        <v>733</v>
      </c>
      <c r="Q371" s="71" t="s">
        <v>293</v>
      </c>
      <c r="R371" s="68" t="s">
        <v>733</v>
      </c>
      <c r="S371" s="71" t="s">
        <v>293</v>
      </c>
      <c r="T371" s="68" t="s">
        <v>733</v>
      </c>
      <c r="U371" s="68"/>
      <c r="V371" s="68" t="s">
        <v>827</v>
      </c>
      <c r="W371" s="68"/>
      <c r="X371" s="134">
        <v>1</v>
      </c>
    </row>
    <row r="372" spans="3:24" s="70" customFormat="1">
      <c r="C372" s="58" t="s">
        <v>36</v>
      </c>
      <c r="D372" s="58" t="s">
        <v>36</v>
      </c>
      <c r="E372" s="120" t="s">
        <v>844</v>
      </c>
      <c r="F372" s="68">
        <v>2672573314</v>
      </c>
      <c r="G372" s="58" t="s">
        <v>635</v>
      </c>
      <c r="H372" s="59">
        <v>27695464</v>
      </c>
      <c r="I372" s="60" t="s">
        <v>725</v>
      </c>
      <c r="J372" s="71" t="s">
        <v>56</v>
      </c>
      <c r="K372" s="70" t="s">
        <v>838</v>
      </c>
      <c r="M372" s="121" t="s">
        <v>868</v>
      </c>
      <c r="N372" s="68" t="s">
        <v>733</v>
      </c>
      <c r="O372" s="132" t="s">
        <v>292</v>
      </c>
      <c r="P372" s="68" t="s">
        <v>733</v>
      </c>
      <c r="Q372" s="71" t="s">
        <v>293</v>
      </c>
      <c r="R372" s="68" t="s">
        <v>733</v>
      </c>
      <c r="S372" s="71" t="s">
        <v>293</v>
      </c>
      <c r="T372" s="68" t="s">
        <v>733</v>
      </c>
      <c r="U372" s="68"/>
      <c r="V372" s="68" t="s">
        <v>827</v>
      </c>
      <c r="W372" s="68"/>
      <c r="X372" s="134">
        <v>1</v>
      </c>
    </row>
    <row r="373" spans="3:24" s="70" customFormat="1">
      <c r="C373" s="94" t="s">
        <v>36</v>
      </c>
      <c r="D373" s="94" t="s">
        <v>36</v>
      </c>
      <c r="E373" s="123" t="s">
        <v>844</v>
      </c>
      <c r="F373" s="98">
        <v>2672573314</v>
      </c>
      <c r="G373" s="94" t="s">
        <v>765</v>
      </c>
      <c r="H373" s="95">
        <v>17272072</v>
      </c>
      <c r="I373" s="96" t="s">
        <v>729</v>
      </c>
      <c r="J373" s="97" t="s">
        <v>55</v>
      </c>
      <c r="K373" s="94" t="s">
        <v>838</v>
      </c>
      <c r="L373" s="94"/>
      <c r="M373" s="97" t="s">
        <v>868</v>
      </c>
      <c r="N373" s="98" t="s">
        <v>733</v>
      </c>
      <c r="O373" s="130" t="s">
        <v>869</v>
      </c>
      <c r="P373" s="99" t="s">
        <v>733</v>
      </c>
      <c r="Q373" s="97" t="s">
        <v>869</v>
      </c>
      <c r="R373" s="99" t="s">
        <v>733</v>
      </c>
      <c r="S373" s="97" t="s">
        <v>869</v>
      </c>
      <c r="T373" s="98" t="s">
        <v>733</v>
      </c>
      <c r="U373" s="98"/>
      <c r="V373" s="98" t="s">
        <v>827</v>
      </c>
      <c r="W373" s="98" t="s">
        <v>866</v>
      </c>
      <c r="X373" s="134">
        <v>1</v>
      </c>
    </row>
    <row r="374" spans="3:24" s="70" customFormat="1">
      <c r="C374" s="58" t="s">
        <v>36</v>
      </c>
      <c r="D374" s="58" t="s">
        <v>36</v>
      </c>
      <c r="E374" s="120" t="s">
        <v>844</v>
      </c>
      <c r="F374" s="68">
        <v>2672573314</v>
      </c>
      <c r="G374" s="58" t="s">
        <v>783</v>
      </c>
      <c r="H374" s="52">
        <v>18972992</v>
      </c>
      <c r="I374" s="60" t="s">
        <v>729</v>
      </c>
      <c r="J374" s="71" t="s">
        <v>55</v>
      </c>
      <c r="K374" s="70" t="s">
        <v>838</v>
      </c>
      <c r="M374" s="121" t="s">
        <v>868</v>
      </c>
      <c r="N374" s="68" t="s">
        <v>733</v>
      </c>
      <c r="O374" s="132" t="s">
        <v>293</v>
      </c>
      <c r="P374" s="68" t="s">
        <v>733</v>
      </c>
      <c r="Q374" s="71" t="s">
        <v>293</v>
      </c>
      <c r="R374" s="68" t="s">
        <v>733</v>
      </c>
      <c r="S374" s="71" t="s">
        <v>293</v>
      </c>
      <c r="T374" s="68" t="s">
        <v>733</v>
      </c>
      <c r="U374" s="68"/>
      <c r="V374" s="68" t="s">
        <v>827</v>
      </c>
      <c r="W374" s="68"/>
      <c r="X374" s="134">
        <v>1</v>
      </c>
    </row>
    <row r="375" spans="3:24">
      <c r="C375" s="58" t="s">
        <v>36</v>
      </c>
      <c r="D375" s="58" t="s">
        <v>36</v>
      </c>
      <c r="E375" s="120" t="s">
        <v>844</v>
      </c>
      <c r="F375" s="68">
        <v>2672573314</v>
      </c>
      <c r="G375" s="58" t="s">
        <v>803</v>
      </c>
      <c r="H375" s="59">
        <v>28482162</v>
      </c>
      <c r="I375" s="60" t="s">
        <v>729</v>
      </c>
      <c r="J375" s="71" t="s">
        <v>55</v>
      </c>
      <c r="K375" s="70" t="s">
        <v>838</v>
      </c>
      <c r="L375" s="70"/>
      <c r="M375" s="121" t="s">
        <v>868</v>
      </c>
      <c r="N375" s="68" t="s">
        <v>733</v>
      </c>
      <c r="O375" s="132" t="s">
        <v>293</v>
      </c>
      <c r="P375" s="68" t="s">
        <v>733</v>
      </c>
      <c r="Q375" s="71" t="s">
        <v>293</v>
      </c>
      <c r="R375" s="68" t="s">
        <v>733</v>
      </c>
      <c r="S375" s="71" t="s">
        <v>293</v>
      </c>
      <c r="T375" s="68" t="s">
        <v>733</v>
      </c>
      <c r="U375" s="68"/>
      <c r="V375" s="68" t="s">
        <v>827</v>
      </c>
      <c r="W375" s="68"/>
      <c r="X375" s="134">
        <v>1</v>
      </c>
    </row>
    <row r="376" spans="3:24">
      <c r="C376" s="58" t="s">
        <v>36</v>
      </c>
      <c r="D376" s="58" t="s">
        <v>36</v>
      </c>
      <c r="E376" s="120" t="s">
        <v>844</v>
      </c>
      <c r="F376" s="68">
        <v>2672573314</v>
      </c>
      <c r="G376" s="58" t="s">
        <v>807</v>
      </c>
      <c r="H376" s="59">
        <v>29866305</v>
      </c>
      <c r="I376" s="60" t="s">
        <v>729</v>
      </c>
      <c r="J376" s="71" t="s">
        <v>55</v>
      </c>
      <c r="K376" s="70" t="s">
        <v>838</v>
      </c>
      <c r="L376" s="70"/>
      <c r="M376" s="121" t="s">
        <v>868</v>
      </c>
      <c r="N376" s="68" t="s">
        <v>733</v>
      </c>
      <c r="O376" s="132" t="s">
        <v>293</v>
      </c>
      <c r="P376" s="68" t="s">
        <v>733</v>
      </c>
      <c r="Q376" s="71" t="s">
        <v>293</v>
      </c>
      <c r="R376" s="68" t="s">
        <v>733</v>
      </c>
      <c r="S376" s="71" t="s">
        <v>293</v>
      </c>
      <c r="T376" s="68" t="s">
        <v>733</v>
      </c>
      <c r="U376" s="68"/>
      <c r="V376" s="68" t="s">
        <v>827</v>
      </c>
      <c r="W376" s="68"/>
      <c r="X376" s="134">
        <v>1</v>
      </c>
    </row>
    <row r="377" spans="3:24">
      <c r="C377" s="58" t="s">
        <v>642</v>
      </c>
      <c r="D377" s="58" t="s">
        <v>642</v>
      </c>
      <c r="E377" s="120" t="s">
        <v>844</v>
      </c>
      <c r="F377" s="68">
        <v>2672573314</v>
      </c>
      <c r="G377" s="58" t="s">
        <v>643</v>
      </c>
      <c r="H377" s="59">
        <v>18324998</v>
      </c>
      <c r="I377" s="60" t="s">
        <v>725</v>
      </c>
      <c r="J377" s="71" t="s">
        <v>56</v>
      </c>
      <c r="K377" s="70" t="s">
        <v>870</v>
      </c>
      <c r="L377" s="70"/>
      <c r="M377" s="121" t="s">
        <v>868</v>
      </c>
      <c r="N377" s="68" t="s">
        <v>733</v>
      </c>
      <c r="O377" s="132" t="s">
        <v>292</v>
      </c>
      <c r="P377" s="73">
        <v>45962</v>
      </c>
      <c r="Q377" s="71" t="s">
        <v>293</v>
      </c>
      <c r="R377" s="68" t="s">
        <v>733</v>
      </c>
      <c r="S377" s="71" t="s">
        <v>293</v>
      </c>
      <c r="T377" s="68" t="s">
        <v>733</v>
      </c>
      <c r="U377" s="68"/>
      <c r="V377" s="68" t="s">
        <v>827</v>
      </c>
      <c r="W377" s="68"/>
      <c r="X377" s="134">
        <v>1</v>
      </c>
    </row>
    <row r="378" spans="3:24">
      <c r="C378" s="58" t="s">
        <v>642</v>
      </c>
      <c r="D378" s="58" t="s">
        <v>642</v>
      </c>
      <c r="E378" s="120" t="s">
        <v>844</v>
      </c>
      <c r="F378" s="68">
        <v>2672573314</v>
      </c>
      <c r="G378" s="58" t="s">
        <v>644</v>
      </c>
      <c r="H378" s="59">
        <v>26938811</v>
      </c>
      <c r="I378" s="70" t="s">
        <v>730</v>
      </c>
      <c r="J378" s="71" t="s">
        <v>56</v>
      </c>
      <c r="K378" s="70" t="s">
        <v>870</v>
      </c>
      <c r="L378" s="70"/>
      <c r="M378" s="121" t="s">
        <v>868</v>
      </c>
      <c r="N378" s="68" t="s">
        <v>733</v>
      </c>
      <c r="O378" s="132" t="s">
        <v>292</v>
      </c>
      <c r="P378" s="73">
        <v>45962</v>
      </c>
      <c r="Q378" s="71" t="s">
        <v>293</v>
      </c>
      <c r="R378" s="68" t="s">
        <v>733</v>
      </c>
      <c r="S378" s="71" t="s">
        <v>293</v>
      </c>
      <c r="T378" s="68" t="s">
        <v>733</v>
      </c>
      <c r="U378" s="68"/>
      <c r="V378" s="68" t="s">
        <v>827</v>
      </c>
      <c r="W378" s="68"/>
      <c r="X378" s="134">
        <v>1</v>
      </c>
    </row>
    <row r="379" spans="3:24">
      <c r="C379" s="58" t="s">
        <v>31</v>
      </c>
      <c r="D379" s="58" t="s">
        <v>31</v>
      </c>
      <c r="E379" s="120" t="s">
        <v>844</v>
      </c>
      <c r="F379" s="68">
        <v>2672573314</v>
      </c>
      <c r="G379" s="58" t="s">
        <v>589</v>
      </c>
      <c r="H379" s="59">
        <v>17196736</v>
      </c>
      <c r="I379" s="70" t="s">
        <v>730</v>
      </c>
      <c r="J379" s="71" t="s">
        <v>56</v>
      </c>
      <c r="K379" s="70" t="s">
        <v>839</v>
      </c>
      <c r="L379" s="70"/>
      <c r="M379" s="121" t="s">
        <v>868</v>
      </c>
      <c r="N379" s="68" t="s">
        <v>733</v>
      </c>
      <c r="O379" s="132" t="s">
        <v>292</v>
      </c>
      <c r="P379" s="73">
        <v>45992</v>
      </c>
      <c r="Q379" s="71" t="s">
        <v>293</v>
      </c>
      <c r="R379" s="68" t="s">
        <v>733</v>
      </c>
      <c r="S379" s="71" t="s">
        <v>293</v>
      </c>
      <c r="T379" s="68" t="s">
        <v>733</v>
      </c>
      <c r="U379" s="68"/>
      <c r="V379" s="68" t="s">
        <v>827</v>
      </c>
      <c r="W379" s="68"/>
      <c r="X379" s="134">
        <v>1</v>
      </c>
    </row>
    <row r="380" spans="3:24">
      <c r="C380" s="58" t="s">
        <v>31</v>
      </c>
      <c r="D380" s="58" t="s">
        <v>31</v>
      </c>
      <c r="E380" s="120" t="s">
        <v>844</v>
      </c>
      <c r="F380" s="68">
        <v>2672573314</v>
      </c>
      <c r="G380" s="58" t="s">
        <v>166</v>
      </c>
      <c r="H380" s="59">
        <v>20943796</v>
      </c>
      <c r="I380" s="60" t="s">
        <v>725</v>
      </c>
      <c r="J380" s="71" t="s">
        <v>56</v>
      </c>
      <c r="K380" s="70" t="s">
        <v>839</v>
      </c>
      <c r="L380" s="70"/>
      <c r="M380" s="121" t="s">
        <v>292</v>
      </c>
      <c r="N380" s="128">
        <v>45748</v>
      </c>
      <c r="O380" s="132" t="s">
        <v>292</v>
      </c>
      <c r="P380" s="127">
        <v>45992</v>
      </c>
      <c r="Q380" s="71" t="s">
        <v>293</v>
      </c>
      <c r="R380" s="68" t="s">
        <v>733</v>
      </c>
      <c r="S380" s="71" t="s">
        <v>293</v>
      </c>
      <c r="T380" s="68" t="s">
        <v>733</v>
      </c>
      <c r="U380" s="68"/>
      <c r="V380" s="68" t="s">
        <v>827</v>
      </c>
      <c r="W380" s="68"/>
      <c r="X380" s="134">
        <v>1</v>
      </c>
    </row>
    <row r="381" spans="3:24">
      <c r="C381" s="58" t="s">
        <v>31</v>
      </c>
      <c r="D381" s="58" t="s">
        <v>31</v>
      </c>
      <c r="E381" s="120" t="s">
        <v>844</v>
      </c>
      <c r="F381" s="68">
        <v>2672573314</v>
      </c>
      <c r="G381" s="58" t="s">
        <v>492</v>
      </c>
      <c r="H381" s="59">
        <v>27193698</v>
      </c>
      <c r="I381" s="60" t="s">
        <v>725</v>
      </c>
      <c r="J381" s="71" t="s">
        <v>56</v>
      </c>
      <c r="K381" s="70" t="s">
        <v>839</v>
      </c>
      <c r="L381" s="70"/>
      <c r="M381" s="121" t="s">
        <v>292</v>
      </c>
      <c r="N381" s="128">
        <v>45748</v>
      </c>
      <c r="O381" s="132" t="s">
        <v>292</v>
      </c>
      <c r="P381" s="127">
        <v>45992</v>
      </c>
      <c r="Q381" s="71" t="s">
        <v>293</v>
      </c>
      <c r="R381" s="68" t="s">
        <v>733</v>
      </c>
      <c r="S381" s="71" t="s">
        <v>293</v>
      </c>
      <c r="T381" s="68" t="s">
        <v>733</v>
      </c>
      <c r="U381" s="68"/>
      <c r="V381" s="68" t="s">
        <v>827</v>
      </c>
      <c r="W381" s="68"/>
      <c r="X381" s="134">
        <v>1</v>
      </c>
    </row>
    <row r="382" spans="3:24">
      <c r="C382" s="58" t="s">
        <v>31</v>
      </c>
      <c r="D382" s="58" t="s">
        <v>31</v>
      </c>
      <c r="E382" s="126" t="s">
        <v>844</v>
      </c>
      <c r="F382" s="72">
        <v>2672573314</v>
      </c>
      <c r="G382" s="58" t="s">
        <v>174</v>
      </c>
      <c r="H382" s="52">
        <v>17372733</v>
      </c>
      <c r="I382" s="58" t="s">
        <v>730</v>
      </c>
      <c r="J382" s="121" t="s">
        <v>56</v>
      </c>
      <c r="K382" s="58" t="s">
        <v>839</v>
      </c>
      <c r="L382" s="58"/>
      <c r="M382" s="121" t="s">
        <v>868</v>
      </c>
      <c r="N382" s="68" t="s">
        <v>733</v>
      </c>
      <c r="O382" s="132" t="s">
        <v>292</v>
      </c>
      <c r="P382" s="127">
        <v>45992</v>
      </c>
      <c r="Q382" s="71" t="s">
        <v>293</v>
      </c>
      <c r="R382" s="68" t="s">
        <v>733</v>
      </c>
      <c r="S382" s="71" t="s">
        <v>293</v>
      </c>
      <c r="T382" s="68" t="s">
        <v>733</v>
      </c>
      <c r="U382" s="68"/>
      <c r="V382" s="68" t="s">
        <v>827</v>
      </c>
      <c r="W382" s="68"/>
      <c r="X382" s="134">
        <v>1</v>
      </c>
    </row>
    <row r="383" spans="3:24">
      <c r="C383" s="58" t="s">
        <v>31</v>
      </c>
      <c r="D383" s="58" t="s">
        <v>31</v>
      </c>
      <c r="E383" s="126" t="s">
        <v>844</v>
      </c>
      <c r="F383" s="72">
        <v>2672573314</v>
      </c>
      <c r="G383" s="58" t="s">
        <v>172</v>
      </c>
      <c r="H383" s="52">
        <v>15778646</v>
      </c>
      <c r="I383" s="81" t="s">
        <v>725</v>
      </c>
      <c r="J383" s="121" t="s">
        <v>56</v>
      </c>
      <c r="K383" s="58" t="s">
        <v>839</v>
      </c>
      <c r="L383" s="58"/>
      <c r="M383" s="121" t="s">
        <v>868</v>
      </c>
      <c r="N383" s="68" t="s">
        <v>733</v>
      </c>
      <c r="O383" s="132" t="s">
        <v>292</v>
      </c>
      <c r="P383" s="127">
        <v>45992</v>
      </c>
      <c r="Q383" s="71" t="s">
        <v>293</v>
      </c>
      <c r="R383" s="68" t="s">
        <v>733</v>
      </c>
      <c r="S383" s="71" t="s">
        <v>293</v>
      </c>
      <c r="T383" s="68" t="s">
        <v>733</v>
      </c>
      <c r="U383" s="68"/>
      <c r="V383" s="68" t="s">
        <v>827</v>
      </c>
      <c r="W383" s="68"/>
      <c r="X383" s="134">
        <v>1</v>
      </c>
    </row>
    <row r="384" spans="3:24">
      <c r="C384" s="58" t="s">
        <v>31</v>
      </c>
      <c r="D384" s="58" t="s">
        <v>31</v>
      </c>
      <c r="E384" s="120" t="s">
        <v>844</v>
      </c>
      <c r="F384" s="68">
        <v>2672573314</v>
      </c>
      <c r="G384" s="58" t="s">
        <v>177</v>
      </c>
      <c r="H384" s="59">
        <v>16404187</v>
      </c>
      <c r="I384" s="70" t="s">
        <v>730</v>
      </c>
      <c r="J384" s="71" t="s">
        <v>56</v>
      </c>
      <c r="K384" s="70" t="s">
        <v>839</v>
      </c>
      <c r="L384" s="70"/>
      <c r="M384" s="121" t="s">
        <v>868</v>
      </c>
      <c r="N384" s="68" t="s">
        <v>733</v>
      </c>
      <c r="O384" s="132" t="s">
        <v>292</v>
      </c>
      <c r="P384" s="73">
        <v>45992</v>
      </c>
      <c r="Q384" s="71" t="s">
        <v>293</v>
      </c>
      <c r="R384" s="68" t="s">
        <v>733</v>
      </c>
      <c r="S384" s="71" t="s">
        <v>293</v>
      </c>
      <c r="T384" s="68" t="s">
        <v>733</v>
      </c>
      <c r="U384" s="68"/>
      <c r="V384" s="68" t="s">
        <v>827</v>
      </c>
      <c r="W384" s="68"/>
      <c r="X384" s="134">
        <v>1</v>
      </c>
    </row>
    <row r="385" spans="3:24">
      <c r="C385" s="58" t="s">
        <v>31</v>
      </c>
      <c r="D385" s="58" t="s">
        <v>31</v>
      </c>
      <c r="E385" s="120" t="s">
        <v>844</v>
      </c>
      <c r="F385" s="68">
        <v>2672573314</v>
      </c>
      <c r="G385" s="58" t="s">
        <v>167</v>
      </c>
      <c r="H385" s="59">
        <v>26584200</v>
      </c>
      <c r="I385" s="60" t="s">
        <v>725</v>
      </c>
      <c r="J385" s="71" t="s">
        <v>56</v>
      </c>
      <c r="K385" s="70" t="s">
        <v>839</v>
      </c>
      <c r="L385" s="70"/>
      <c r="M385" s="121" t="s">
        <v>868</v>
      </c>
      <c r="N385" s="68" t="s">
        <v>733</v>
      </c>
      <c r="O385" s="132" t="s">
        <v>292</v>
      </c>
      <c r="P385" s="73">
        <v>45992</v>
      </c>
      <c r="Q385" s="71" t="s">
        <v>293</v>
      </c>
      <c r="R385" s="68" t="s">
        <v>733</v>
      </c>
      <c r="S385" s="71" t="s">
        <v>293</v>
      </c>
      <c r="T385" s="68" t="s">
        <v>733</v>
      </c>
      <c r="U385" s="68"/>
      <c r="V385" s="68" t="s">
        <v>827</v>
      </c>
      <c r="W385" s="68"/>
      <c r="X385" s="134">
        <v>1</v>
      </c>
    </row>
    <row r="386" spans="3:24">
      <c r="C386" s="58" t="s">
        <v>31</v>
      </c>
      <c r="D386" s="58" t="s">
        <v>31</v>
      </c>
      <c r="E386" s="126" t="s">
        <v>844</v>
      </c>
      <c r="F386" s="72">
        <v>2672573314</v>
      </c>
      <c r="G386" s="58" t="s">
        <v>341</v>
      </c>
      <c r="H386" s="52">
        <v>27737966</v>
      </c>
      <c r="I386" s="81" t="s">
        <v>725</v>
      </c>
      <c r="J386" s="121" t="s">
        <v>56</v>
      </c>
      <c r="K386" s="58" t="s">
        <v>839</v>
      </c>
      <c r="L386" s="58"/>
      <c r="M386" s="121" t="s">
        <v>868</v>
      </c>
      <c r="N386" s="68" t="s">
        <v>733</v>
      </c>
      <c r="O386" s="132" t="s">
        <v>292</v>
      </c>
      <c r="P386" s="127">
        <v>45992</v>
      </c>
      <c r="Q386" s="71" t="s">
        <v>293</v>
      </c>
      <c r="R386" s="68" t="s">
        <v>733</v>
      </c>
      <c r="S386" s="71" t="s">
        <v>293</v>
      </c>
      <c r="T386" s="68" t="s">
        <v>733</v>
      </c>
      <c r="U386" s="68"/>
      <c r="V386" s="68" t="s">
        <v>827</v>
      </c>
      <c r="W386" s="68"/>
      <c r="X386" s="134">
        <v>1</v>
      </c>
    </row>
    <row r="387" spans="3:24">
      <c r="C387" s="58" t="s">
        <v>31</v>
      </c>
      <c r="D387" s="58" t="s">
        <v>31</v>
      </c>
      <c r="E387" s="120" t="s">
        <v>844</v>
      </c>
      <c r="F387" s="68">
        <v>2672573314</v>
      </c>
      <c r="G387" s="58" t="s">
        <v>168</v>
      </c>
      <c r="H387" s="59">
        <v>19431115</v>
      </c>
      <c r="I387" s="60" t="s">
        <v>725</v>
      </c>
      <c r="J387" s="71" t="s">
        <v>56</v>
      </c>
      <c r="K387" s="70" t="s">
        <v>839</v>
      </c>
      <c r="L387" s="70"/>
      <c r="M387" s="121" t="s">
        <v>868</v>
      </c>
      <c r="N387" s="68" t="s">
        <v>733</v>
      </c>
      <c r="O387" s="132" t="s">
        <v>292</v>
      </c>
      <c r="P387" s="73">
        <v>45992</v>
      </c>
      <c r="Q387" s="71" t="s">
        <v>293</v>
      </c>
      <c r="R387" s="68" t="s">
        <v>733</v>
      </c>
      <c r="S387" s="71" t="s">
        <v>293</v>
      </c>
      <c r="T387" s="68" t="s">
        <v>733</v>
      </c>
      <c r="U387" s="68"/>
      <c r="V387" s="68" t="s">
        <v>827</v>
      </c>
      <c r="W387" s="68"/>
      <c r="X387" s="134">
        <v>1</v>
      </c>
    </row>
    <row r="388" spans="3:24">
      <c r="C388" s="58" t="s">
        <v>31</v>
      </c>
      <c r="D388" s="58" t="s">
        <v>31</v>
      </c>
      <c r="E388" s="120" t="s">
        <v>844</v>
      </c>
      <c r="F388" s="68">
        <v>2672573314</v>
      </c>
      <c r="G388" s="58" t="s">
        <v>162</v>
      </c>
      <c r="H388" s="59">
        <v>18057256</v>
      </c>
      <c r="I388" s="70" t="s">
        <v>730</v>
      </c>
      <c r="J388" s="71" t="s">
        <v>53</v>
      </c>
      <c r="K388" s="70" t="s">
        <v>839</v>
      </c>
      <c r="L388" s="70"/>
      <c r="M388" s="121" t="s">
        <v>292</v>
      </c>
      <c r="N388" s="128">
        <v>45748</v>
      </c>
      <c r="O388" s="132" t="s">
        <v>292</v>
      </c>
      <c r="P388" s="73">
        <v>45992</v>
      </c>
      <c r="Q388" s="71" t="s">
        <v>293</v>
      </c>
      <c r="R388" s="68" t="s">
        <v>733</v>
      </c>
      <c r="S388" s="71" t="s">
        <v>293</v>
      </c>
      <c r="T388" s="68" t="s">
        <v>733</v>
      </c>
      <c r="U388" s="68"/>
      <c r="V388" s="68" t="s">
        <v>827</v>
      </c>
      <c r="W388" s="68"/>
      <c r="X388" s="134">
        <v>1</v>
      </c>
    </row>
    <row r="389" spans="3:24">
      <c r="C389" s="58" t="s">
        <v>31</v>
      </c>
      <c r="D389" s="58" t="s">
        <v>31</v>
      </c>
      <c r="E389" s="126" t="s">
        <v>844</v>
      </c>
      <c r="F389" s="72">
        <v>2672573314</v>
      </c>
      <c r="G389" s="58" t="s">
        <v>171</v>
      </c>
      <c r="H389" s="52">
        <v>26136005</v>
      </c>
      <c r="I389" s="58" t="s">
        <v>730</v>
      </c>
      <c r="J389" s="121" t="s">
        <v>56</v>
      </c>
      <c r="K389" s="58" t="s">
        <v>839</v>
      </c>
      <c r="L389" s="58"/>
      <c r="M389" s="121" t="s">
        <v>868</v>
      </c>
      <c r="N389" s="68" t="s">
        <v>733</v>
      </c>
      <c r="O389" s="132" t="s">
        <v>292</v>
      </c>
      <c r="P389" s="127">
        <v>45992</v>
      </c>
      <c r="Q389" s="71" t="s">
        <v>293</v>
      </c>
      <c r="R389" s="68" t="s">
        <v>733</v>
      </c>
      <c r="S389" s="71" t="s">
        <v>293</v>
      </c>
      <c r="T389" s="68" t="s">
        <v>733</v>
      </c>
      <c r="U389" s="68"/>
      <c r="V389" s="68" t="s">
        <v>827</v>
      </c>
      <c r="W389" s="68"/>
      <c r="X389" s="134">
        <v>1</v>
      </c>
    </row>
    <row r="390" spans="3:24">
      <c r="C390" s="58" t="s">
        <v>31</v>
      </c>
      <c r="D390" s="58" t="s">
        <v>31</v>
      </c>
      <c r="E390" s="126" t="s">
        <v>844</v>
      </c>
      <c r="F390" s="72">
        <v>2672573314</v>
      </c>
      <c r="G390" s="58" t="s">
        <v>590</v>
      </c>
      <c r="H390" s="52">
        <v>18135786</v>
      </c>
      <c r="I390" s="58" t="s">
        <v>730</v>
      </c>
      <c r="J390" s="121" t="s">
        <v>56</v>
      </c>
      <c r="K390" s="58" t="s">
        <v>839</v>
      </c>
      <c r="L390" s="58"/>
      <c r="M390" s="121" t="s">
        <v>868</v>
      </c>
      <c r="N390" s="68" t="s">
        <v>733</v>
      </c>
      <c r="O390" s="132" t="s">
        <v>292</v>
      </c>
      <c r="P390" s="127">
        <v>45992</v>
      </c>
      <c r="Q390" s="71" t="s">
        <v>293</v>
      </c>
      <c r="R390" s="68" t="s">
        <v>733</v>
      </c>
      <c r="S390" s="71" t="s">
        <v>293</v>
      </c>
      <c r="T390" s="68" t="s">
        <v>733</v>
      </c>
      <c r="U390" s="68"/>
      <c r="V390" s="68" t="s">
        <v>827</v>
      </c>
      <c r="W390" s="68"/>
      <c r="X390" s="134">
        <v>1</v>
      </c>
    </row>
    <row r="391" spans="3:24">
      <c r="C391" s="58" t="s">
        <v>31</v>
      </c>
      <c r="D391" s="58" t="s">
        <v>31</v>
      </c>
      <c r="E391" s="120" t="s">
        <v>844</v>
      </c>
      <c r="F391" s="68">
        <v>2672573314</v>
      </c>
      <c r="G391" s="58" t="s">
        <v>165</v>
      </c>
      <c r="H391" s="59">
        <v>30446361</v>
      </c>
      <c r="I391" s="60" t="s">
        <v>725</v>
      </c>
      <c r="J391" s="71" t="s">
        <v>53</v>
      </c>
      <c r="K391" s="70" t="s">
        <v>839</v>
      </c>
      <c r="L391" s="70"/>
      <c r="M391" s="121" t="s">
        <v>292</v>
      </c>
      <c r="N391" s="128">
        <v>45748</v>
      </c>
      <c r="O391" s="132" t="s">
        <v>292</v>
      </c>
      <c r="P391" s="127">
        <v>45992</v>
      </c>
      <c r="Q391" s="71" t="s">
        <v>293</v>
      </c>
      <c r="R391" s="68" t="s">
        <v>733</v>
      </c>
      <c r="S391" s="71" t="s">
        <v>293</v>
      </c>
      <c r="T391" s="68" t="s">
        <v>733</v>
      </c>
      <c r="U391" s="68"/>
      <c r="V391" s="68" t="s">
        <v>827</v>
      </c>
      <c r="W391" s="68"/>
      <c r="X391" s="134">
        <v>1</v>
      </c>
    </row>
    <row r="392" spans="3:24">
      <c r="C392" s="58" t="s">
        <v>31</v>
      </c>
      <c r="D392" s="58" t="s">
        <v>31</v>
      </c>
      <c r="E392" s="126" t="s">
        <v>844</v>
      </c>
      <c r="F392" s="72">
        <v>2672573314</v>
      </c>
      <c r="G392" s="58" t="s">
        <v>179</v>
      </c>
      <c r="H392" s="52">
        <v>29703391</v>
      </c>
      <c r="I392" s="81" t="s">
        <v>725</v>
      </c>
      <c r="J392" s="121" t="s">
        <v>56</v>
      </c>
      <c r="K392" s="58" t="s">
        <v>839</v>
      </c>
      <c r="L392" s="58"/>
      <c r="M392" s="121" t="s">
        <v>868</v>
      </c>
      <c r="N392" s="68" t="s">
        <v>733</v>
      </c>
      <c r="O392" s="132" t="s">
        <v>292</v>
      </c>
      <c r="P392" s="127">
        <v>45992</v>
      </c>
      <c r="Q392" s="71" t="s">
        <v>293</v>
      </c>
      <c r="R392" s="68" t="s">
        <v>733</v>
      </c>
      <c r="S392" s="71" t="s">
        <v>293</v>
      </c>
      <c r="T392" s="68" t="s">
        <v>733</v>
      </c>
      <c r="U392" s="68"/>
      <c r="V392" s="68" t="s">
        <v>827</v>
      </c>
      <c r="W392" s="68"/>
      <c r="X392" s="134">
        <v>1</v>
      </c>
    </row>
    <row r="393" spans="3:24">
      <c r="C393" s="58" t="s">
        <v>31</v>
      </c>
      <c r="D393" s="58" t="s">
        <v>31</v>
      </c>
      <c r="E393" s="120" t="s">
        <v>844</v>
      </c>
      <c r="F393" s="68">
        <v>2672573314</v>
      </c>
      <c r="G393" s="58" t="s">
        <v>491</v>
      </c>
      <c r="H393" s="59">
        <v>14825900</v>
      </c>
      <c r="I393" s="60" t="s">
        <v>725</v>
      </c>
      <c r="J393" s="71" t="s">
        <v>56</v>
      </c>
      <c r="K393" s="70" t="s">
        <v>839</v>
      </c>
      <c r="L393" s="70"/>
      <c r="M393" s="121" t="s">
        <v>292</v>
      </c>
      <c r="N393" s="128">
        <v>45748</v>
      </c>
      <c r="O393" s="132" t="s">
        <v>292</v>
      </c>
      <c r="P393" s="127">
        <v>45992</v>
      </c>
      <c r="Q393" s="71" t="s">
        <v>293</v>
      </c>
      <c r="R393" s="68" t="s">
        <v>733</v>
      </c>
      <c r="S393" s="71" t="s">
        <v>293</v>
      </c>
      <c r="T393" s="68" t="s">
        <v>733</v>
      </c>
      <c r="U393" s="68"/>
      <c r="V393" s="68" t="s">
        <v>827</v>
      </c>
      <c r="W393" s="68"/>
      <c r="X393" s="134">
        <v>1</v>
      </c>
    </row>
    <row r="394" spans="3:24">
      <c r="C394" s="58" t="s">
        <v>31</v>
      </c>
      <c r="D394" s="58" t="s">
        <v>31</v>
      </c>
      <c r="E394" s="126" t="s">
        <v>844</v>
      </c>
      <c r="F394" s="72">
        <v>2672573314</v>
      </c>
      <c r="G394" s="58" t="s">
        <v>182</v>
      </c>
      <c r="H394" s="52">
        <v>27554969</v>
      </c>
      <c r="I394" s="58" t="s">
        <v>730</v>
      </c>
      <c r="J394" s="121" t="s">
        <v>389</v>
      </c>
      <c r="K394" s="58" t="s">
        <v>839</v>
      </c>
      <c r="L394" s="58"/>
      <c r="M394" s="121" t="s">
        <v>868</v>
      </c>
      <c r="N394" s="68" t="s">
        <v>733</v>
      </c>
      <c r="O394" s="132" t="s">
        <v>292</v>
      </c>
      <c r="P394" s="127">
        <v>45992</v>
      </c>
      <c r="Q394" s="71" t="s">
        <v>293</v>
      </c>
      <c r="R394" s="68" t="s">
        <v>733</v>
      </c>
      <c r="S394" s="71" t="s">
        <v>293</v>
      </c>
      <c r="T394" s="68" t="s">
        <v>733</v>
      </c>
      <c r="U394" s="68"/>
      <c r="V394" s="68" t="s">
        <v>827</v>
      </c>
      <c r="W394" s="68"/>
      <c r="X394" s="134">
        <v>1</v>
      </c>
    </row>
    <row r="395" spans="3:24">
      <c r="C395" s="58" t="s">
        <v>31</v>
      </c>
      <c r="D395" s="58" t="s">
        <v>31</v>
      </c>
      <c r="E395" s="126" t="s">
        <v>844</v>
      </c>
      <c r="F395" s="72">
        <v>2672573314</v>
      </c>
      <c r="G395" s="58" t="s">
        <v>588</v>
      </c>
      <c r="H395" s="52">
        <v>15964859</v>
      </c>
      <c r="I395" s="58" t="s">
        <v>730</v>
      </c>
      <c r="J395" s="121" t="s">
        <v>56</v>
      </c>
      <c r="K395" s="58" t="s">
        <v>839</v>
      </c>
      <c r="L395" s="58"/>
      <c r="M395" s="121" t="s">
        <v>868</v>
      </c>
      <c r="N395" s="68" t="s">
        <v>733</v>
      </c>
      <c r="O395" s="132" t="s">
        <v>292</v>
      </c>
      <c r="P395" s="127">
        <v>45992</v>
      </c>
      <c r="Q395" s="71" t="s">
        <v>293</v>
      </c>
      <c r="R395" s="68" t="s">
        <v>733</v>
      </c>
      <c r="S395" s="71" t="s">
        <v>293</v>
      </c>
      <c r="T395" s="68" t="s">
        <v>733</v>
      </c>
      <c r="U395" s="68"/>
      <c r="V395" s="68" t="s">
        <v>827</v>
      </c>
      <c r="W395" s="68"/>
      <c r="X395" s="134">
        <v>1</v>
      </c>
    </row>
    <row r="396" spans="3:24">
      <c r="C396" s="58" t="s">
        <v>31</v>
      </c>
      <c r="D396" s="58" t="s">
        <v>31</v>
      </c>
      <c r="E396" s="120" t="s">
        <v>844</v>
      </c>
      <c r="F396" s="68">
        <v>2672573314</v>
      </c>
      <c r="G396" s="58" t="s">
        <v>176</v>
      </c>
      <c r="H396" s="59">
        <v>10843697</v>
      </c>
      <c r="I396" s="70" t="s">
        <v>730</v>
      </c>
      <c r="J396" s="71" t="s">
        <v>56</v>
      </c>
      <c r="K396" s="70" t="s">
        <v>839</v>
      </c>
      <c r="L396" s="70"/>
      <c r="M396" s="121" t="s">
        <v>868</v>
      </c>
      <c r="N396" s="68" t="s">
        <v>733</v>
      </c>
      <c r="O396" s="132" t="s">
        <v>292</v>
      </c>
      <c r="P396" s="73">
        <v>45992</v>
      </c>
      <c r="Q396" s="71" t="s">
        <v>293</v>
      </c>
      <c r="R396" s="68" t="s">
        <v>733</v>
      </c>
      <c r="S396" s="71" t="s">
        <v>293</v>
      </c>
      <c r="T396" s="68" t="s">
        <v>733</v>
      </c>
      <c r="U396" s="68"/>
      <c r="V396" s="68" t="s">
        <v>827</v>
      </c>
      <c r="W396" s="68"/>
      <c r="X396" s="134">
        <v>1</v>
      </c>
    </row>
    <row r="397" spans="3:24">
      <c r="C397" s="58" t="s">
        <v>31</v>
      </c>
      <c r="D397" s="58" t="s">
        <v>31</v>
      </c>
      <c r="E397" s="120" t="s">
        <v>844</v>
      </c>
      <c r="F397" s="68">
        <v>2672573314</v>
      </c>
      <c r="G397" s="58" t="s">
        <v>169</v>
      </c>
      <c r="H397" s="59">
        <v>30146362</v>
      </c>
      <c r="I397" s="60" t="s">
        <v>725</v>
      </c>
      <c r="J397" s="71" t="s">
        <v>56</v>
      </c>
      <c r="K397" s="70" t="s">
        <v>839</v>
      </c>
      <c r="L397" s="70"/>
      <c r="M397" s="121" t="s">
        <v>868</v>
      </c>
      <c r="N397" s="68" t="s">
        <v>733</v>
      </c>
      <c r="O397" s="132" t="s">
        <v>292</v>
      </c>
      <c r="P397" s="73">
        <v>45992</v>
      </c>
      <c r="Q397" s="71" t="s">
        <v>293</v>
      </c>
      <c r="R397" s="68" t="s">
        <v>733</v>
      </c>
      <c r="S397" s="71" t="s">
        <v>293</v>
      </c>
      <c r="T397" s="68" t="s">
        <v>733</v>
      </c>
      <c r="U397" s="68"/>
      <c r="V397" s="68" t="s">
        <v>827</v>
      </c>
      <c r="W397" s="68"/>
      <c r="X397" s="134">
        <v>1</v>
      </c>
    </row>
    <row r="398" spans="3:24">
      <c r="C398" s="58" t="s">
        <v>31</v>
      </c>
      <c r="D398" s="58" t="s">
        <v>31</v>
      </c>
      <c r="E398" s="120" t="s">
        <v>844</v>
      </c>
      <c r="F398" s="68">
        <v>2672573314</v>
      </c>
      <c r="G398" s="58" t="s">
        <v>586</v>
      </c>
      <c r="H398" s="52">
        <v>22333451</v>
      </c>
      <c r="I398" s="81" t="s">
        <v>410</v>
      </c>
      <c r="J398" s="71" t="s">
        <v>727</v>
      </c>
      <c r="K398" s="70" t="s">
        <v>839</v>
      </c>
      <c r="L398" s="70"/>
      <c r="M398" s="121" t="s">
        <v>868</v>
      </c>
      <c r="N398" s="68" t="s">
        <v>733</v>
      </c>
      <c r="O398" s="132" t="s">
        <v>292</v>
      </c>
      <c r="P398" s="73">
        <v>45992</v>
      </c>
      <c r="Q398" s="71" t="s">
        <v>293</v>
      </c>
      <c r="R398" s="68" t="s">
        <v>733</v>
      </c>
      <c r="S398" s="71" t="s">
        <v>293</v>
      </c>
      <c r="T398" s="68" t="s">
        <v>733</v>
      </c>
      <c r="U398" s="68"/>
      <c r="V398" s="68" t="s">
        <v>827</v>
      </c>
      <c r="W398" s="68"/>
      <c r="X398" s="134">
        <v>1</v>
      </c>
    </row>
    <row r="399" spans="3:24">
      <c r="C399" s="94" t="s">
        <v>31</v>
      </c>
      <c r="D399" s="94" t="s">
        <v>31</v>
      </c>
      <c r="E399" s="123" t="s">
        <v>844</v>
      </c>
      <c r="F399" s="98">
        <v>2672573314</v>
      </c>
      <c r="G399" s="94" t="s">
        <v>342</v>
      </c>
      <c r="H399" s="95">
        <v>24418218</v>
      </c>
      <c r="I399" s="96" t="s">
        <v>706</v>
      </c>
      <c r="J399" s="97" t="s">
        <v>56</v>
      </c>
      <c r="K399" s="94" t="s">
        <v>839</v>
      </c>
      <c r="L399" s="94"/>
      <c r="M399" s="97" t="s">
        <v>868</v>
      </c>
      <c r="N399" s="98" t="s">
        <v>733</v>
      </c>
      <c r="O399" s="130" t="s">
        <v>292</v>
      </c>
      <c r="P399" s="99">
        <v>45992</v>
      </c>
      <c r="Q399" s="97" t="s">
        <v>293</v>
      </c>
      <c r="R399" s="98" t="s">
        <v>733</v>
      </c>
      <c r="S399" s="97" t="s">
        <v>293</v>
      </c>
      <c r="T399" s="98" t="s">
        <v>733</v>
      </c>
      <c r="U399" s="98"/>
      <c r="V399" s="98" t="s">
        <v>827</v>
      </c>
      <c r="W399" s="98" t="s">
        <v>911</v>
      </c>
      <c r="X399" s="139">
        <v>1</v>
      </c>
    </row>
    <row r="400" spans="3:24">
      <c r="C400" s="58" t="s">
        <v>31</v>
      </c>
      <c r="D400" s="58" t="s">
        <v>31</v>
      </c>
      <c r="E400" s="120" t="s">
        <v>844</v>
      </c>
      <c r="F400" s="68">
        <v>2672573314</v>
      </c>
      <c r="G400" s="58" t="s">
        <v>788</v>
      </c>
      <c r="H400" s="52">
        <v>20924368</v>
      </c>
      <c r="I400" s="60" t="s">
        <v>729</v>
      </c>
      <c r="J400" s="71" t="s">
        <v>55</v>
      </c>
      <c r="K400" s="70" t="s">
        <v>839</v>
      </c>
      <c r="L400" s="70"/>
      <c r="M400" s="121" t="s">
        <v>868</v>
      </c>
      <c r="N400" s="68" t="s">
        <v>733</v>
      </c>
      <c r="O400" s="132" t="s">
        <v>293</v>
      </c>
      <c r="P400" s="68" t="s">
        <v>733</v>
      </c>
      <c r="Q400" s="71" t="s">
        <v>293</v>
      </c>
      <c r="R400" s="68" t="s">
        <v>733</v>
      </c>
      <c r="S400" s="71" t="s">
        <v>293</v>
      </c>
      <c r="T400" s="68" t="s">
        <v>733</v>
      </c>
      <c r="U400" s="68"/>
      <c r="V400" s="68" t="s">
        <v>827</v>
      </c>
      <c r="W400" s="68"/>
      <c r="X400" s="134">
        <v>1</v>
      </c>
    </row>
    <row r="401" spans="3:24">
      <c r="C401" s="58" t="s">
        <v>31</v>
      </c>
      <c r="D401" s="58" t="s">
        <v>31</v>
      </c>
      <c r="E401" s="120" t="s">
        <v>844</v>
      </c>
      <c r="F401" s="68">
        <v>2672573314</v>
      </c>
      <c r="G401" s="58" t="s">
        <v>734</v>
      </c>
      <c r="H401" s="59">
        <v>25563223</v>
      </c>
      <c r="I401" s="60" t="s">
        <v>729</v>
      </c>
      <c r="J401" s="71" t="s">
        <v>53</v>
      </c>
      <c r="K401" s="70" t="s">
        <v>839</v>
      </c>
      <c r="L401" s="70"/>
      <c r="M401" s="121" t="s">
        <v>868</v>
      </c>
      <c r="N401" s="68" t="s">
        <v>733</v>
      </c>
      <c r="O401" s="132" t="s">
        <v>292</v>
      </c>
      <c r="P401" s="73">
        <v>45992</v>
      </c>
      <c r="Q401" s="71" t="s">
        <v>293</v>
      </c>
      <c r="R401" s="68" t="s">
        <v>733</v>
      </c>
      <c r="S401" s="71" t="s">
        <v>293</v>
      </c>
      <c r="T401" s="68" t="s">
        <v>733</v>
      </c>
      <c r="U401" s="68"/>
      <c r="V401" s="68" t="s">
        <v>827</v>
      </c>
      <c r="W401" s="68"/>
      <c r="X401" s="134">
        <v>1</v>
      </c>
    </row>
    <row r="402" spans="3:24" s="70" customFormat="1">
      <c r="C402" s="58" t="s">
        <v>31</v>
      </c>
      <c r="D402" s="58" t="s">
        <v>31</v>
      </c>
      <c r="E402" s="126" t="s">
        <v>844</v>
      </c>
      <c r="F402" s="72">
        <v>2672573314</v>
      </c>
      <c r="G402" s="58" t="s">
        <v>724</v>
      </c>
      <c r="H402" s="52">
        <v>20926533</v>
      </c>
      <c r="I402" s="81" t="s">
        <v>729</v>
      </c>
      <c r="J402" s="121" t="s">
        <v>56</v>
      </c>
      <c r="K402" s="58" t="s">
        <v>839</v>
      </c>
      <c r="L402" s="58"/>
      <c r="M402" s="121" t="s">
        <v>868</v>
      </c>
      <c r="N402" s="68" t="s">
        <v>733</v>
      </c>
      <c r="O402" s="132" t="s">
        <v>292</v>
      </c>
      <c r="P402" s="127">
        <v>45992</v>
      </c>
      <c r="Q402" s="71" t="s">
        <v>293</v>
      </c>
      <c r="R402" s="68" t="s">
        <v>733</v>
      </c>
      <c r="S402" s="71" t="s">
        <v>293</v>
      </c>
      <c r="T402" s="68" t="s">
        <v>733</v>
      </c>
      <c r="U402" s="68"/>
      <c r="V402" s="68" t="s">
        <v>827</v>
      </c>
      <c r="W402" s="68"/>
      <c r="X402" s="134">
        <v>1</v>
      </c>
    </row>
    <row r="403" spans="3:24" s="70" customFormat="1">
      <c r="C403" s="58" t="s">
        <v>31</v>
      </c>
      <c r="D403" s="58" t="s">
        <v>31</v>
      </c>
      <c r="E403" s="120" t="s">
        <v>844</v>
      </c>
      <c r="F403" s="68">
        <v>2672573314</v>
      </c>
      <c r="G403" s="58" t="s">
        <v>587</v>
      </c>
      <c r="H403" s="59">
        <v>16386133</v>
      </c>
      <c r="I403" s="60" t="s">
        <v>725</v>
      </c>
      <c r="J403" s="71" t="s">
        <v>56</v>
      </c>
      <c r="K403" s="70" t="s">
        <v>839</v>
      </c>
      <c r="M403" s="121" t="s">
        <v>868</v>
      </c>
      <c r="N403" s="68" t="s">
        <v>733</v>
      </c>
      <c r="O403" s="132" t="s">
        <v>292</v>
      </c>
      <c r="P403" s="73">
        <v>45992</v>
      </c>
      <c r="Q403" s="71" t="s">
        <v>293</v>
      </c>
      <c r="R403" s="68" t="s">
        <v>733</v>
      </c>
      <c r="S403" s="71" t="s">
        <v>293</v>
      </c>
      <c r="T403" s="68" t="s">
        <v>733</v>
      </c>
      <c r="U403" s="68"/>
      <c r="V403" s="68" t="s">
        <v>827</v>
      </c>
      <c r="W403" s="68"/>
      <c r="X403" s="134">
        <v>1</v>
      </c>
    </row>
    <row r="404" spans="3:24" s="70" customFormat="1">
      <c r="C404" s="58" t="s">
        <v>31</v>
      </c>
      <c r="D404" s="58" t="s">
        <v>31</v>
      </c>
      <c r="E404" s="120" t="s">
        <v>844</v>
      </c>
      <c r="F404" s="68">
        <v>2672573314</v>
      </c>
      <c r="G404" s="58" t="s">
        <v>163</v>
      </c>
      <c r="H404" s="59">
        <v>15730122</v>
      </c>
      <c r="I404" s="60" t="s">
        <v>730</v>
      </c>
      <c r="J404" s="70" t="s">
        <v>763</v>
      </c>
      <c r="K404" s="70" t="s">
        <v>839</v>
      </c>
      <c r="M404" s="121" t="s">
        <v>868</v>
      </c>
      <c r="N404" s="68" t="s">
        <v>733</v>
      </c>
      <c r="O404" s="132" t="s">
        <v>293</v>
      </c>
      <c r="P404" s="68" t="s">
        <v>733</v>
      </c>
      <c r="Q404" s="71" t="s">
        <v>293</v>
      </c>
      <c r="R404" s="68" t="s">
        <v>733</v>
      </c>
      <c r="S404" s="71" t="s">
        <v>293</v>
      </c>
      <c r="T404" s="68" t="s">
        <v>733</v>
      </c>
      <c r="U404" s="68"/>
      <c r="V404" s="68" t="s">
        <v>827</v>
      </c>
      <c r="W404" s="68"/>
      <c r="X404" s="134">
        <v>1</v>
      </c>
    </row>
    <row r="405" spans="3:24">
      <c r="C405" s="58" t="s">
        <v>31</v>
      </c>
      <c r="D405" s="58" t="s">
        <v>31</v>
      </c>
      <c r="E405" s="126" t="s">
        <v>844</v>
      </c>
      <c r="F405" s="72">
        <v>2672573314</v>
      </c>
      <c r="G405" s="58" t="s">
        <v>170</v>
      </c>
      <c r="H405" s="52">
        <v>27142424</v>
      </c>
      <c r="I405" s="81" t="s">
        <v>725</v>
      </c>
      <c r="J405" s="121" t="s">
        <v>56</v>
      </c>
      <c r="K405" s="58" t="s">
        <v>839</v>
      </c>
      <c r="L405" s="58"/>
      <c r="M405" s="121" t="s">
        <v>868</v>
      </c>
      <c r="N405" s="68" t="s">
        <v>733</v>
      </c>
      <c r="O405" s="132" t="s">
        <v>292</v>
      </c>
      <c r="P405" s="127">
        <v>45992</v>
      </c>
      <c r="Q405" s="71" t="s">
        <v>293</v>
      </c>
      <c r="R405" s="68" t="s">
        <v>733</v>
      </c>
      <c r="S405" s="71" t="s">
        <v>293</v>
      </c>
      <c r="T405" s="68" t="s">
        <v>733</v>
      </c>
      <c r="U405" s="68"/>
      <c r="V405" s="68" t="s">
        <v>827</v>
      </c>
      <c r="W405" s="68"/>
      <c r="X405" s="134">
        <v>1</v>
      </c>
    </row>
    <row r="406" spans="3:24">
      <c r="C406" s="58" t="s">
        <v>31</v>
      </c>
      <c r="D406" s="58" t="s">
        <v>31</v>
      </c>
      <c r="E406" s="120" t="s">
        <v>844</v>
      </c>
      <c r="F406" s="68">
        <v>2672573314</v>
      </c>
      <c r="G406" s="58" t="s">
        <v>776</v>
      </c>
      <c r="H406" s="52">
        <v>16003925</v>
      </c>
      <c r="I406" s="60" t="s">
        <v>729</v>
      </c>
      <c r="J406" s="71" t="s">
        <v>55</v>
      </c>
      <c r="K406" s="70" t="s">
        <v>839</v>
      </c>
      <c r="L406" s="70"/>
      <c r="M406" s="121" t="s">
        <v>868</v>
      </c>
      <c r="N406" s="68" t="s">
        <v>733</v>
      </c>
      <c r="O406" s="132" t="s">
        <v>293</v>
      </c>
      <c r="P406" s="68" t="s">
        <v>733</v>
      </c>
      <c r="Q406" s="71" t="s">
        <v>293</v>
      </c>
      <c r="R406" s="68" t="s">
        <v>733</v>
      </c>
      <c r="S406" s="71" t="s">
        <v>293</v>
      </c>
      <c r="T406" s="68" t="s">
        <v>733</v>
      </c>
      <c r="U406" s="68"/>
      <c r="V406" s="68" t="s">
        <v>827</v>
      </c>
      <c r="W406" s="68"/>
      <c r="X406" s="134">
        <v>1</v>
      </c>
    </row>
    <row r="407" spans="3:24">
      <c r="C407" s="58" t="s">
        <v>645</v>
      </c>
      <c r="D407" s="58" t="s">
        <v>645</v>
      </c>
      <c r="E407" s="120" t="s">
        <v>844</v>
      </c>
      <c r="F407" s="68">
        <v>2672573314</v>
      </c>
      <c r="G407" s="58" t="s">
        <v>646</v>
      </c>
      <c r="H407" s="59">
        <v>18599101</v>
      </c>
      <c r="I407" s="60" t="s">
        <v>410</v>
      </c>
      <c r="J407" s="71" t="s">
        <v>56</v>
      </c>
      <c r="K407" s="70" t="s">
        <v>870</v>
      </c>
      <c r="L407" s="70"/>
      <c r="M407" s="121" t="s">
        <v>868</v>
      </c>
      <c r="N407" s="68" t="s">
        <v>733</v>
      </c>
      <c r="O407" s="132" t="s">
        <v>292</v>
      </c>
      <c r="P407" s="73">
        <v>45962</v>
      </c>
      <c r="Q407" s="71" t="s">
        <v>293</v>
      </c>
      <c r="R407" s="68" t="s">
        <v>733</v>
      </c>
      <c r="S407" s="71" t="s">
        <v>293</v>
      </c>
      <c r="T407" s="68" t="s">
        <v>733</v>
      </c>
      <c r="U407" s="68"/>
      <c r="V407" s="68" t="s">
        <v>827</v>
      </c>
      <c r="W407" s="68"/>
      <c r="X407" s="134">
        <v>1</v>
      </c>
    </row>
    <row r="408" spans="3:24">
      <c r="C408" s="58" t="s">
        <v>645</v>
      </c>
      <c r="D408" s="58" t="s">
        <v>645</v>
      </c>
      <c r="E408" s="120" t="s">
        <v>844</v>
      </c>
      <c r="F408" s="68">
        <v>2672573314</v>
      </c>
      <c r="G408" s="58" t="s">
        <v>647</v>
      </c>
      <c r="H408" s="59">
        <v>26089438</v>
      </c>
      <c r="I408" s="70" t="s">
        <v>730</v>
      </c>
      <c r="J408" s="71" t="s">
        <v>56</v>
      </c>
      <c r="K408" s="70" t="s">
        <v>870</v>
      </c>
      <c r="L408" s="70"/>
      <c r="M408" s="121" t="s">
        <v>868</v>
      </c>
      <c r="N408" s="68" t="s">
        <v>733</v>
      </c>
      <c r="O408" s="132" t="s">
        <v>292</v>
      </c>
      <c r="P408" s="73">
        <v>45962</v>
      </c>
      <c r="Q408" s="71" t="s">
        <v>293</v>
      </c>
      <c r="R408" s="68" t="s">
        <v>733</v>
      </c>
      <c r="S408" s="71" t="s">
        <v>293</v>
      </c>
      <c r="T408" s="68" t="s">
        <v>733</v>
      </c>
      <c r="U408" s="68"/>
      <c r="V408" s="68" t="s">
        <v>827</v>
      </c>
      <c r="W408" s="68"/>
      <c r="X408" s="134">
        <v>1</v>
      </c>
    </row>
    <row r="409" spans="3:24">
      <c r="C409" s="58" t="s">
        <v>645</v>
      </c>
      <c r="D409" s="58" t="s">
        <v>645</v>
      </c>
      <c r="E409" s="120" t="s">
        <v>844</v>
      </c>
      <c r="F409" s="68">
        <v>2672573314</v>
      </c>
      <c r="G409" s="58" t="s">
        <v>648</v>
      </c>
      <c r="H409" s="59">
        <v>30264717</v>
      </c>
      <c r="I409" s="60" t="s">
        <v>725</v>
      </c>
      <c r="J409" s="71" t="s">
        <v>56</v>
      </c>
      <c r="K409" s="70" t="s">
        <v>870</v>
      </c>
      <c r="L409" s="70"/>
      <c r="M409" s="121" t="s">
        <v>868</v>
      </c>
      <c r="N409" s="68" t="s">
        <v>733</v>
      </c>
      <c r="O409" s="132" t="s">
        <v>292</v>
      </c>
      <c r="P409" s="73">
        <v>45962</v>
      </c>
      <c r="Q409" s="71" t="s">
        <v>293</v>
      </c>
      <c r="R409" s="68" t="s">
        <v>733</v>
      </c>
      <c r="S409" s="71" t="s">
        <v>293</v>
      </c>
      <c r="T409" s="68" t="s">
        <v>733</v>
      </c>
      <c r="U409" s="68"/>
      <c r="V409" s="68" t="s">
        <v>827</v>
      </c>
      <c r="W409" s="68"/>
      <c r="X409" s="134">
        <v>1</v>
      </c>
    </row>
    <row r="410" spans="3:24">
      <c r="C410" s="58" t="s">
        <v>261</v>
      </c>
      <c r="D410" s="58" t="s">
        <v>261</v>
      </c>
      <c r="E410" s="120" t="s">
        <v>844</v>
      </c>
      <c r="F410" s="68">
        <v>2672573314</v>
      </c>
      <c r="G410" s="58" t="s">
        <v>490</v>
      </c>
      <c r="H410" s="52">
        <v>18926859</v>
      </c>
      <c r="I410" s="70" t="s">
        <v>730</v>
      </c>
      <c r="J410" s="71" t="s">
        <v>56</v>
      </c>
      <c r="K410" s="70" t="s">
        <v>870</v>
      </c>
      <c r="L410" s="70"/>
      <c r="M410" s="121" t="s">
        <v>868</v>
      </c>
      <c r="N410" s="68" t="s">
        <v>733</v>
      </c>
      <c r="O410" s="132" t="s">
        <v>292</v>
      </c>
      <c r="P410" s="73">
        <v>45962</v>
      </c>
      <c r="Q410" s="71" t="s">
        <v>293</v>
      </c>
      <c r="R410" s="68" t="s">
        <v>733</v>
      </c>
      <c r="S410" s="71" t="s">
        <v>293</v>
      </c>
      <c r="T410" s="68" t="s">
        <v>733</v>
      </c>
      <c r="U410" s="68"/>
      <c r="V410" s="68" t="s">
        <v>827</v>
      </c>
      <c r="W410" s="68"/>
      <c r="X410" s="134">
        <v>1</v>
      </c>
    </row>
    <row r="411" spans="3:24">
      <c r="C411" s="58" t="s">
        <v>261</v>
      </c>
      <c r="D411" s="58" t="s">
        <v>261</v>
      </c>
      <c r="E411" s="120" t="s">
        <v>844</v>
      </c>
      <c r="F411" s="68">
        <v>2672573314</v>
      </c>
      <c r="G411" s="58" t="s">
        <v>489</v>
      </c>
      <c r="H411" s="52">
        <v>14993247</v>
      </c>
      <c r="I411" s="60" t="s">
        <v>725</v>
      </c>
      <c r="J411" s="71" t="s">
        <v>56</v>
      </c>
      <c r="K411" s="70" t="s">
        <v>870</v>
      </c>
      <c r="L411" s="70"/>
      <c r="M411" s="121" t="s">
        <v>868</v>
      </c>
      <c r="N411" s="68" t="s">
        <v>733</v>
      </c>
      <c r="O411" s="132" t="s">
        <v>292</v>
      </c>
      <c r="P411" s="73">
        <v>45962</v>
      </c>
      <c r="Q411" s="71" t="s">
        <v>293</v>
      </c>
      <c r="R411" s="68" t="s">
        <v>733</v>
      </c>
      <c r="S411" s="71" t="s">
        <v>293</v>
      </c>
      <c r="T411" s="68" t="s">
        <v>733</v>
      </c>
      <c r="U411" s="68"/>
      <c r="V411" s="68" t="s">
        <v>827</v>
      </c>
      <c r="W411" s="68"/>
      <c r="X411" s="134">
        <v>1</v>
      </c>
    </row>
    <row r="412" spans="3:24">
      <c r="C412" s="58" t="s">
        <v>261</v>
      </c>
      <c r="D412" s="58" t="s">
        <v>261</v>
      </c>
      <c r="E412" s="120" t="s">
        <v>844</v>
      </c>
      <c r="F412" s="68">
        <v>2672573314</v>
      </c>
      <c r="G412" s="58" t="s">
        <v>675</v>
      </c>
      <c r="H412" s="52">
        <v>22722734</v>
      </c>
      <c r="I412" s="60" t="s">
        <v>725</v>
      </c>
      <c r="J412" s="71" t="s">
        <v>56</v>
      </c>
      <c r="K412" s="70" t="s">
        <v>870</v>
      </c>
      <c r="L412" s="70"/>
      <c r="M412" s="121" t="s">
        <v>868</v>
      </c>
      <c r="N412" s="68" t="s">
        <v>733</v>
      </c>
      <c r="O412" s="132" t="s">
        <v>292</v>
      </c>
      <c r="P412" s="73">
        <v>45962</v>
      </c>
      <c r="Q412" s="71" t="s">
        <v>293</v>
      </c>
      <c r="R412" s="68" t="s">
        <v>733</v>
      </c>
      <c r="S412" s="71" t="s">
        <v>293</v>
      </c>
      <c r="T412" s="68" t="s">
        <v>733</v>
      </c>
      <c r="U412" s="68"/>
      <c r="V412" s="68" t="s">
        <v>827</v>
      </c>
      <c r="W412" s="68"/>
      <c r="X412" s="134">
        <v>1</v>
      </c>
    </row>
    <row r="413" spans="3:24">
      <c r="C413" s="58" t="s">
        <v>261</v>
      </c>
      <c r="D413" s="58" t="s">
        <v>261</v>
      </c>
      <c r="E413" s="120" t="s">
        <v>844</v>
      </c>
      <c r="F413" s="68">
        <v>2672573314</v>
      </c>
      <c r="G413" s="58" t="s">
        <v>577</v>
      </c>
      <c r="H413" s="52">
        <v>17754635</v>
      </c>
      <c r="I413" s="60" t="s">
        <v>725</v>
      </c>
      <c r="J413" s="71" t="s">
        <v>56</v>
      </c>
      <c r="K413" s="70" t="s">
        <v>870</v>
      </c>
      <c r="L413" s="70"/>
      <c r="M413" s="121" t="s">
        <v>868</v>
      </c>
      <c r="N413" s="68" t="s">
        <v>733</v>
      </c>
      <c r="O413" s="132" t="s">
        <v>293</v>
      </c>
      <c r="P413" s="68" t="s">
        <v>733</v>
      </c>
      <c r="Q413" s="71" t="s">
        <v>293</v>
      </c>
      <c r="R413" s="68" t="s">
        <v>733</v>
      </c>
      <c r="S413" s="71" t="s">
        <v>293</v>
      </c>
      <c r="T413" s="68" t="s">
        <v>733</v>
      </c>
      <c r="U413" s="68"/>
      <c r="V413" s="68" t="s">
        <v>827</v>
      </c>
      <c r="W413" s="68"/>
      <c r="X413" s="134">
        <v>1</v>
      </c>
    </row>
    <row r="414" spans="3:24">
      <c r="C414" s="58" t="s">
        <v>261</v>
      </c>
      <c r="D414" s="58" t="s">
        <v>261</v>
      </c>
      <c r="E414" s="120" t="s">
        <v>844</v>
      </c>
      <c r="F414" s="68">
        <v>2672573314</v>
      </c>
      <c r="G414" s="58" t="s">
        <v>663</v>
      </c>
      <c r="H414" s="52">
        <v>14859200</v>
      </c>
      <c r="I414" s="70" t="s">
        <v>730</v>
      </c>
      <c r="J414" s="71" t="s">
        <v>56</v>
      </c>
      <c r="K414" s="70" t="s">
        <v>870</v>
      </c>
      <c r="L414" s="70"/>
      <c r="M414" s="121" t="s">
        <v>868</v>
      </c>
      <c r="N414" s="68" t="s">
        <v>733</v>
      </c>
      <c r="O414" s="132" t="s">
        <v>292</v>
      </c>
      <c r="P414" s="73">
        <v>45962</v>
      </c>
      <c r="Q414" s="71" t="s">
        <v>293</v>
      </c>
      <c r="R414" s="68" t="s">
        <v>733</v>
      </c>
      <c r="S414" s="71" t="s">
        <v>293</v>
      </c>
      <c r="T414" s="68" t="s">
        <v>733</v>
      </c>
      <c r="U414" s="68"/>
      <c r="V414" s="68" t="s">
        <v>827</v>
      </c>
      <c r="W414" s="68"/>
      <c r="X414" s="134">
        <v>1</v>
      </c>
    </row>
    <row r="415" spans="3:24">
      <c r="C415" s="58" t="s">
        <v>261</v>
      </c>
      <c r="D415" s="58" t="s">
        <v>261</v>
      </c>
      <c r="E415" s="120" t="s">
        <v>844</v>
      </c>
      <c r="F415" s="68">
        <v>2672573314</v>
      </c>
      <c r="G415" s="58" t="s">
        <v>664</v>
      </c>
      <c r="H415" s="52">
        <v>25265091</v>
      </c>
      <c r="I415" s="60" t="s">
        <v>725</v>
      </c>
      <c r="J415" s="71" t="s">
        <v>56</v>
      </c>
      <c r="K415" s="70" t="s">
        <v>870</v>
      </c>
      <c r="L415" s="70"/>
      <c r="M415" s="121" t="s">
        <v>868</v>
      </c>
      <c r="N415" s="68" t="s">
        <v>733</v>
      </c>
      <c r="O415" s="132" t="s">
        <v>292</v>
      </c>
      <c r="P415" s="73">
        <v>45962</v>
      </c>
      <c r="Q415" s="71" t="s">
        <v>293</v>
      </c>
      <c r="R415" s="68" t="s">
        <v>733</v>
      </c>
      <c r="S415" s="71" t="s">
        <v>293</v>
      </c>
      <c r="T415" s="68" t="s">
        <v>733</v>
      </c>
      <c r="U415" s="68"/>
      <c r="V415" s="68" t="s">
        <v>827</v>
      </c>
      <c r="W415" s="68"/>
      <c r="X415" s="134">
        <v>1</v>
      </c>
    </row>
    <row r="416" spans="3:24">
      <c r="C416" s="58" t="s">
        <v>261</v>
      </c>
      <c r="D416" s="58" t="s">
        <v>261</v>
      </c>
      <c r="E416" s="120" t="s">
        <v>844</v>
      </c>
      <c r="F416" s="68">
        <v>2672573314</v>
      </c>
      <c r="G416" s="58" t="s">
        <v>665</v>
      </c>
      <c r="H416" s="52">
        <v>17486584</v>
      </c>
      <c r="I416" s="60" t="s">
        <v>725</v>
      </c>
      <c r="J416" s="71" t="s">
        <v>56</v>
      </c>
      <c r="K416" s="70" t="s">
        <v>870</v>
      </c>
      <c r="L416" s="70"/>
      <c r="M416" s="121" t="s">
        <v>868</v>
      </c>
      <c r="N416" s="68" t="s">
        <v>733</v>
      </c>
      <c r="O416" s="132" t="s">
        <v>292</v>
      </c>
      <c r="P416" s="73">
        <v>45962</v>
      </c>
      <c r="Q416" s="71" t="s">
        <v>293</v>
      </c>
      <c r="R416" s="68" t="s">
        <v>733</v>
      </c>
      <c r="S416" s="71" t="s">
        <v>293</v>
      </c>
      <c r="T416" s="68" t="s">
        <v>733</v>
      </c>
      <c r="U416" s="68"/>
      <c r="V416" s="68" t="s">
        <v>827</v>
      </c>
      <c r="W416" s="68"/>
      <c r="X416" s="134">
        <v>1</v>
      </c>
    </row>
    <row r="417" spans="3:24">
      <c r="C417" s="58" t="s">
        <v>39</v>
      </c>
      <c r="D417" s="58" t="s">
        <v>39</v>
      </c>
      <c r="E417" s="120" t="s">
        <v>844</v>
      </c>
      <c r="F417" s="68">
        <v>2672573314</v>
      </c>
      <c r="G417" s="58" t="s">
        <v>407</v>
      </c>
      <c r="H417" s="124">
        <v>30008746</v>
      </c>
      <c r="I417" s="70" t="s">
        <v>730</v>
      </c>
      <c r="J417" s="71" t="s">
        <v>56</v>
      </c>
      <c r="K417" s="120" t="s">
        <v>854</v>
      </c>
      <c r="L417" s="120"/>
      <c r="M417" s="121" t="s">
        <v>868</v>
      </c>
      <c r="N417" s="68" t="s">
        <v>733</v>
      </c>
      <c r="O417" s="132" t="s">
        <v>292</v>
      </c>
      <c r="P417" s="73">
        <v>45962</v>
      </c>
      <c r="Q417" s="71" t="s">
        <v>293</v>
      </c>
      <c r="R417" s="68" t="s">
        <v>733</v>
      </c>
      <c r="S417" s="71" t="s">
        <v>293</v>
      </c>
      <c r="T417" s="68" t="s">
        <v>733</v>
      </c>
      <c r="U417" s="68" t="s">
        <v>827</v>
      </c>
      <c r="V417" s="68" t="s">
        <v>827</v>
      </c>
      <c r="W417" s="68"/>
      <c r="X417" s="134">
        <v>1</v>
      </c>
    </row>
    <row r="418" spans="3:24">
      <c r="C418" s="58" t="s">
        <v>39</v>
      </c>
      <c r="D418" s="58" t="s">
        <v>39</v>
      </c>
      <c r="E418" s="120" t="s">
        <v>844</v>
      </c>
      <c r="F418" s="68">
        <v>2672573314</v>
      </c>
      <c r="G418" s="58" t="s">
        <v>835</v>
      </c>
      <c r="H418" s="124">
        <v>28166432</v>
      </c>
      <c r="I418" s="60" t="s">
        <v>729</v>
      </c>
      <c r="J418" s="71" t="s">
        <v>55</v>
      </c>
      <c r="K418" s="120" t="s">
        <v>854</v>
      </c>
      <c r="L418" s="120"/>
      <c r="M418" s="121" t="s">
        <v>868</v>
      </c>
      <c r="N418" s="68" t="s">
        <v>733</v>
      </c>
      <c r="O418" s="132" t="s">
        <v>293</v>
      </c>
      <c r="P418" s="68" t="s">
        <v>733</v>
      </c>
      <c r="Q418" s="71" t="s">
        <v>293</v>
      </c>
      <c r="R418" s="68" t="s">
        <v>733</v>
      </c>
      <c r="S418" s="71" t="s">
        <v>293</v>
      </c>
      <c r="T418" s="68" t="s">
        <v>733</v>
      </c>
      <c r="U418" s="68" t="s">
        <v>827</v>
      </c>
      <c r="V418" s="68" t="s">
        <v>827</v>
      </c>
      <c r="W418" s="68"/>
      <c r="X418" s="134">
        <v>1</v>
      </c>
    </row>
    <row r="419" spans="3:24">
      <c r="C419" s="58" t="s">
        <v>39</v>
      </c>
      <c r="D419" s="58" t="s">
        <v>39</v>
      </c>
      <c r="E419" s="120" t="s">
        <v>844</v>
      </c>
      <c r="F419" s="68">
        <v>2672573314</v>
      </c>
      <c r="G419" s="58" t="s">
        <v>395</v>
      </c>
      <c r="H419" s="59">
        <v>28468116</v>
      </c>
      <c r="I419" s="60" t="s">
        <v>725</v>
      </c>
      <c r="J419" s="71" t="s">
        <v>56</v>
      </c>
      <c r="K419" s="120" t="s">
        <v>854</v>
      </c>
      <c r="L419" s="120"/>
      <c r="M419" s="121" t="s">
        <v>868</v>
      </c>
      <c r="N419" s="68" t="s">
        <v>733</v>
      </c>
      <c r="O419" s="132" t="s">
        <v>292</v>
      </c>
      <c r="P419" s="73">
        <v>45962</v>
      </c>
      <c r="Q419" s="71" t="s">
        <v>293</v>
      </c>
      <c r="R419" s="68" t="s">
        <v>733</v>
      </c>
      <c r="S419" s="71" t="s">
        <v>293</v>
      </c>
      <c r="T419" s="68" t="s">
        <v>733</v>
      </c>
      <c r="U419" s="68" t="s">
        <v>827</v>
      </c>
      <c r="V419" s="68" t="s">
        <v>827</v>
      </c>
      <c r="W419" s="68"/>
      <c r="X419" s="134">
        <v>1</v>
      </c>
    </row>
    <row r="420" spans="3:24">
      <c r="C420" s="58" t="s">
        <v>39</v>
      </c>
      <c r="D420" s="58" t="s">
        <v>39</v>
      </c>
      <c r="E420" s="120" t="s">
        <v>844</v>
      </c>
      <c r="F420" s="68">
        <v>2672573314</v>
      </c>
      <c r="G420" s="58" t="s">
        <v>408</v>
      </c>
      <c r="H420" s="124">
        <v>23182127</v>
      </c>
      <c r="I420" s="70" t="s">
        <v>730</v>
      </c>
      <c r="J420" s="71" t="s">
        <v>56</v>
      </c>
      <c r="K420" s="120" t="s">
        <v>854</v>
      </c>
      <c r="L420" s="120"/>
      <c r="M420" s="121" t="s">
        <v>868</v>
      </c>
      <c r="N420" s="68" t="s">
        <v>733</v>
      </c>
      <c r="O420" s="132" t="s">
        <v>292</v>
      </c>
      <c r="P420" s="73">
        <v>45962</v>
      </c>
      <c r="Q420" s="71" t="s">
        <v>293</v>
      </c>
      <c r="R420" s="68" t="s">
        <v>733</v>
      </c>
      <c r="S420" s="71" t="s">
        <v>293</v>
      </c>
      <c r="T420" s="68" t="s">
        <v>733</v>
      </c>
      <c r="U420" s="68" t="s">
        <v>827</v>
      </c>
      <c r="V420" s="68" t="s">
        <v>827</v>
      </c>
      <c r="W420" s="68"/>
      <c r="X420" s="134">
        <v>1</v>
      </c>
    </row>
    <row r="421" spans="3:24">
      <c r="C421" s="58" t="s">
        <v>39</v>
      </c>
      <c r="D421" s="58" t="s">
        <v>39</v>
      </c>
      <c r="E421" s="120" t="s">
        <v>844</v>
      </c>
      <c r="F421" s="68">
        <v>2672573314</v>
      </c>
      <c r="G421" s="58" t="s">
        <v>409</v>
      </c>
      <c r="H421" s="124">
        <v>27650985</v>
      </c>
      <c r="I421" s="70" t="s">
        <v>410</v>
      </c>
      <c r="J421" s="71" t="s">
        <v>56</v>
      </c>
      <c r="K421" s="120" t="s">
        <v>854</v>
      </c>
      <c r="L421" s="120"/>
      <c r="M421" s="121" t="s">
        <v>868</v>
      </c>
      <c r="N421" s="68" t="s">
        <v>733</v>
      </c>
      <c r="O421" s="132" t="s">
        <v>292</v>
      </c>
      <c r="P421" s="73">
        <v>45962</v>
      </c>
      <c r="Q421" s="71" t="s">
        <v>293</v>
      </c>
      <c r="R421" s="68" t="s">
        <v>733</v>
      </c>
      <c r="S421" s="71" t="s">
        <v>293</v>
      </c>
      <c r="T421" s="68" t="s">
        <v>733</v>
      </c>
      <c r="U421" s="68" t="s">
        <v>827</v>
      </c>
      <c r="V421" s="68" t="s">
        <v>827</v>
      </c>
      <c r="W421" s="68"/>
      <c r="X421" s="134">
        <v>1</v>
      </c>
    </row>
    <row r="422" spans="3:24">
      <c r="C422" s="58" t="s">
        <v>39</v>
      </c>
      <c r="D422" s="58" t="s">
        <v>39</v>
      </c>
      <c r="E422" s="120" t="s">
        <v>844</v>
      </c>
      <c r="F422" s="68">
        <v>2672573314</v>
      </c>
      <c r="G422" s="58" t="s">
        <v>800</v>
      </c>
      <c r="H422" s="59">
        <v>27899805</v>
      </c>
      <c r="I422" s="60" t="s">
        <v>729</v>
      </c>
      <c r="J422" s="71" t="s">
        <v>55</v>
      </c>
      <c r="K422" s="120" t="s">
        <v>854</v>
      </c>
      <c r="L422" s="120"/>
      <c r="M422" s="121" t="s">
        <v>868</v>
      </c>
      <c r="N422" s="68" t="s">
        <v>733</v>
      </c>
      <c r="O422" s="132" t="s">
        <v>293</v>
      </c>
      <c r="P422" s="68" t="s">
        <v>733</v>
      </c>
      <c r="Q422" s="71" t="s">
        <v>293</v>
      </c>
      <c r="R422" s="68" t="s">
        <v>733</v>
      </c>
      <c r="S422" s="71" t="s">
        <v>293</v>
      </c>
      <c r="T422" s="68" t="s">
        <v>733</v>
      </c>
      <c r="U422" s="68" t="s">
        <v>829</v>
      </c>
      <c r="V422" s="68" t="s">
        <v>827</v>
      </c>
      <c r="W422" s="68"/>
      <c r="X422" s="134">
        <v>1</v>
      </c>
    </row>
    <row r="423" spans="3:24">
      <c r="C423" s="58" t="s">
        <v>39</v>
      </c>
      <c r="D423" s="58" t="s">
        <v>39</v>
      </c>
      <c r="E423" s="120" t="s">
        <v>844</v>
      </c>
      <c r="F423" s="68">
        <v>2672573314</v>
      </c>
      <c r="G423" s="58" t="s">
        <v>726</v>
      </c>
      <c r="H423" s="52">
        <v>25097186</v>
      </c>
      <c r="I423" s="60" t="s">
        <v>706</v>
      </c>
      <c r="J423" s="71" t="s">
        <v>56</v>
      </c>
      <c r="K423" s="120" t="s">
        <v>854</v>
      </c>
      <c r="L423" s="120"/>
      <c r="M423" s="121" t="s">
        <v>868</v>
      </c>
      <c r="N423" s="68" t="s">
        <v>733</v>
      </c>
      <c r="O423" s="132" t="s">
        <v>292</v>
      </c>
      <c r="P423" s="73">
        <v>45962</v>
      </c>
      <c r="Q423" s="71" t="s">
        <v>293</v>
      </c>
      <c r="R423" s="68" t="s">
        <v>733</v>
      </c>
      <c r="S423" s="71" t="s">
        <v>293</v>
      </c>
      <c r="T423" s="68" t="s">
        <v>733</v>
      </c>
      <c r="U423" s="68" t="s">
        <v>827</v>
      </c>
      <c r="V423" s="68" t="s">
        <v>827</v>
      </c>
      <c r="W423" s="68"/>
      <c r="X423" s="134">
        <v>1</v>
      </c>
    </row>
    <row r="424" spans="3:24">
      <c r="C424" s="58" t="s">
        <v>39</v>
      </c>
      <c r="D424" s="58" t="s">
        <v>39</v>
      </c>
      <c r="E424" s="120" t="s">
        <v>844</v>
      </c>
      <c r="F424" s="68">
        <v>2672573314</v>
      </c>
      <c r="G424" s="58" t="s">
        <v>411</v>
      </c>
      <c r="H424" s="124">
        <v>16546352</v>
      </c>
      <c r="I424" s="70" t="s">
        <v>730</v>
      </c>
      <c r="J424" s="71" t="s">
        <v>55</v>
      </c>
      <c r="K424" s="120" t="s">
        <v>854</v>
      </c>
      <c r="L424" s="120"/>
      <c r="M424" s="121" t="s">
        <v>868</v>
      </c>
      <c r="N424" s="68" t="s">
        <v>733</v>
      </c>
      <c r="O424" s="132" t="s">
        <v>292</v>
      </c>
      <c r="P424" s="73">
        <v>45962</v>
      </c>
      <c r="Q424" s="71" t="s">
        <v>293</v>
      </c>
      <c r="R424" s="68" t="s">
        <v>733</v>
      </c>
      <c r="S424" s="71" t="s">
        <v>293</v>
      </c>
      <c r="T424" s="68" t="s">
        <v>733</v>
      </c>
      <c r="U424" s="68" t="s">
        <v>827</v>
      </c>
      <c r="V424" s="68" t="s">
        <v>827</v>
      </c>
      <c r="W424" s="68"/>
      <c r="X424" s="134">
        <v>1</v>
      </c>
    </row>
    <row r="425" spans="3:24">
      <c r="C425" s="58" t="s">
        <v>39</v>
      </c>
      <c r="D425" s="58" t="s">
        <v>39</v>
      </c>
      <c r="E425" s="120" t="s">
        <v>844</v>
      </c>
      <c r="F425" s="68">
        <v>2672573314</v>
      </c>
      <c r="G425" s="58" t="s">
        <v>393</v>
      </c>
      <c r="H425" s="59">
        <v>10877686</v>
      </c>
      <c r="I425" s="60" t="s">
        <v>725</v>
      </c>
      <c r="J425" s="71" t="s">
        <v>56</v>
      </c>
      <c r="K425" s="120" t="s">
        <v>854</v>
      </c>
      <c r="L425" s="120"/>
      <c r="M425" s="121" t="s">
        <v>868</v>
      </c>
      <c r="N425" s="68" t="s">
        <v>733</v>
      </c>
      <c r="O425" s="132" t="s">
        <v>292</v>
      </c>
      <c r="P425" s="73">
        <v>45962</v>
      </c>
      <c r="Q425" s="71" t="s">
        <v>293</v>
      </c>
      <c r="R425" s="68" t="s">
        <v>733</v>
      </c>
      <c r="S425" s="71" t="s">
        <v>293</v>
      </c>
      <c r="T425" s="68" t="s">
        <v>733</v>
      </c>
      <c r="U425" s="68" t="s">
        <v>827</v>
      </c>
      <c r="V425" s="68" t="s">
        <v>827</v>
      </c>
      <c r="W425" s="68"/>
      <c r="X425" s="134">
        <v>1</v>
      </c>
    </row>
    <row r="426" spans="3:24">
      <c r="C426" s="58" t="s">
        <v>39</v>
      </c>
      <c r="D426" s="58" t="s">
        <v>39</v>
      </c>
      <c r="E426" s="120" t="s">
        <v>844</v>
      </c>
      <c r="F426" s="68">
        <v>2672573314</v>
      </c>
      <c r="G426" s="58" t="s">
        <v>404</v>
      </c>
      <c r="H426" s="59">
        <v>25877580</v>
      </c>
      <c r="I426" s="70" t="s">
        <v>730</v>
      </c>
      <c r="J426" s="71" t="s">
        <v>56</v>
      </c>
      <c r="K426" s="120" t="s">
        <v>854</v>
      </c>
      <c r="L426" s="120"/>
      <c r="M426" s="121" t="s">
        <v>868</v>
      </c>
      <c r="N426" s="68" t="s">
        <v>733</v>
      </c>
      <c r="O426" s="132" t="s">
        <v>292</v>
      </c>
      <c r="P426" s="73">
        <v>45962</v>
      </c>
      <c r="Q426" s="71" t="s">
        <v>293</v>
      </c>
      <c r="R426" s="68" t="s">
        <v>733</v>
      </c>
      <c r="S426" s="71" t="s">
        <v>293</v>
      </c>
      <c r="T426" s="68" t="s">
        <v>733</v>
      </c>
      <c r="U426" s="68" t="s">
        <v>827</v>
      </c>
      <c r="V426" s="68" t="s">
        <v>827</v>
      </c>
      <c r="W426" s="68"/>
      <c r="X426" s="134">
        <v>1</v>
      </c>
    </row>
    <row r="427" spans="3:24">
      <c r="C427" s="58" t="s">
        <v>39</v>
      </c>
      <c r="D427" s="58" t="s">
        <v>39</v>
      </c>
      <c r="E427" s="120" t="s">
        <v>844</v>
      </c>
      <c r="F427" s="68">
        <v>2672573314</v>
      </c>
      <c r="G427" s="58" t="s">
        <v>403</v>
      </c>
      <c r="H427" s="59">
        <v>11537163</v>
      </c>
      <c r="I427" s="70" t="s">
        <v>730</v>
      </c>
      <c r="J427" s="71" t="s">
        <v>56</v>
      </c>
      <c r="K427" s="120" t="s">
        <v>854</v>
      </c>
      <c r="L427" s="120"/>
      <c r="M427" s="121" t="s">
        <v>868</v>
      </c>
      <c r="N427" s="68" t="s">
        <v>733</v>
      </c>
      <c r="O427" s="132" t="s">
        <v>292</v>
      </c>
      <c r="P427" s="73">
        <v>45962</v>
      </c>
      <c r="Q427" s="71" t="s">
        <v>293</v>
      </c>
      <c r="R427" s="68" t="s">
        <v>733</v>
      </c>
      <c r="S427" s="71" t="s">
        <v>293</v>
      </c>
      <c r="T427" s="68" t="s">
        <v>733</v>
      </c>
      <c r="U427" s="68" t="s">
        <v>827</v>
      </c>
      <c r="V427" s="68" t="s">
        <v>827</v>
      </c>
      <c r="W427" s="68"/>
      <c r="X427" s="134">
        <v>1</v>
      </c>
    </row>
    <row r="428" spans="3:24">
      <c r="C428" s="58" t="s">
        <v>39</v>
      </c>
      <c r="D428" s="58" t="s">
        <v>39</v>
      </c>
      <c r="E428" s="120" t="s">
        <v>844</v>
      </c>
      <c r="F428" s="68">
        <v>2672573314</v>
      </c>
      <c r="G428" s="58" t="s">
        <v>402</v>
      </c>
      <c r="H428" s="59">
        <v>18788988</v>
      </c>
      <c r="I428" s="60" t="s">
        <v>725</v>
      </c>
      <c r="J428" s="71" t="s">
        <v>56</v>
      </c>
      <c r="K428" s="120" t="s">
        <v>854</v>
      </c>
      <c r="L428" s="120"/>
      <c r="M428" s="121" t="s">
        <v>868</v>
      </c>
      <c r="N428" s="68" t="s">
        <v>733</v>
      </c>
      <c r="O428" s="132" t="s">
        <v>292</v>
      </c>
      <c r="P428" s="73">
        <v>45962</v>
      </c>
      <c r="Q428" s="71" t="s">
        <v>293</v>
      </c>
      <c r="R428" s="68" t="s">
        <v>733</v>
      </c>
      <c r="S428" s="71" t="s">
        <v>293</v>
      </c>
      <c r="T428" s="68" t="s">
        <v>733</v>
      </c>
      <c r="U428" s="68" t="s">
        <v>827</v>
      </c>
      <c r="V428" s="68" t="s">
        <v>827</v>
      </c>
      <c r="W428" s="68"/>
      <c r="X428" s="134">
        <v>1</v>
      </c>
    </row>
    <row r="429" spans="3:24">
      <c r="C429" s="94" t="s">
        <v>39</v>
      </c>
      <c r="D429" s="94" t="s">
        <v>39</v>
      </c>
      <c r="E429" s="123" t="s">
        <v>844</v>
      </c>
      <c r="F429" s="98">
        <v>2672573314</v>
      </c>
      <c r="G429" s="94" t="s">
        <v>412</v>
      </c>
      <c r="H429" s="125">
        <v>14358088</v>
      </c>
      <c r="I429" s="96" t="s">
        <v>725</v>
      </c>
      <c r="J429" s="97" t="s">
        <v>56</v>
      </c>
      <c r="K429" s="123" t="s">
        <v>854</v>
      </c>
      <c r="L429" s="123"/>
      <c r="M429" s="97" t="s">
        <v>868</v>
      </c>
      <c r="N429" s="98" t="s">
        <v>733</v>
      </c>
      <c r="O429" s="130" t="s">
        <v>292</v>
      </c>
      <c r="P429" s="99">
        <v>45962</v>
      </c>
      <c r="Q429" s="97" t="s">
        <v>869</v>
      </c>
      <c r="R429" s="98"/>
      <c r="S429" s="97" t="s">
        <v>869</v>
      </c>
      <c r="T429" s="94"/>
      <c r="U429" s="98" t="s">
        <v>829</v>
      </c>
      <c r="V429" s="98" t="s">
        <v>827</v>
      </c>
      <c r="W429" s="98" t="s">
        <v>825</v>
      </c>
      <c r="X429" s="134">
        <v>1</v>
      </c>
    </row>
    <row r="430" spans="3:24">
      <c r="C430" s="58" t="s">
        <v>39</v>
      </c>
      <c r="D430" s="58" t="s">
        <v>39</v>
      </c>
      <c r="E430" s="120" t="s">
        <v>844</v>
      </c>
      <c r="F430" s="68">
        <v>2672573314</v>
      </c>
      <c r="G430" s="58" t="s">
        <v>397</v>
      </c>
      <c r="H430" s="59">
        <v>30441499</v>
      </c>
      <c r="I430" s="60" t="s">
        <v>725</v>
      </c>
      <c r="J430" s="71" t="s">
        <v>56</v>
      </c>
      <c r="K430" s="120" t="s">
        <v>854</v>
      </c>
      <c r="L430" s="120"/>
      <c r="M430" s="121" t="s">
        <v>868</v>
      </c>
      <c r="N430" s="68" t="s">
        <v>733</v>
      </c>
      <c r="O430" s="132" t="s">
        <v>292</v>
      </c>
      <c r="P430" s="73">
        <v>45962</v>
      </c>
      <c r="Q430" s="71" t="s">
        <v>293</v>
      </c>
      <c r="R430" s="68" t="s">
        <v>733</v>
      </c>
      <c r="S430" s="71" t="s">
        <v>293</v>
      </c>
      <c r="T430" s="68" t="s">
        <v>733</v>
      </c>
      <c r="U430" s="68" t="s">
        <v>827</v>
      </c>
      <c r="V430" s="68" t="s">
        <v>827</v>
      </c>
      <c r="W430" s="68"/>
      <c r="X430" s="134">
        <v>1</v>
      </c>
    </row>
    <row r="431" spans="3:24">
      <c r="C431" s="58" t="s">
        <v>39</v>
      </c>
      <c r="D431" s="58" t="s">
        <v>39</v>
      </c>
      <c r="E431" s="120" t="s">
        <v>844</v>
      </c>
      <c r="F431" s="68">
        <v>2672573314</v>
      </c>
      <c r="G431" s="58" t="s">
        <v>834</v>
      </c>
      <c r="H431" s="124">
        <v>12672190</v>
      </c>
      <c r="I431" s="70" t="s">
        <v>730</v>
      </c>
      <c r="J431" s="71" t="s">
        <v>56</v>
      </c>
      <c r="K431" s="120" t="s">
        <v>854</v>
      </c>
      <c r="L431" s="120"/>
      <c r="M431" s="121" t="s">
        <v>868</v>
      </c>
      <c r="N431" s="68" t="s">
        <v>733</v>
      </c>
      <c r="O431" s="132" t="s">
        <v>292</v>
      </c>
      <c r="P431" s="73">
        <v>45962</v>
      </c>
      <c r="Q431" s="71" t="s">
        <v>293</v>
      </c>
      <c r="R431" s="68" t="s">
        <v>733</v>
      </c>
      <c r="S431" s="71" t="s">
        <v>293</v>
      </c>
      <c r="T431" s="68" t="s">
        <v>733</v>
      </c>
      <c r="U431" s="68" t="s">
        <v>827</v>
      </c>
      <c r="V431" s="68" t="s">
        <v>827</v>
      </c>
      <c r="W431" s="68"/>
      <c r="X431" s="134">
        <v>1</v>
      </c>
    </row>
    <row r="432" spans="3:24">
      <c r="C432" s="58" t="s">
        <v>39</v>
      </c>
      <c r="D432" s="58" t="s">
        <v>39</v>
      </c>
      <c r="E432" s="120" t="s">
        <v>844</v>
      </c>
      <c r="F432" s="68">
        <v>2672573314</v>
      </c>
      <c r="G432" s="58" t="s">
        <v>406</v>
      </c>
      <c r="H432" s="59">
        <v>18215038</v>
      </c>
      <c r="I432" s="60" t="s">
        <v>725</v>
      </c>
      <c r="J432" s="71" t="s">
        <v>56</v>
      </c>
      <c r="K432" s="120" t="s">
        <v>854</v>
      </c>
      <c r="L432" s="120"/>
      <c r="M432" s="121" t="s">
        <v>868</v>
      </c>
      <c r="N432" s="68" t="s">
        <v>733</v>
      </c>
      <c r="O432" s="132" t="s">
        <v>292</v>
      </c>
      <c r="P432" s="73">
        <v>45962</v>
      </c>
      <c r="Q432" s="71" t="s">
        <v>293</v>
      </c>
      <c r="R432" s="68" t="s">
        <v>733</v>
      </c>
      <c r="S432" s="71" t="s">
        <v>293</v>
      </c>
      <c r="T432" s="68" t="s">
        <v>733</v>
      </c>
      <c r="U432" s="68" t="s">
        <v>827</v>
      </c>
      <c r="V432" s="68" t="s">
        <v>827</v>
      </c>
      <c r="W432" s="68"/>
      <c r="X432" s="134">
        <v>1</v>
      </c>
    </row>
    <row r="433" spans="3:24">
      <c r="C433" s="58" t="s">
        <v>39</v>
      </c>
      <c r="D433" s="58" t="s">
        <v>39</v>
      </c>
      <c r="E433" s="120" t="s">
        <v>844</v>
      </c>
      <c r="F433" s="68">
        <v>2672573314</v>
      </c>
      <c r="G433" s="58" t="s">
        <v>399</v>
      </c>
      <c r="H433" s="59">
        <v>12393177</v>
      </c>
      <c r="I433" s="70" t="s">
        <v>730</v>
      </c>
      <c r="J433" s="71" t="s">
        <v>56</v>
      </c>
      <c r="K433" s="120" t="s">
        <v>854</v>
      </c>
      <c r="L433" s="120"/>
      <c r="M433" s="121" t="s">
        <v>868</v>
      </c>
      <c r="N433" s="68" t="s">
        <v>733</v>
      </c>
      <c r="O433" s="132" t="s">
        <v>292</v>
      </c>
      <c r="P433" s="73">
        <v>45962</v>
      </c>
      <c r="Q433" s="71" t="s">
        <v>293</v>
      </c>
      <c r="R433" s="68" t="s">
        <v>733</v>
      </c>
      <c r="S433" s="71" t="s">
        <v>293</v>
      </c>
      <c r="T433" s="68" t="s">
        <v>733</v>
      </c>
      <c r="U433" s="68" t="s">
        <v>827</v>
      </c>
      <c r="V433" s="68" t="s">
        <v>827</v>
      </c>
      <c r="W433" s="68"/>
      <c r="X433" s="134">
        <v>1</v>
      </c>
    </row>
    <row r="434" spans="3:24" s="70" customFormat="1">
      <c r="C434" s="94" t="s">
        <v>39</v>
      </c>
      <c r="D434" s="94" t="s">
        <v>39</v>
      </c>
      <c r="E434" s="123" t="s">
        <v>844</v>
      </c>
      <c r="F434" s="98">
        <v>2672573314</v>
      </c>
      <c r="G434" s="94" t="s">
        <v>413</v>
      </c>
      <c r="H434" s="125">
        <v>19115875</v>
      </c>
      <c r="I434" s="94" t="s">
        <v>410</v>
      </c>
      <c r="J434" s="97" t="s">
        <v>414</v>
      </c>
      <c r="K434" s="123" t="s">
        <v>854</v>
      </c>
      <c r="L434" s="123"/>
      <c r="M434" s="97" t="s">
        <v>868</v>
      </c>
      <c r="N434" s="98" t="s">
        <v>733</v>
      </c>
      <c r="O434" s="130" t="s">
        <v>292</v>
      </c>
      <c r="P434" s="99">
        <v>45962</v>
      </c>
      <c r="Q434" s="97" t="s">
        <v>869</v>
      </c>
      <c r="R434" s="98"/>
      <c r="S434" s="97" t="s">
        <v>869</v>
      </c>
      <c r="T434" s="94"/>
      <c r="U434" s="98" t="s">
        <v>829</v>
      </c>
      <c r="V434" s="98" t="s">
        <v>827</v>
      </c>
      <c r="W434" s="98" t="s">
        <v>843</v>
      </c>
      <c r="X434" s="134">
        <v>1</v>
      </c>
    </row>
    <row r="435" spans="3:24">
      <c r="C435" s="58" t="s">
        <v>39</v>
      </c>
      <c r="D435" s="58" t="s">
        <v>39</v>
      </c>
      <c r="E435" s="120" t="s">
        <v>844</v>
      </c>
      <c r="F435" s="68">
        <v>2672573314</v>
      </c>
      <c r="G435" s="58" t="s">
        <v>401</v>
      </c>
      <c r="H435" s="59">
        <v>26778197</v>
      </c>
      <c r="I435" s="70" t="s">
        <v>730</v>
      </c>
      <c r="J435" s="71" t="s">
        <v>56</v>
      </c>
      <c r="K435" s="120" t="s">
        <v>854</v>
      </c>
      <c r="L435" s="120"/>
      <c r="M435" s="121" t="s">
        <v>868</v>
      </c>
      <c r="N435" s="68" t="s">
        <v>733</v>
      </c>
      <c r="O435" s="132" t="s">
        <v>292</v>
      </c>
      <c r="P435" s="73">
        <v>45962</v>
      </c>
      <c r="Q435" s="71" t="s">
        <v>293</v>
      </c>
      <c r="R435" s="68" t="s">
        <v>733</v>
      </c>
      <c r="S435" s="71" t="s">
        <v>293</v>
      </c>
      <c r="T435" s="68" t="s">
        <v>733</v>
      </c>
      <c r="U435" s="68" t="s">
        <v>827</v>
      </c>
      <c r="V435" s="68" t="s">
        <v>827</v>
      </c>
      <c r="W435" s="68"/>
      <c r="X435" s="134">
        <v>1</v>
      </c>
    </row>
    <row r="436" spans="3:24">
      <c r="C436" s="58" t="s">
        <v>39</v>
      </c>
      <c r="D436" s="58" t="s">
        <v>39</v>
      </c>
      <c r="E436" s="120" t="s">
        <v>844</v>
      </c>
      <c r="F436" s="68">
        <v>2672573314</v>
      </c>
      <c r="G436" s="58" t="s">
        <v>396</v>
      </c>
      <c r="H436" s="59">
        <v>12032334</v>
      </c>
      <c r="I436" s="60" t="s">
        <v>725</v>
      </c>
      <c r="J436" s="71" t="s">
        <v>56</v>
      </c>
      <c r="K436" s="120" t="s">
        <v>854</v>
      </c>
      <c r="L436" s="120"/>
      <c r="M436" s="121" t="s">
        <v>868</v>
      </c>
      <c r="N436" s="68" t="s">
        <v>733</v>
      </c>
      <c r="O436" s="132" t="s">
        <v>292</v>
      </c>
      <c r="P436" s="73">
        <v>45962</v>
      </c>
      <c r="Q436" s="71" t="s">
        <v>293</v>
      </c>
      <c r="R436" s="68" t="s">
        <v>733</v>
      </c>
      <c r="S436" s="71" t="s">
        <v>293</v>
      </c>
      <c r="T436" s="68" t="s">
        <v>733</v>
      </c>
      <c r="U436" s="68" t="s">
        <v>827</v>
      </c>
      <c r="V436" s="68" t="s">
        <v>827</v>
      </c>
      <c r="W436" s="68"/>
      <c r="X436" s="134">
        <v>1</v>
      </c>
    </row>
    <row r="437" spans="3:24">
      <c r="C437" s="58" t="s">
        <v>66</v>
      </c>
      <c r="D437" s="58" t="s">
        <v>66</v>
      </c>
      <c r="E437" s="120" t="s">
        <v>844</v>
      </c>
      <c r="F437" s="68">
        <v>2672573314</v>
      </c>
      <c r="G437" s="58" t="s">
        <v>110</v>
      </c>
      <c r="H437" s="59">
        <v>27288190</v>
      </c>
      <c r="I437" s="70" t="s">
        <v>730</v>
      </c>
      <c r="J437" s="71" t="s">
        <v>55</v>
      </c>
      <c r="K437" s="70" t="s">
        <v>840</v>
      </c>
      <c r="L437" s="70"/>
      <c r="M437" s="121" t="s">
        <v>292</v>
      </c>
      <c r="N437" s="128">
        <v>45748</v>
      </c>
      <c r="O437" s="132" t="s">
        <v>292</v>
      </c>
      <c r="P437" s="73">
        <v>45962</v>
      </c>
      <c r="Q437" s="71" t="s">
        <v>293</v>
      </c>
      <c r="R437" s="68" t="s">
        <v>733</v>
      </c>
      <c r="S437" s="71" t="s">
        <v>293</v>
      </c>
      <c r="T437" s="68" t="s">
        <v>733</v>
      </c>
      <c r="U437" s="68"/>
      <c r="V437" s="68" t="s">
        <v>827</v>
      </c>
      <c r="W437" s="68"/>
      <c r="X437" s="134">
        <v>1</v>
      </c>
    </row>
    <row r="438" spans="3:24">
      <c r="C438" s="58" t="s">
        <v>66</v>
      </c>
      <c r="D438" s="58" t="s">
        <v>66</v>
      </c>
      <c r="E438" s="120" t="s">
        <v>844</v>
      </c>
      <c r="F438" s="68">
        <v>2672573314</v>
      </c>
      <c r="G438" s="58" t="s">
        <v>784</v>
      </c>
      <c r="H438" s="52">
        <v>19238197</v>
      </c>
      <c r="I438" s="60" t="s">
        <v>729</v>
      </c>
      <c r="J438" s="71" t="s">
        <v>55</v>
      </c>
      <c r="K438" s="70" t="s">
        <v>840</v>
      </c>
      <c r="L438" s="70"/>
      <c r="M438" s="121" t="s">
        <v>868</v>
      </c>
      <c r="N438" s="68" t="s">
        <v>733</v>
      </c>
      <c r="O438" s="132" t="s">
        <v>293</v>
      </c>
      <c r="P438" s="68" t="s">
        <v>733</v>
      </c>
      <c r="Q438" s="71" t="s">
        <v>293</v>
      </c>
      <c r="R438" s="68" t="s">
        <v>733</v>
      </c>
      <c r="S438" s="71" t="s">
        <v>293</v>
      </c>
      <c r="T438" s="68" t="s">
        <v>733</v>
      </c>
      <c r="U438" s="68"/>
      <c r="V438" s="68" t="s">
        <v>827</v>
      </c>
      <c r="W438" s="68"/>
      <c r="X438" s="134">
        <v>1</v>
      </c>
    </row>
    <row r="439" spans="3:24">
      <c r="C439" s="58" t="s">
        <v>66</v>
      </c>
      <c r="D439" s="58" t="s">
        <v>66</v>
      </c>
      <c r="E439" s="120" t="s">
        <v>844</v>
      </c>
      <c r="F439" s="68">
        <v>2672573314</v>
      </c>
      <c r="G439" s="58" t="s">
        <v>481</v>
      </c>
      <c r="H439" s="68">
        <v>18212648</v>
      </c>
      <c r="I439" s="60" t="s">
        <v>725</v>
      </c>
      <c r="J439" s="71" t="s">
        <v>56</v>
      </c>
      <c r="K439" s="70" t="s">
        <v>840</v>
      </c>
      <c r="L439" s="70"/>
      <c r="M439" s="121" t="s">
        <v>292</v>
      </c>
      <c r="N439" s="128">
        <v>45748</v>
      </c>
      <c r="O439" s="132" t="s">
        <v>292</v>
      </c>
      <c r="P439" s="73">
        <v>45962</v>
      </c>
      <c r="Q439" s="71" t="s">
        <v>293</v>
      </c>
      <c r="R439" s="68" t="s">
        <v>733</v>
      </c>
      <c r="S439" s="71" t="s">
        <v>293</v>
      </c>
      <c r="T439" s="68" t="s">
        <v>733</v>
      </c>
      <c r="U439" s="68"/>
      <c r="V439" s="68" t="s">
        <v>827</v>
      </c>
      <c r="W439" s="68"/>
      <c r="X439" s="134">
        <v>1</v>
      </c>
    </row>
    <row r="440" spans="3:24">
      <c r="C440" s="58" t="s">
        <v>66</v>
      </c>
      <c r="D440" s="58" t="s">
        <v>66</v>
      </c>
      <c r="E440" s="120" t="s">
        <v>844</v>
      </c>
      <c r="F440" s="68">
        <v>2672573314</v>
      </c>
      <c r="G440" s="58" t="s">
        <v>584</v>
      </c>
      <c r="H440" s="59">
        <v>18077227</v>
      </c>
      <c r="I440" s="60" t="s">
        <v>725</v>
      </c>
      <c r="J440" s="71" t="s">
        <v>56</v>
      </c>
      <c r="K440" s="70" t="s">
        <v>840</v>
      </c>
      <c r="L440" s="70"/>
      <c r="M440" s="121" t="s">
        <v>868</v>
      </c>
      <c r="N440" s="68" t="s">
        <v>733</v>
      </c>
      <c r="O440" s="132" t="s">
        <v>292</v>
      </c>
      <c r="P440" s="73">
        <v>45962</v>
      </c>
      <c r="Q440" s="71" t="s">
        <v>293</v>
      </c>
      <c r="R440" s="68" t="s">
        <v>733</v>
      </c>
      <c r="S440" s="71" t="s">
        <v>293</v>
      </c>
      <c r="T440" s="68" t="s">
        <v>733</v>
      </c>
      <c r="U440" s="68"/>
      <c r="V440" s="68" t="s">
        <v>827</v>
      </c>
      <c r="W440" s="68"/>
      <c r="X440" s="134">
        <v>1</v>
      </c>
    </row>
    <row r="441" spans="3:24">
      <c r="C441" s="58" t="s">
        <v>66</v>
      </c>
      <c r="D441" s="58" t="s">
        <v>66</v>
      </c>
      <c r="E441" s="120" t="s">
        <v>844</v>
      </c>
      <c r="F441" s="68">
        <v>2672573314</v>
      </c>
      <c r="G441" s="58" t="s">
        <v>579</v>
      </c>
      <c r="H441" s="52">
        <v>28401512</v>
      </c>
      <c r="I441" s="60" t="s">
        <v>725</v>
      </c>
      <c r="J441" s="71" t="s">
        <v>56</v>
      </c>
      <c r="K441" s="70" t="s">
        <v>840</v>
      </c>
      <c r="L441" s="70"/>
      <c r="M441" s="121" t="s">
        <v>868</v>
      </c>
      <c r="N441" s="68" t="s">
        <v>733</v>
      </c>
      <c r="O441" s="132" t="s">
        <v>292</v>
      </c>
      <c r="P441" s="73">
        <v>45962</v>
      </c>
      <c r="Q441" s="71" t="s">
        <v>293</v>
      </c>
      <c r="R441" s="68" t="s">
        <v>733</v>
      </c>
      <c r="S441" s="71" t="s">
        <v>293</v>
      </c>
      <c r="T441" s="68" t="s">
        <v>733</v>
      </c>
      <c r="U441" s="68"/>
      <c r="V441" s="68" t="s">
        <v>827</v>
      </c>
      <c r="W441" s="68"/>
      <c r="X441" s="134">
        <v>1</v>
      </c>
    </row>
    <row r="442" spans="3:24">
      <c r="C442" s="58" t="s">
        <v>66</v>
      </c>
      <c r="D442" s="58" t="s">
        <v>66</v>
      </c>
      <c r="E442" s="120" t="s">
        <v>844</v>
      </c>
      <c r="F442" s="68">
        <v>2672573314</v>
      </c>
      <c r="G442" s="58" t="s">
        <v>487</v>
      </c>
      <c r="H442" s="52">
        <v>19346250</v>
      </c>
      <c r="I442" s="70" t="s">
        <v>730</v>
      </c>
      <c r="J442" s="71" t="s">
        <v>389</v>
      </c>
      <c r="K442" s="70" t="s">
        <v>840</v>
      </c>
      <c r="L442" s="70"/>
      <c r="M442" s="121" t="s">
        <v>292</v>
      </c>
      <c r="N442" s="128">
        <v>45748</v>
      </c>
      <c r="O442" s="132" t="s">
        <v>292</v>
      </c>
      <c r="P442" s="73">
        <v>45962</v>
      </c>
      <c r="Q442" s="71" t="s">
        <v>293</v>
      </c>
      <c r="R442" s="68" t="s">
        <v>733</v>
      </c>
      <c r="S442" s="71" t="s">
        <v>293</v>
      </c>
      <c r="T442" s="68" t="s">
        <v>733</v>
      </c>
      <c r="U442" s="68"/>
      <c r="V442" s="68" t="s">
        <v>827</v>
      </c>
      <c r="W442" s="68"/>
      <c r="X442" s="134">
        <v>1</v>
      </c>
    </row>
    <row r="443" spans="3:24">
      <c r="C443" s="58" t="s">
        <v>66</v>
      </c>
      <c r="D443" s="58" t="s">
        <v>66</v>
      </c>
      <c r="E443" s="120" t="s">
        <v>844</v>
      </c>
      <c r="F443" s="68">
        <v>2672573314</v>
      </c>
      <c r="G443" s="58" t="s">
        <v>480</v>
      </c>
      <c r="H443" s="68">
        <v>17763315</v>
      </c>
      <c r="I443" s="70" t="s">
        <v>730</v>
      </c>
      <c r="J443" s="71" t="s">
        <v>56</v>
      </c>
      <c r="K443" s="70" t="s">
        <v>840</v>
      </c>
      <c r="L443" s="70"/>
      <c r="M443" s="121" t="s">
        <v>292</v>
      </c>
      <c r="N443" s="128">
        <v>45748</v>
      </c>
      <c r="O443" s="132" t="s">
        <v>292</v>
      </c>
      <c r="P443" s="73">
        <v>45962</v>
      </c>
      <c r="Q443" s="71" t="s">
        <v>293</v>
      </c>
      <c r="R443" s="68" t="s">
        <v>733</v>
      </c>
      <c r="S443" s="71" t="s">
        <v>293</v>
      </c>
      <c r="T443" s="68" t="s">
        <v>733</v>
      </c>
      <c r="U443" s="68"/>
      <c r="V443" s="68" t="s">
        <v>827</v>
      </c>
      <c r="W443" s="68"/>
      <c r="X443" s="134">
        <v>1</v>
      </c>
    </row>
    <row r="444" spans="3:24">
      <c r="C444" s="58" t="s">
        <v>66</v>
      </c>
      <c r="D444" s="58" t="s">
        <v>66</v>
      </c>
      <c r="E444" s="120" t="s">
        <v>844</v>
      </c>
      <c r="F444" s="68">
        <v>2672573314</v>
      </c>
      <c r="G444" s="58" t="s">
        <v>760</v>
      </c>
      <c r="H444" s="52">
        <v>17446806</v>
      </c>
      <c r="I444" s="60" t="s">
        <v>410</v>
      </c>
      <c r="J444" s="71" t="s">
        <v>727</v>
      </c>
      <c r="K444" s="70" t="s">
        <v>840</v>
      </c>
      <c r="L444" s="70"/>
      <c r="M444" s="121" t="s">
        <v>868</v>
      </c>
      <c r="N444" s="68" t="s">
        <v>733</v>
      </c>
      <c r="O444" s="132" t="s">
        <v>293</v>
      </c>
      <c r="P444" s="68" t="s">
        <v>733</v>
      </c>
      <c r="Q444" s="71" t="s">
        <v>293</v>
      </c>
      <c r="R444" s="68" t="s">
        <v>733</v>
      </c>
      <c r="S444" s="71" t="s">
        <v>293</v>
      </c>
      <c r="T444" s="68" t="s">
        <v>733</v>
      </c>
      <c r="U444" s="68"/>
      <c r="V444" s="68" t="s">
        <v>827</v>
      </c>
      <c r="W444" s="68"/>
      <c r="X444" s="134">
        <v>1</v>
      </c>
    </row>
    <row r="445" spans="3:24">
      <c r="C445" s="58" t="s">
        <v>66</v>
      </c>
      <c r="D445" s="58" t="s">
        <v>66</v>
      </c>
      <c r="E445" s="120" t="s">
        <v>844</v>
      </c>
      <c r="F445" s="68">
        <v>2672573314</v>
      </c>
      <c r="G445" s="58" t="s">
        <v>484</v>
      </c>
      <c r="H445" s="59">
        <v>24849178</v>
      </c>
      <c r="I445" s="60" t="s">
        <v>706</v>
      </c>
      <c r="J445" s="71" t="s">
        <v>56</v>
      </c>
      <c r="K445" s="70" t="s">
        <v>840</v>
      </c>
      <c r="L445" s="70"/>
      <c r="M445" s="121" t="s">
        <v>292</v>
      </c>
      <c r="N445" s="128">
        <v>45748</v>
      </c>
      <c r="O445" s="132" t="s">
        <v>292</v>
      </c>
      <c r="P445" s="73">
        <v>45962</v>
      </c>
      <c r="Q445" s="71" t="s">
        <v>293</v>
      </c>
      <c r="R445" s="68" t="s">
        <v>733</v>
      </c>
      <c r="S445" s="71" t="s">
        <v>293</v>
      </c>
      <c r="T445" s="68" t="s">
        <v>733</v>
      </c>
      <c r="U445" s="68"/>
      <c r="V445" s="68" t="s">
        <v>827</v>
      </c>
      <c r="W445" s="68"/>
      <c r="X445" s="134">
        <v>1</v>
      </c>
    </row>
    <row r="446" spans="3:24">
      <c r="C446" s="58" t="s">
        <v>66</v>
      </c>
      <c r="D446" s="58" t="s">
        <v>66</v>
      </c>
      <c r="E446" s="120" t="s">
        <v>844</v>
      </c>
      <c r="F446" s="68">
        <v>2672573314</v>
      </c>
      <c r="G446" s="58" t="s">
        <v>479</v>
      </c>
      <c r="H446" s="68">
        <v>26108367</v>
      </c>
      <c r="I446" s="60" t="s">
        <v>725</v>
      </c>
      <c r="J446" s="71" t="s">
        <v>56</v>
      </c>
      <c r="K446" s="70" t="s">
        <v>840</v>
      </c>
      <c r="L446" s="70"/>
      <c r="M446" s="121" t="s">
        <v>292</v>
      </c>
      <c r="N446" s="128">
        <v>45748</v>
      </c>
      <c r="O446" s="132" t="s">
        <v>292</v>
      </c>
      <c r="P446" s="73">
        <v>45962</v>
      </c>
      <c r="Q446" s="71" t="s">
        <v>293</v>
      </c>
      <c r="R446" s="68" t="s">
        <v>733</v>
      </c>
      <c r="S446" s="71" t="s">
        <v>293</v>
      </c>
      <c r="T446" s="68" t="s">
        <v>733</v>
      </c>
      <c r="U446" s="68"/>
      <c r="V446" s="68" t="s">
        <v>827</v>
      </c>
      <c r="W446" s="68"/>
      <c r="X446" s="134">
        <v>1</v>
      </c>
    </row>
    <row r="447" spans="3:24">
      <c r="C447" s="58" t="s">
        <v>66</v>
      </c>
      <c r="D447" s="58" t="s">
        <v>66</v>
      </c>
      <c r="E447" s="120" t="s">
        <v>844</v>
      </c>
      <c r="F447" s="68">
        <v>2672573314</v>
      </c>
      <c r="G447" s="58" t="s">
        <v>478</v>
      </c>
      <c r="H447" s="68">
        <v>28242185</v>
      </c>
      <c r="I447" s="60" t="s">
        <v>725</v>
      </c>
      <c r="J447" s="71" t="s">
        <v>56</v>
      </c>
      <c r="K447" s="70" t="s">
        <v>840</v>
      </c>
      <c r="L447" s="70"/>
      <c r="M447" s="121" t="s">
        <v>868</v>
      </c>
      <c r="N447" s="68" t="s">
        <v>733</v>
      </c>
      <c r="O447" s="132" t="s">
        <v>292</v>
      </c>
      <c r="P447" s="73">
        <v>45962</v>
      </c>
      <c r="Q447" s="71" t="s">
        <v>293</v>
      </c>
      <c r="R447" s="68" t="s">
        <v>733</v>
      </c>
      <c r="S447" s="71" t="s">
        <v>293</v>
      </c>
      <c r="T447" s="68" t="s">
        <v>733</v>
      </c>
      <c r="U447" s="68"/>
      <c r="V447" s="68" t="s">
        <v>827</v>
      </c>
      <c r="W447" s="68"/>
      <c r="X447" s="134">
        <v>1</v>
      </c>
    </row>
    <row r="448" spans="3:24">
      <c r="C448" s="58" t="s">
        <v>66</v>
      </c>
      <c r="D448" s="58" t="s">
        <v>66</v>
      </c>
      <c r="E448" s="120" t="s">
        <v>844</v>
      </c>
      <c r="F448" s="68">
        <v>2672573314</v>
      </c>
      <c r="G448" s="58" t="s">
        <v>578</v>
      </c>
      <c r="H448" s="52">
        <v>20574497</v>
      </c>
      <c r="I448" s="60" t="s">
        <v>725</v>
      </c>
      <c r="J448" s="71" t="s">
        <v>56</v>
      </c>
      <c r="K448" s="70" t="s">
        <v>840</v>
      </c>
      <c r="L448" s="70"/>
      <c r="M448" s="121" t="s">
        <v>868</v>
      </c>
      <c r="N448" s="68" t="s">
        <v>733</v>
      </c>
      <c r="O448" s="132" t="s">
        <v>292</v>
      </c>
      <c r="P448" s="73">
        <v>45962</v>
      </c>
      <c r="Q448" s="71" t="s">
        <v>293</v>
      </c>
      <c r="R448" s="68" t="s">
        <v>733</v>
      </c>
      <c r="S448" s="71" t="s">
        <v>293</v>
      </c>
      <c r="T448" s="68" t="s">
        <v>733</v>
      </c>
      <c r="U448" s="68"/>
      <c r="V448" s="68" t="s">
        <v>827</v>
      </c>
      <c r="W448" s="68"/>
      <c r="X448" s="134">
        <v>1</v>
      </c>
    </row>
    <row r="449" spans="3:24">
      <c r="C449" s="58" t="s">
        <v>66</v>
      </c>
      <c r="D449" s="58" t="s">
        <v>66</v>
      </c>
      <c r="E449" s="120" t="s">
        <v>844</v>
      </c>
      <c r="F449" s="68">
        <v>2672573314</v>
      </c>
      <c r="G449" s="58" t="s">
        <v>580</v>
      </c>
      <c r="H449" s="59">
        <v>28614058</v>
      </c>
      <c r="I449" s="60" t="s">
        <v>725</v>
      </c>
      <c r="J449" s="71" t="s">
        <v>56</v>
      </c>
      <c r="K449" s="70" t="s">
        <v>840</v>
      </c>
      <c r="L449" s="70"/>
      <c r="M449" s="121" t="s">
        <v>868</v>
      </c>
      <c r="N449" s="68" t="s">
        <v>733</v>
      </c>
      <c r="O449" s="132" t="s">
        <v>292</v>
      </c>
      <c r="P449" s="73">
        <v>45962</v>
      </c>
      <c r="Q449" s="71" t="s">
        <v>293</v>
      </c>
      <c r="R449" s="68" t="s">
        <v>733</v>
      </c>
      <c r="S449" s="71" t="s">
        <v>293</v>
      </c>
      <c r="T449" s="68" t="s">
        <v>733</v>
      </c>
      <c r="U449" s="68"/>
      <c r="V449" s="68" t="s">
        <v>827</v>
      </c>
      <c r="W449" s="68"/>
      <c r="X449" s="134">
        <v>1</v>
      </c>
    </row>
    <row r="450" spans="3:24">
      <c r="C450" s="58" t="s">
        <v>66</v>
      </c>
      <c r="D450" s="58" t="s">
        <v>66</v>
      </c>
      <c r="E450" s="120" t="s">
        <v>844</v>
      </c>
      <c r="F450" s="68">
        <v>2672573314</v>
      </c>
      <c r="G450" s="58" t="s">
        <v>486</v>
      </c>
      <c r="H450" s="52">
        <v>25528094</v>
      </c>
      <c r="I450" s="60" t="s">
        <v>725</v>
      </c>
      <c r="J450" s="71" t="s">
        <v>389</v>
      </c>
      <c r="K450" s="70" t="s">
        <v>840</v>
      </c>
      <c r="L450" s="70"/>
      <c r="M450" s="121" t="s">
        <v>292</v>
      </c>
      <c r="N450" s="128">
        <v>45748</v>
      </c>
      <c r="O450" s="132" t="s">
        <v>292</v>
      </c>
      <c r="P450" s="73">
        <v>45962</v>
      </c>
      <c r="Q450" s="71" t="s">
        <v>293</v>
      </c>
      <c r="R450" s="68" t="s">
        <v>733</v>
      </c>
      <c r="S450" s="71" t="s">
        <v>293</v>
      </c>
      <c r="T450" s="68" t="s">
        <v>733</v>
      </c>
      <c r="U450" s="68"/>
      <c r="V450" s="68" t="s">
        <v>827</v>
      </c>
      <c r="W450" s="68"/>
      <c r="X450" s="134">
        <v>1</v>
      </c>
    </row>
    <row r="451" spans="3:24">
      <c r="C451" s="58" t="s">
        <v>66</v>
      </c>
      <c r="D451" s="58" t="s">
        <v>66</v>
      </c>
      <c r="E451" s="120" t="s">
        <v>844</v>
      </c>
      <c r="F451" s="68">
        <v>2672573314</v>
      </c>
      <c r="G451" s="58" t="s">
        <v>667</v>
      </c>
      <c r="H451" s="52">
        <v>19893313</v>
      </c>
      <c r="I451" s="60" t="s">
        <v>725</v>
      </c>
      <c r="J451" s="71" t="s">
        <v>56</v>
      </c>
      <c r="K451" s="70" t="s">
        <v>840</v>
      </c>
      <c r="L451" s="70"/>
      <c r="M451" s="121" t="s">
        <v>868</v>
      </c>
      <c r="N451" s="68" t="s">
        <v>733</v>
      </c>
      <c r="O451" s="132" t="s">
        <v>292</v>
      </c>
      <c r="P451" s="73">
        <v>45962</v>
      </c>
      <c r="Q451" s="71" t="s">
        <v>293</v>
      </c>
      <c r="R451" s="68" t="s">
        <v>733</v>
      </c>
      <c r="S451" s="71" t="s">
        <v>293</v>
      </c>
      <c r="T451" s="68" t="s">
        <v>733</v>
      </c>
      <c r="U451" s="68"/>
      <c r="V451" s="68" t="s">
        <v>827</v>
      </c>
      <c r="W451" s="68"/>
      <c r="X451" s="134">
        <v>1</v>
      </c>
    </row>
    <row r="452" spans="3:24">
      <c r="C452" s="58" t="s">
        <v>66</v>
      </c>
      <c r="D452" s="58" t="s">
        <v>66</v>
      </c>
      <c r="E452" s="120" t="s">
        <v>844</v>
      </c>
      <c r="F452" s="68">
        <v>2672573314</v>
      </c>
      <c r="G452" s="58" t="s">
        <v>477</v>
      </c>
      <c r="H452" s="59">
        <v>21398841</v>
      </c>
      <c r="I452" s="70" t="s">
        <v>730</v>
      </c>
      <c r="J452" s="71" t="s">
        <v>56</v>
      </c>
      <c r="K452" s="70" t="s">
        <v>840</v>
      </c>
      <c r="L452" s="70"/>
      <c r="M452" s="121" t="s">
        <v>868</v>
      </c>
      <c r="N452" s="68" t="s">
        <v>733</v>
      </c>
      <c r="O452" s="132" t="s">
        <v>292</v>
      </c>
      <c r="P452" s="73">
        <v>45962</v>
      </c>
      <c r="Q452" s="71" t="s">
        <v>293</v>
      </c>
      <c r="R452" s="68" t="s">
        <v>733</v>
      </c>
      <c r="S452" s="71" t="s">
        <v>293</v>
      </c>
      <c r="T452" s="68" t="s">
        <v>733</v>
      </c>
      <c r="U452" s="68"/>
      <c r="V452" s="68" t="s">
        <v>827</v>
      </c>
      <c r="W452" s="68"/>
      <c r="X452" s="134">
        <v>1</v>
      </c>
    </row>
    <row r="453" spans="3:24">
      <c r="C453" s="58" t="s">
        <v>66</v>
      </c>
      <c r="D453" s="58" t="s">
        <v>66</v>
      </c>
      <c r="E453" s="120" t="s">
        <v>844</v>
      </c>
      <c r="F453" s="68">
        <v>2672573314</v>
      </c>
      <c r="G453" s="58" t="s">
        <v>582</v>
      </c>
      <c r="H453" s="59">
        <v>16703470</v>
      </c>
      <c r="I453" s="70" t="s">
        <v>730</v>
      </c>
      <c r="J453" s="71" t="s">
        <v>56</v>
      </c>
      <c r="K453" s="70" t="s">
        <v>840</v>
      </c>
      <c r="L453" s="70"/>
      <c r="M453" s="121" t="s">
        <v>868</v>
      </c>
      <c r="N453" s="68" t="s">
        <v>733</v>
      </c>
      <c r="O453" s="132" t="s">
        <v>292</v>
      </c>
      <c r="P453" s="73">
        <v>45962</v>
      </c>
      <c r="Q453" s="71" t="s">
        <v>293</v>
      </c>
      <c r="R453" s="68" t="s">
        <v>733</v>
      </c>
      <c r="S453" s="71" t="s">
        <v>293</v>
      </c>
      <c r="T453" s="68" t="s">
        <v>733</v>
      </c>
      <c r="U453" s="68"/>
      <c r="V453" s="68" t="s">
        <v>827</v>
      </c>
      <c r="W453" s="68"/>
      <c r="X453" s="134">
        <v>1</v>
      </c>
    </row>
    <row r="454" spans="3:24">
      <c r="C454" s="58" t="s">
        <v>66</v>
      </c>
      <c r="D454" s="58" t="s">
        <v>66</v>
      </c>
      <c r="E454" s="120" t="s">
        <v>844</v>
      </c>
      <c r="F454" s="68">
        <v>2672573314</v>
      </c>
      <c r="G454" s="58" t="s">
        <v>482</v>
      </c>
      <c r="H454" s="68">
        <v>15612027</v>
      </c>
      <c r="I454" s="70" t="s">
        <v>730</v>
      </c>
      <c r="J454" s="71" t="s">
        <v>56</v>
      </c>
      <c r="K454" s="70" t="s">
        <v>840</v>
      </c>
      <c r="L454" s="70"/>
      <c r="M454" s="121" t="s">
        <v>292</v>
      </c>
      <c r="N454" s="128">
        <v>45748</v>
      </c>
      <c r="O454" s="132" t="s">
        <v>292</v>
      </c>
      <c r="P454" s="73">
        <v>45962</v>
      </c>
      <c r="Q454" s="71" t="s">
        <v>293</v>
      </c>
      <c r="R454" s="68" t="s">
        <v>733</v>
      </c>
      <c r="S454" s="71" t="s">
        <v>293</v>
      </c>
      <c r="T454" s="68" t="s">
        <v>733</v>
      </c>
      <c r="U454" s="68"/>
      <c r="V454" s="68" t="s">
        <v>827</v>
      </c>
      <c r="W454" s="68"/>
      <c r="X454" s="134">
        <v>1</v>
      </c>
    </row>
    <row r="455" spans="3:24">
      <c r="C455" s="58" t="s">
        <v>66</v>
      </c>
      <c r="D455" s="58" t="s">
        <v>66</v>
      </c>
      <c r="E455" s="120" t="s">
        <v>844</v>
      </c>
      <c r="F455" s="68">
        <v>2672573314</v>
      </c>
      <c r="G455" s="58" t="s">
        <v>109</v>
      </c>
      <c r="H455" s="59">
        <v>27897019</v>
      </c>
      <c r="I455" s="70" t="s">
        <v>730</v>
      </c>
      <c r="J455" s="71" t="s">
        <v>55</v>
      </c>
      <c r="K455" s="70" t="s">
        <v>840</v>
      </c>
      <c r="L455" s="70"/>
      <c r="M455" s="121" t="s">
        <v>292</v>
      </c>
      <c r="N455" s="128">
        <v>45748</v>
      </c>
      <c r="O455" s="132" t="s">
        <v>292</v>
      </c>
      <c r="P455" s="73">
        <v>45962</v>
      </c>
      <c r="Q455" s="71" t="s">
        <v>293</v>
      </c>
      <c r="R455" s="68" t="s">
        <v>733</v>
      </c>
      <c r="S455" s="71" t="s">
        <v>293</v>
      </c>
      <c r="T455" s="68" t="s">
        <v>733</v>
      </c>
      <c r="U455" s="68"/>
      <c r="V455" s="68" t="s">
        <v>827</v>
      </c>
      <c r="W455" s="68"/>
      <c r="X455" s="134">
        <v>1</v>
      </c>
    </row>
    <row r="456" spans="3:24">
      <c r="C456" s="58" t="s">
        <v>66</v>
      </c>
      <c r="D456" s="58" t="s">
        <v>66</v>
      </c>
      <c r="E456" s="120" t="s">
        <v>844</v>
      </c>
      <c r="F456" s="68">
        <v>2672573314</v>
      </c>
      <c r="G456" s="58" t="s">
        <v>581</v>
      </c>
      <c r="H456" s="59">
        <v>28383462</v>
      </c>
      <c r="I456" s="60" t="s">
        <v>725</v>
      </c>
      <c r="J456" s="71" t="s">
        <v>56</v>
      </c>
      <c r="K456" s="70" t="s">
        <v>840</v>
      </c>
      <c r="L456" s="70"/>
      <c r="M456" s="121" t="s">
        <v>868</v>
      </c>
      <c r="N456" s="68" t="s">
        <v>733</v>
      </c>
      <c r="O456" s="132" t="s">
        <v>292</v>
      </c>
      <c r="P456" s="73">
        <v>45962</v>
      </c>
      <c r="Q456" s="71" t="s">
        <v>293</v>
      </c>
      <c r="R456" s="68" t="s">
        <v>733</v>
      </c>
      <c r="S456" s="71" t="s">
        <v>293</v>
      </c>
      <c r="T456" s="68" t="s">
        <v>733</v>
      </c>
      <c r="U456" s="68"/>
      <c r="V456" s="68" t="s">
        <v>827</v>
      </c>
      <c r="W456" s="68"/>
      <c r="X456" s="134">
        <v>1</v>
      </c>
    </row>
    <row r="457" spans="3:24">
      <c r="C457" s="58" t="s">
        <v>66</v>
      </c>
      <c r="D457" s="58" t="s">
        <v>66</v>
      </c>
      <c r="E457" s="120" t="s">
        <v>844</v>
      </c>
      <c r="F457" s="68">
        <v>2672573314</v>
      </c>
      <c r="G457" s="58" t="s">
        <v>668</v>
      </c>
      <c r="H457" s="52">
        <v>20358418</v>
      </c>
      <c r="I457" s="60" t="s">
        <v>725</v>
      </c>
      <c r="J457" s="71" t="s">
        <v>56</v>
      </c>
      <c r="K457" s="70" t="s">
        <v>840</v>
      </c>
      <c r="L457" s="70"/>
      <c r="M457" s="121" t="s">
        <v>868</v>
      </c>
      <c r="N457" s="68" t="s">
        <v>733</v>
      </c>
      <c r="O457" s="132" t="s">
        <v>292</v>
      </c>
      <c r="P457" s="73">
        <v>45962</v>
      </c>
      <c r="Q457" s="71" t="s">
        <v>293</v>
      </c>
      <c r="R457" s="68" t="s">
        <v>733</v>
      </c>
      <c r="S457" s="71" t="s">
        <v>293</v>
      </c>
      <c r="T457" s="68" t="s">
        <v>733</v>
      </c>
      <c r="U457" s="68"/>
      <c r="V457" s="68" t="s">
        <v>827</v>
      </c>
      <c r="W457" s="68"/>
      <c r="X457" s="134">
        <v>1</v>
      </c>
    </row>
    <row r="458" spans="3:24">
      <c r="C458" s="58" t="s">
        <v>66</v>
      </c>
      <c r="D458" s="58" t="s">
        <v>66</v>
      </c>
      <c r="E458" s="120" t="s">
        <v>844</v>
      </c>
      <c r="F458" s="68">
        <v>2672573314</v>
      </c>
      <c r="G458" s="58" t="s">
        <v>795</v>
      </c>
      <c r="H458" s="59">
        <v>24873145</v>
      </c>
      <c r="I458" s="60" t="s">
        <v>729</v>
      </c>
      <c r="J458" s="71" t="s">
        <v>55</v>
      </c>
      <c r="K458" s="70" t="s">
        <v>840</v>
      </c>
      <c r="L458" s="70"/>
      <c r="M458" s="121" t="s">
        <v>868</v>
      </c>
      <c r="N458" s="68" t="s">
        <v>733</v>
      </c>
      <c r="O458" s="132" t="s">
        <v>293</v>
      </c>
      <c r="P458" s="68" t="s">
        <v>733</v>
      </c>
      <c r="Q458" s="71" t="s">
        <v>293</v>
      </c>
      <c r="R458" s="68" t="s">
        <v>733</v>
      </c>
      <c r="S458" s="71" t="s">
        <v>293</v>
      </c>
      <c r="T458" s="68" t="s">
        <v>733</v>
      </c>
      <c r="U458" s="68"/>
      <c r="V458" s="68" t="s">
        <v>827</v>
      </c>
      <c r="W458" s="68"/>
      <c r="X458" s="134">
        <v>1</v>
      </c>
    </row>
    <row r="459" spans="3:24">
      <c r="C459" s="58" t="s">
        <v>66</v>
      </c>
      <c r="D459" s="58" t="s">
        <v>66</v>
      </c>
      <c r="E459" s="120" t="s">
        <v>844</v>
      </c>
      <c r="F459" s="68">
        <v>2672573314</v>
      </c>
      <c r="G459" s="58" t="s">
        <v>483</v>
      </c>
      <c r="H459" s="68">
        <v>17539249</v>
      </c>
      <c r="I459" s="70" t="s">
        <v>410</v>
      </c>
      <c r="J459" s="71" t="s">
        <v>56</v>
      </c>
      <c r="K459" s="70" t="s">
        <v>840</v>
      </c>
      <c r="L459" s="70"/>
      <c r="M459" s="121" t="s">
        <v>292</v>
      </c>
      <c r="N459" s="128">
        <v>45748</v>
      </c>
      <c r="O459" s="132" t="s">
        <v>292</v>
      </c>
      <c r="P459" s="73">
        <v>45962</v>
      </c>
      <c r="Q459" s="71" t="s">
        <v>293</v>
      </c>
      <c r="R459" s="68" t="s">
        <v>733</v>
      </c>
      <c r="S459" s="71" t="s">
        <v>293</v>
      </c>
      <c r="T459" s="68" t="s">
        <v>733</v>
      </c>
      <c r="U459" s="68"/>
      <c r="V459" s="68" t="s">
        <v>827</v>
      </c>
      <c r="W459" s="68"/>
      <c r="X459" s="134">
        <v>1</v>
      </c>
    </row>
    <row r="460" spans="3:24">
      <c r="C460" s="58" t="s">
        <v>66</v>
      </c>
      <c r="D460" s="58" t="s">
        <v>66</v>
      </c>
      <c r="E460" s="120" t="s">
        <v>844</v>
      </c>
      <c r="F460" s="68">
        <v>2672573314</v>
      </c>
      <c r="G460" s="58" t="s">
        <v>583</v>
      </c>
      <c r="H460" s="59">
        <v>18212884</v>
      </c>
      <c r="I460" s="60" t="s">
        <v>725</v>
      </c>
      <c r="J460" s="71" t="s">
        <v>56</v>
      </c>
      <c r="K460" s="70" t="s">
        <v>840</v>
      </c>
      <c r="L460" s="70"/>
      <c r="M460" s="121" t="s">
        <v>868</v>
      </c>
      <c r="N460" s="68" t="s">
        <v>733</v>
      </c>
      <c r="O460" s="132" t="s">
        <v>292</v>
      </c>
      <c r="P460" s="73">
        <v>45962</v>
      </c>
      <c r="Q460" s="71" t="s">
        <v>293</v>
      </c>
      <c r="R460" s="68" t="s">
        <v>733</v>
      </c>
      <c r="S460" s="71" t="s">
        <v>293</v>
      </c>
      <c r="T460" s="68" t="s">
        <v>733</v>
      </c>
      <c r="U460" s="68"/>
      <c r="V460" s="68" t="s">
        <v>827</v>
      </c>
      <c r="W460" s="68"/>
      <c r="X460" s="134">
        <v>1</v>
      </c>
    </row>
    <row r="461" spans="3:24">
      <c r="C461" s="58" t="s">
        <v>66</v>
      </c>
      <c r="D461" s="58" t="s">
        <v>66</v>
      </c>
      <c r="E461" s="120" t="s">
        <v>844</v>
      </c>
      <c r="F461" s="68">
        <v>2672573314</v>
      </c>
      <c r="G461" s="58" t="s">
        <v>488</v>
      </c>
      <c r="H461" s="52">
        <v>25897770</v>
      </c>
      <c r="I461" s="70" t="s">
        <v>730</v>
      </c>
      <c r="J461" s="71" t="s">
        <v>389</v>
      </c>
      <c r="K461" s="70" t="s">
        <v>840</v>
      </c>
      <c r="L461" s="70"/>
      <c r="M461" s="121" t="s">
        <v>292</v>
      </c>
      <c r="N461" s="128">
        <v>45748</v>
      </c>
      <c r="O461" s="132" t="s">
        <v>292</v>
      </c>
      <c r="P461" s="73">
        <v>45962</v>
      </c>
      <c r="Q461" s="71" t="s">
        <v>293</v>
      </c>
      <c r="R461" s="68" t="s">
        <v>733</v>
      </c>
      <c r="S461" s="71" t="s">
        <v>293</v>
      </c>
      <c r="T461" s="68" t="s">
        <v>733</v>
      </c>
      <c r="U461" s="68"/>
      <c r="V461" s="68" t="s">
        <v>827</v>
      </c>
      <c r="W461" s="68"/>
      <c r="X461" s="134">
        <v>1</v>
      </c>
    </row>
    <row r="462" spans="3:24">
      <c r="C462" s="58" t="s">
        <v>66</v>
      </c>
      <c r="D462" s="58" t="s">
        <v>66</v>
      </c>
      <c r="E462" s="120" t="s">
        <v>844</v>
      </c>
      <c r="F462" s="68">
        <v>2672573314</v>
      </c>
      <c r="G462" s="58" t="s">
        <v>485</v>
      </c>
      <c r="H462" s="52">
        <v>26704442</v>
      </c>
      <c r="I462" s="60" t="s">
        <v>725</v>
      </c>
      <c r="J462" s="71" t="s">
        <v>389</v>
      </c>
      <c r="K462" s="70" t="s">
        <v>840</v>
      </c>
      <c r="L462" s="70"/>
      <c r="M462" s="121" t="s">
        <v>292</v>
      </c>
      <c r="N462" s="128">
        <v>45748</v>
      </c>
      <c r="O462" s="132" t="s">
        <v>292</v>
      </c>
      <c r="P462" s="73">
        <v>45962</v>
      </c>
      <c r="Q462" s="71" t="s">
        <v>293</v>
      </c>
      <c r="R462" s="68" t="s">
        <v>733</v>
      </c>
      <c r="S462" s="71" t="s">
        <v>293</v>
      </c>
      <c r="T462" s="68" t="s">
        <v>733</v>
      </c>
      <c r="U462" s="68"/>
      <c r="V462" s="68" t="s">
        <v>827</v>
      </c>
      <c r="W462" s="68"/>
      <c r="X462" s="134">
        <v>1</v>
      </c>
    </row>
    <row r="463" spans="3:24">
      <c r="C463" s="58" t="s">
        <v>66</v>
      </c>
      <c r="D463" s="58" t="s">
        <v>66</v>
      </c>
      <c r="E463" s="120" t="s">
        <v>844</v>
      </c>
      <c r="F463" s="68">
        <v>2672573314</v>
      </c>
      <c r="G463" s="58" t="s">
        <v>585</v>
      </c>
      <c r="H463" s="59">
        <v>18417228</v>
      </c>
      <c r="I463" s="70" t="s">
        <v>730</v>
      </c>
      <c r="J463" s="71" t="s">
        <v>56</v>
      </c>
      <c r="K463" s="70" t="s">
        <v>840</v>
      </c>
      <c r="L463" s="70"/>
      <c r="M463" s="121" t="s">
        <v>868</v>
      </c>
      <c r="N463" s="68" t="s">
        <v>733</v>
      </c>
      <c r="O463" s="132" t="s">
        <v>292</v>
      </c>
      <c r="P463" s="73">
        <v>45962</v>
      </c>
      <c r="Q463" s="71" t="s">
        <v>293</v>
      </c>
      <c r="R463" s="68" t="s">
        <v>733</v>
      </c>
      <c r="S463" s="71" t="s">
        <v>293</v>
      </c>
      <c r="T463" s="68" t="s">
        <v>733</v>
      </c>
      <c r="U463" s="68"/>
      <c r="V463" s="68" t="s">
        <v>827</v>
      </c>
      <c r="W463" s="68"/>
      <c r="X463" s="134">
        <v>1</v>
      </c>
    </row>
    <row r="464" spans="3:24">
      <c r="C464" s="1" t="s">
        <v>290</v>
      </c>
      <c r="H464" s="3">
        <f>SUBTOTAL(103,Tabla257[C.I.])</f>
        <v>459</v>
      </c>
      <c r="I464" s="3"/>
      <c r="K464" s="156"/>
      <c r="L464" s="156"/>
      <c r="M464" s="3">
        <f>SUBTOTAL(103,Tabla257[TECNICO INICIAL])</f>
        <v>459</v>
      </c>
      <c r="N464" s="5"/>
      <c r="O464" s="133">
        <f>SUBTOTAL(103,Tabla257[TECNICO BASICO])</f>
        <v>459</v>
      </c>
      <c r="P464" s="156"/>
      <c r="Q464" s="157">
        <f>SUBTOTAL(103,Tabla257[TECNICO INTEGRAL])</f>
        <v>459</v>
      </c>
      <c r="R464" s="156"/>
      <c r="S464" s="157"/>
      <c r="T464" s="156"/>
      <c r="U464" s="156"/>
      <c r="V464" s="156"/>
      <c r="W464" s="156"/>
      <c r="X464" s="156"/>
    </row>
  </sheetData>
  <conditionalFormatting sqref="G233:G239">
    <cfRule type="duplicateValues" dxfId="1347" priority="15"/>
  </conditionalFormatting>
  <conditionalFormatting sqref="G5:G6">
    <cfRule type="duplicateValues" dxfId="1346" priority="11"/>
  </conditionalFormatting>
  <conditionalFormatting sqref="H435:H450 G465:G1048576 H464 G1:G3 H4">
    <cfRule type="duplicateValues" dxfId="1345" priority="69"/>
  </conditionalFormatting>
  <conditionalFormatting sqref="G353:G397 F465:F1048576 G464 F1:F3 G4 G64:G66 G10:G62 G400:G401 G192:G232 G76:G190 G250:G295 G240:G248 G435:G450 G297:G337 G339:G347">
    <cfRule type="duplicateValues" dxfId="1344" priority="190"/>
  </conditionalFormatting>
  <conditionalFormatting sqref="F465:F1048576 G250:G295 G464 F1:F3 G4:G190 G192:G248 G435:G450 G297:G337 G339:G401">
    <cfRule type="duplicateValues" dxfId="1343" priority="200"/>
  </conditionalFormatting>
  <conditionalFormatting sqref="G67:G75 G63">
    <cfRule type="duplicateValues" dxfId="1342" priority="207"/>
  </conditionalFormatting>
  <conditionalFormatting sqref="G296">
    <cfRule type="duplicateValues" dxfId="1341" priority="4"/>
  </conditionalFormatting>
  <conditionalFormatting sqref="G296">
    <cfRule type="duplicateValues" dxfId="1340" priority="5"/>
  </conditionalFormatting>
  <conditionalFormatting sqref="H296">
    <cfRule type="duplicateValues" dxfId="1339" priority="6"/>
  </conditionalFormatting>
  <conditionalFormatting sqref="H250:H295 H5:H190 H192:H248 H297:H337 H339:H401">
    <cfRule type="duplicateValues" dxfId="1338" priority="364"/>
  </conditionalFormatting>
  <conditionalFormatting sqref="G338">
    <cfRule type="duplicateValues" dxfId="1337" priority="1"/>
  </conditionalFormatting>
  <conditionalFormatting sqref="G338">
    <cfRule type="duplicateValues" dxfId="1336" priority="2"/>
  </conditionalFormatting>
  <conditionalFormatting sqref="H338">
    <cfRule type="duplicateValues" dxfId="1335" priority="3"/>
  </conditionalFormatting>
  <dataValidations count="1">
    <dataValidation type="list" allowBlank="1" showInputMessage="1" showErrorMessage="1" sqref="J5:J248 J250:J401">
      <formula1>$Z$5:$Z$12</formula1>
    </dataValidation>
  </dataValidations>
  <pageMargins left="0.7" right="0.7" top="0.75" bottom="0.75" header="0.3" footer="0.3"/>
  <pageSetup orientation="portrait" verticalDpi="300"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AA438"/>
  <sheetViews>
    <sheetView tabSelected="1" topLeftCell="A40" zoomScaleNormal="100" workbookViewId="0">
      <selection activeCell="D412" sqref="D412"/>
    </sheetView>
  </sheetViews>
  <sheetFormatPr baseColWidth="10" defaultRowHeight="15"/>
  <cols>
    <col min="1" max="2" width="11.42578125" style="1"/>
    <col min="3" max="4" width="28.28515625" style="1" customWidth="1"/>
    <col min="5" max="5" width="32.85546875" style="1" hidden="1" customWidth="1"/>
    <col min="6" max="6" width="13.5703125" style="1" hidden="1" customWidth="1"/>
    <col min="7" max="7" width="41.42578125" style="1" customWidth="1"/>
    <col min="8" max="8" width="13" style="1" customWidth="1"/>
    <col min="9" max="9" width="15.85546875" style="1" customWidth="1"/>
    <col min="10" max="10" width="26.42578125" style="1" customWidth="1"/>
    <col min="11" max="11" width="25.42578125" style="1" customWidth="1"/>
    <col min="12" max="12" width="23" style="1" customWidth="1"/>
    <col min="13" max="13" width="16.7109375" style="1" customWidth="1"/>
    <col min="14" max="14" width="10.42578125" style="57" customWidth="1"/>
    <col min="15" max="15" width="17" style="1" customWidth="1"/>
    <col min="16" max="16" width="13" style="1" customWidth="1"/>
    <col min="17" max="17" width="14" style="1" customWidth="1"/>
    <col min="18" max="18" width="13" style="1" customWidth="1"/>
    <col min="19" max="19" width="14.5703125" style="1" customWidth="1"/>
    <col min="20" max="20" width="14.42578125" style="1" customWidth="1"/>
    <col min="21" max="21" width="11" style="1" customWidth="1"/>
    <col min="22" max="22" width="12.5703125" style="1" bestFit="1" customWidth="1"/>
    <col min="23" max="23" width="12.5703125" style="1" customWidth="1"/>
    <col min="24" max="24" width="22.42578125" style="1" customWidth="1"/>
    <col min="25" max="25" width="13.28515625" style="1" customWidth="1"/>
    <col min="26" max="26" width="33.7109375" style="1" customWidth="1"/>
    <col min="27" max="16384" width="11.42578125" style="1"/>
  </cols>
  <sheetData>
    <row r="4" spans="3:27" ht="45">
      <c r="C4" s="100" t="s">
        <v>846</v>
      </c>
      <c r="D4" s="100" t="s">
        <v>857</v>
      </c>
      <c r="E4" s="100" t="s">
        <v>847</v>
      </c>
      <c r="F4" s="7" t="s">
        <v>845</v>
      </c>
      <c r="G4" s="6" t="s">
        <v>848</v>
      </c>
      <c r="H4" s="6" t="s">
        <v>46</v>
      </c>
      <c r="I4" s="6" t="s">
        <v>390</v>
      </c>
      <c r="J4" s="6" t="s">
        <v>388</v>
      </c>
      <c r="K4" s="7" t="s">
        <v>853</v>
      </c>
      <c r="L4" s="7" t="s">
        <v>930</v>
      </c>
      <c r="M4" s="66" t="s">
        <v>881</v>
      </c>
      <c r="N4" s="7" t="s">
        <v>882</v>
      </c>
      <c r="O4" s="66" t="s">
        <v>879</v>
      </c>
      <c r="P4" s="7" t="s">
        <v>850</v>
      </c>
      <c r="Q4" s="7" t="s">
        <v>872</v>
      </c>
      <c r="R4" s="7" t="s">
        <v>851</v>
      </c>
      <c r="S4" s="7" t="s">
        <v>880</v>
      </c>
      <c r="T4" s="7" t="s">
        <v>852</v>
      </c>
      <c r="U4" s="6" t="s">
        <v>828</v>
      </c>
      <c r="V4" s="7" t="s">
        <v>855</v>
      </c>
      <c r="W4" s="7" t="s">
        <v>928</v>
      </c>
      <c r="X4" s="6" t="s">
        <v>856</v>
      </c>
      <c r="Y4" s="6" t="s">
        <v>874</v>
      </c>
      <c r="AA4" s="1" t="s">
        <v>52</v>
      </c>
    </row>
    <row r="5" spans="3:27">
      <c r="C5" s="63" t="s">
        <v>15</v>
      </c>
      <c r="D5" s="63" t="s">
        <v>15</v>
      </c>
      <c r="E5" s="110" t="s">
        <v>844</v>
      </c>
      <c r="F5" s="111">
        <v>2672573314</v>
      </c>
      <c r="G5" s="63" t="s">
        <v>438</v>
      </c>
      <c r="H5" s="112">
        <v>8278822</v>
      </c>
      <c r="I5" s="109" t="s">
        <v>730</v>
      </c>
      <c r="J5" s="113" t="s">
        <v>56</v>
      </c>
      <c r="K5" s="109" t="s">
        <v>836</v>
      </c>
      <c r="L5" s="109" t="s">
        <v>890</v>
      </c>
      <c r="M5" s="114" t="s">
        <v>292</v>
      </c>
      <c r="N5" s="115">
        <v>45748</v>
      </c>
      <c r="O5" s="114" t="s">
        <v>293</v>
      </c>
      <c r="P5" s="68" t="s">
        <v>733</v>
      </c>
      <c r="Q5" s="113" t="s">
        <v>293</v>
      </c>
      <c r="R5" s="113" t="s">
        <v>733</v>
      </c>
      <c r="S5" s="113" t="s">
        <v>293</v>
      </c>
      <c r="T5" s="113" t="s">
        <v>733</v>
      </c>
      <c r="U5" s="113" t="s">
        <v>829</v>
      </c>
      <c r="V5" s="113" t="s">
        <v>827</v>
      </c>
      <c r="W5" s="113" t="s">
        <v>929</v>
      </c>
      <c r="X5" s="3"/>
      <c r="Y5" s="3">
        <v>1</v>
      </c>
      <c r="AA5" s="1" t="s">
        <v>53</v>
      </c>
    </row>
    <row r="6" spans="3:27">
      <c r="C6" s="63" t="s">
        <v>15</v>
      </c>
      <c r="D6" s="63" t="s">
        <v>15</v>
      </c>
      <c r="E6" s="110" t="s">
        <v>844</v>
      </c>
      <c r="F6" s="111">
        <v>2672573314</v>
      </c>
      <c r="G6" s="63" t="s">
        <v>515</v>
      </c>
      <c r="H6" s="112">
        <v>8295161</v>
      </c>
      <c r="I6" s="109" t="s">
        <v>730</v>
      </c>
      <c r="J6" s="113" t="s">
        <v>56</v>
      </c>
      <c r="K6" s="109" t="s">
        <v>836</v>
      </c>
      <c r="L6" s="109" t="s">
        <v>890</v>
      </c>
      <c r="M6" s="114" t="s">
        <v>868</v>
      </c>
      <c r="N6" s="113" t="s">
        <v>733</v>
      </c>
      <c r="O6" s="114" t="s">
        <v>293</v>
      </c>
      <c r="P6" s="68" t="s">
        <v>733</v>
      </c>
      <c r="Q6" s="113" t="s">
        <v>293</v>
      </c>
      <c r="R6" s="113" t="s">
        <v>733</v>
      </c>
      <c r="S6" s="113" t="s">
        <v>293</v>
      </c>
      <c r="T6" s="113" t="s">
        <v>733</v>
      </c>
      <c r="U6" s="113" t="s">
        <v>827</v>
      </c>
      <c r="V6" s="113" t="s">
        <v>827</v>
      </c>
      <c r="W6" s="113" t="s">
        <v>929</v>
      </c>
      <c r="X6" s="3"/>
      <c r="Y6" s="3">
        <v>1</v>
      </c>
      <c r="AA6" s="1" t="s">
        <v>727</v>
      </c>
    </row>
    <row r="7" spans="3:27">
      <c r="C7" s="63" t="s">
        <v>15</v>
      </c>
      <c r="D7" s="63" t="s">
        <v>15</v>
      </c>
      <c r="E7" s="110" t="s">
        <v>844</v>
      </c>
      <c r="F7" s="111">
        <v>2672573314</v>
      </c>
      <c r="G7" s="63" t="s">
        <v>421</v>
      </c>
      <c r="H7" s="112">
        <v>25478858</v>
      </c>
      <c r="I7" s="109" t="s">
        <v>730</v>
      </c>
      <c r="J7" s="113" t="s">
        <v>56</v>
      </c>
      <c r="K7" s="109" t="s">
        <v>836</v>
      </c>
      <c r="L7" s="109" t="s">
        <v>890</v>
      </c>
      <c r="M7" s="114" t="s">
        <v>292</v>
      </c>
      <c r="N7" s="115">
        <v>45748</v>
      </c>
      <c r="O7" s="114" t="s">
        <v>293</v>
      </c>
      <c r="P7" s="68" t="s">
        <v>733</v>
      </c>
      <c r="Q7" s="113" t="s">
        <v>293</v>
      </c>
      <c r="R7" s="113" t="s">
        <v>733</v>
      </c>
      <c r="S7" s="113" t="s">
        <v>293</v>
      </c>
      <c r="T7" s="113" t="s">
        <v>733</v>
      </c>
      <c r="U7" s="113" t="s">
        <v>829</v>
      </c>
      <c r="V7" s="113" t="s">
        <v>827</v>
      </c>
      <c r="W7" s="113" t="s">
        <v>929</v>
      </c>
      <c r="X7" s="3"/>
      <c r="Y7" s="3">
        <v>1</v>
      </c>
      <c r="AA7" s="1" t="s">
        <v>389</v>
      </c>
    </row>
    <row r="8" spans="3:27">
      <c r="C8" s="63" t="s">
        <v>15</v>
      </c>
      <c r="D8" s="63" t="s">
        <v>15</v>
      </c>
      <c r="E8" s="110" t="s">
        <v>844</v>
      </c>
      <c r="F8" s="111">
        <v>2672573314</v>
      </c>
      <c r="G8" s="63" t="s">
        <v>437</v>
      </c>
      <c r="H8" s="112">
        <v>13168246</v>
      </c>
      <c r="I8" s="109" t="s">
        <v>730</v>
      </c>
      <c r="J8" s="113" t="s">
        <v>56</v>
      </c>
      <c r="K8" s="109" t="s">
        <v>836</v>
      </c>
      <c r="L8" s="109" t="s">
        <v>890</v>
      </c>
      <c r="M8" s="114" t="s">
        <v>292</v>
      </c>
      <c r="N8" s="115">
        <v>45748</v>
      </c>
      <c r="O8" s="114" t="s">
        <v>293</v>
      </c>
      <c r="P8" s="68" t="s">
        <v>733</v>
      </c>
      <c r="Q8" s="113" t="s">
        <v>293</v>
      </c>
      <c r="R8" s="113" t="s">
        <v>733</v>
      </c>
      <c r="S8" s="113" t="s">
        <v>293</v>
      </c>
      <c r="T8" s="113" t="s">
        <v>733</v>
      </c>
      <c r="U8" s="113" t="s">
        <v>827</v>
      </c>
      <c r="V8" s="113" t="s">
        <v>827</v>
      </c>
      <c r="W8" s="113" t="s">
        <v>929</v>
      </c>
      <c r="X8" s="3"/>
      <c r="Y8" s="3">
        <v>1</v>
      </c>
      <c r="AA8" s="1" t="s">
        <v>405</v>
      </c>
    </row>
    <row r="9" spans="3:27">
      <c r="C9" s="63" t="s">
        <v>15</v>
      </c>
      <c r="D9" s="63" t="s">
        <v>15</v>
      </c>
      <c r="E9" s="110" t="s">
        <v>844</v>
      </c>
      <c r="F9" s="111">
        <v>2672573314</v>
      </c>
      <c r="G9" s="63" t="s">
        <v>511</v>
      </c>
      <c r="H9" s="112">
        <v>28257470</v>
      </c>
      <c r="I9" s="116" t="s">
        <v>725</v>
      </c>
      <c r="J9" s="113" t="s">
        <v>53</v>
      </c>
      <c r="K9" s="109" t="s">
        <v>836</v>
      </c>
      <c r="L9" s="109" t="s">
        <v>890</v>
      </c>
      <c r="M9" s="114" t="s">
        <v>868</v>
      </c>
      <c r="N9" s="113" t="s">
        <v>733</v>
      </c>
      <c r="O9" s="114" t="s">
        <v>293</v>
      </c>
      <c r="P9" s="68" t="s">
        <v>733</v>
      </c>
      <c r="Q9" s="113" t="s">
        <v>293</v>
      </c>
      <c r="R9" s="113" t="s">
        <v>733</v>
      </c>
      <c r="S9" s="113" t="s">
        <v>293</v>
      </c>
      <c r="T9" s="113" t="s">
        <v>733</v>
      </c>
      <c r="U9" s="113" t="s">
        <v>829</v>
      </c>
      <c r="V9" s="113" t="s">
        <v>827</v>
      </c>
      <c r="W9" s="113" t="s">
        <v>931</v>
      </c>
      <c r="X9" s="3" t="s">
        <v>935</v>
      </c>
      <c r="Y9" s="3">
        <v>1</v>
      </c>
      <c r="AA9" s="1" t="s">
        <v>750</v>
      </c>
    </row>
    <row r="10" spans="3:27">
      <c r="C10" s="63" t="s">
        <v>15</v>
      </c>
      <c r="D10" s="63" t="s">
        <v>15</v>
      </c>
      <c r="E10" s="110" t="s">
        <v>844</v>
      </c>
      <c r="F10" s="111">
        <v>2672573314</v>
      </c>
      <c r="G10" s="63" t="s">
        <v>427</v>
      </c>
      <c r="H10" s="112">
        <v>27345748</v>
      </c>
      <c r="I10" s="116" t="s">
        <v>725</v>
      </c>
      <c r="J10" s="113" t="s">
        <v>56</v>
      </c>
      <c r="K10" s="109" t="s">
        <v>836</v>
      </c>
      <c r="L10" s="109" t="s">
        <v>890</v>
      </c>
      <c r="M10" s="114" t="s">
        <v>292</v>
      </c>
      <c r="N10" s="115">
        <v>45748</v>
      </c>
      <c r="O10" s="114" t="s">
        <v>293</v>
      </c>
      <c r="P10" s="68" t="s">
        <v>733</v>
      </c>
      <c r="Q10" s="113" t="s">
        <v>293</v>
      </c>
      <c r="R10" s="113" t="s">
        <v>733</v>
      </c>
      <c r="S10" s="113" t="s">
        <v>293</v>
      </c>
      <c r="T10" s="113" t="s">
        <v>733</v>
      </c>
      <c r="U10" s="113" t="s">
        <v>829</v>
      </c>
      <c r="V10" s="113" t="s">
        <v>827</v>
      </c>
      <c r="W10" s="113" t="s">
        <v>929</v>
      </c>
      <c r="X10" s="3"/>
      <c r="Y10" s="3">
        <v>1</v>
      </c>
      <c r="AA10" s="1" t="s">
        <v>55</v>
      </c>
    </row>
    <row r="11" spans="3:27">
      <c r="C11" s="63" t="s">
        <v>15</v>
      </c>
      <c r="D11" s="63" t="s">
        <v>15</v>
      </c>
      <c r="E11" s="110" t="s">
        <v>844</v>
      </c>
      <c r="F11" s="111">
        <v>2672573314</v>
      </c>
      <c r="G11" s="63" t="s">
        <v>426</v>
      </c>
      <c r="H11" s="112">
        <v>25721872</v>
      </c>
      <c r="I11" s="116" t="s">
        <v>725</v>
      </c>
      <c r="J11" s="113" t="s">
        <v>56</v>
      </c>
      <c r="K11" s="109" t="s">
        <v>836</v>
      </c>
      <c r="L11" s="109" t="s">
        <v>890</v>
      </c>
      <c r="M11" s="114" t="s">
        <v>292</v>
      </c>
      <c r="N11" s="115">
        <v>45748</v>
      </c>
      <c r="O11" s="114" t="s">
        <v>293</v>
      </c>
      <c r="P11" s="68" t="s">
        <v>733</v>
      </c>
      <c r="Q11" s="113" t="s">
        <v>293</v>
      </c>
      <c r="R11" s="113" t="s">
        <v>733</v>
      </c>
      <c r="S11" s="113" t="s">
        <v>293</v>
      </c>
      <c r="T11" s="113" t="s">
        <v>733</v>
      </c>
      <c r="U11" s="113" t="s">
        <v>829</v>
      </c>
      <c r="V11" s="113" t="s">
        <v>827</v>
      </c>
      <c r="W11" s="113" t="s">
        <v>929</v>
      </c>
      <c r="X11" s="3"/>
      <c r="Y11" s="3">
        <v>1</v>
      </c>
      <c r="AA11" s="1" t="s">
        <v>414</v>
      </c>
    </row>
    <row r="12" spans="3:27">
      <c r="C12" s="63" t="s">
        <v>15</v>
      </c>
      <c r="D12" s="63" t="s">
        <v>15</v>
      </c>
      <c r="E12" s="110" t="s">
        <v>844</v>
      </c>
      <c r="F12" s="111">
        <v>2672573314</v>
      </c>
      <c r="G12" s="63" t="s">
        <v>685</v>
      </c>
      <c r="H12" s="112">
        <v>21042054</v>
      </c>
      <c r="I12" s="109" t="s">
        <v>730</v>
      </c>
      <c r="J12" s="113" t="s">
        <v>56</v>
      </c>
      <c r="K12" s="109" t="s">
        <v>836</v>
      </c>
      <c r="L12" s="109" t="s">
        <v>890</v>
      </c>
      <c r="M12" s="114" t="s">
        <v>868</v>
      </c>
      <c r="N12" s="113" t="s">
        <v>733</v>
      </c>
      <c r="O12" s="114" t="s">
        <v>293</v>
      </c>
      <c r="P12" s="68" t="s">
        <v>733</v>
      </c>
      <c r="Q12" s="113" t="s">
        <v>293</v>
      </c>
      <c r="R12" s="113" t="s">
        <v>733</v>
      </c>
      <c r="S12" s="113" t="s">
        <v>293</v>
      </c>
      <c r="T12" s="113" t="s">
        <v>733</v>
      </c>
      <c r="U12" s="113" t="s">
        <v>829</v>
      </c>
      <c r="V12" s="113" t="s">
        <v>827</v>
      </c>
      <c r="W12" s="113" t="s">
        <v>929</v>
      </c>
      <c r="X12" s="3"/>
      <c r="Y12" s="3">
        <v>1</v>
      </c>
      <c r="AA12" s="1" t="s">
        <v>56</v>
      </c>
    </row>
    <row r="13" spans="3:27">
      <c r="C13" s="63" t="s">
        <v>15</v>
      </c>
      <c r="D13" s="63" t="s">
        <v>15</v>
      </c>
      <c r="E13" s="110" t="s">
        <v>844</v>
      </c>
      <c r="F13" s="111">
        <v>2672573314</v>
      </c>
      <c r="G13" s="63" t="s">
        <v>422</v>
      </c>
      <c r="H13" s="112">
        <v>28069528</v>
      </c>
      <c r="I13" s="116" t="s">
        <v>725</v>
      </c>
      <c r="J13" s="113" t="s">
        <v>56</v>
      </c>
      <c r="K13" s="109" t="s">
        <v>836</v>
      </c>
      <c r="L13" s="109" t="s">
        <v>890</v>
      </c>
      <c r="M13" s="114" t="s">
        <v>292</v>
      </c>
      <c r="N13" s="115">
        <v>45748</v>
      </c>
      <c r="O13" s="114" t="s">
        <v>293</v>
      </c>
      <c r="P13" s="68" t="s">
        <v>733</v>
      </c>
      <c r="Q13" s="113" t="s">
        <v>293</v>
      </c>
      <c r="R13" s="113" t="s">
        <v>733</v>
      </c>
      <c r="S13" s="113" t="s">
        <v>293</v>
      </c>
      <c r="T13" s="113" t="s">
        <v>733</v>
      </c>
      <c r="U13" s="113" t="s">
        <v>829</v>
      </c>
      <c r="V13" s="113" t="s">
        <v>827</v>
      </c>
      <c r="W13" s="113" t="s">
        <v>929</v>
      </c>
      <c r="X13" s="3"/>
      <c r="Y13" s="3">
        <v>1</v>
      </c>
    </row>
    <row r="14" spans="3:27">
      <c r="C14" s="114" t="s">
        <v>15</v>
      </c>
      <c r="D14" s="114" t="s">
        <v>15</v>
      </c>
      <c r="E14" s="110" t="s">
        <v>844</v>
      </c>
      <c r="F14" s="111">
        <v>2672573314</v>
      </c>
      <c r="G14" s="117" t="s">
        <v>681</v>
      </c>
      <c r="H14" s="112">
        <v>26228015</v>
      </c>
      <c r="I14" s="116" t="s">
        <v>729</v>
      </c>
      <c r="J14" s="113" t="s">
        <v>56</v>
      </c>
      <c r="K14" s="109" t="s">
        <v>836</v>
      </c>
      <c r="L14" s="109" t="s">
        <v>890</v>
      </c>
      <c r="M14" s="114" t="s">
        <v>868</v>
      </c>
      <c r="N14" s="113" t="s">
        <v>733</v>
      </c>
      <c r="O14" s="114" t="s">
        <v>293</v>
      </c>
      <c r="P14" s="68" t="s">
        <v>733</v>
      </c>
      <c r="Q14" s="113" t="s">
        <v>293</v>
      </c>
      <c r="R14" s="113" t="s">
        <v>733</v>
      </c>
      <c r="S14" s="113" t="s">
        <v>293</v>
      </c>
      <c r="T14" s="113" t="s">
        <v>733</v>
      </c>
      <c r="U14" s="113" t="s">
        <v>827</v>
      </c>
      <c r="V14" s="113" t="s">
        <v>827</v>
      </c>
      <c r="W14" s="113" t="s">
        <v>929</v>
      </c>
      <c r="X14" s="3"/>
      <c r="Y14" s="3">
        <v>1</v>
      </c>
    </row>
    <row r="15" spans="3:27">
      <c r="C15" s="114" t="s">
        <v>15</v>
      </c>
      <c r="D15" s="114" t="s">
        <v>15</v>
      </c>
      <c r="E15" s="110" t="s">
        <v>844</v>
      </c>
      <c r="F15" s="111">
        <v>2672573314</v>
      </c>
      <c r="G15" s="114" t="s">
        <v>683</v>
      </c>
      <c r="H15" s="112">
        <v>23998595</v>
      </c>
      <c r="I15" s="116" t="s">
        <v>725</v>
      </c>
      <c r="J15" s="113" t="s">
        <v>56</v>
      </c>
      <c r="K15" s="109" t="s">
        <v>836</v>
      </c>
      <c r="L15" s="109" t="s">
        <v>890</v>
      </c>
      <c r="M15" s="114" t="s">
        <v>868</v>
      </c>
      <c r="N15" s="113" t="s">
        <v>733</v>
      </c>
      <c r="O15" s="114" t="s">
        <v>293</v>
      </c>
      <c r="P15" s="68" t="s">
        <v>733</v>
      </c>
      <c r="Q15" s="113" t="s">
        <v>293</v>
      </c>
      <c r="R15" s="113" t="s">
        <v>733</v>
      </c>
      <c r="S15" s="113" t="s">
        <v>293</v>
      </c>
      <c r="T15" s="113" t="s">
        <v>733</v>
      </c>
      <c r="U15" s="113" t="s">
        <v>827</v>
      </c>
      <c r="V15" s="113" t="s">
        <v>827</v>
      </c>
      <c r="W15" s="113" t="s">
        <v>929</v>
      </c>
      <c r="X15" s="3"/>
      <c r="Y15" s="3">
        <v>1</v>
      </c>
    </row>
    <row r="16" spans="3:27">
      <c r="C16" s="63" t="s">
        <v>15</v>
      </c>
      <c r="D16" s="63" t="s">
        <v>15</v>
      </c>
      <c r="E16" s="110" t="s">
        <v>844</v>
      </c>
      <c r="F16" s="111">
        <v>2672573314</v>
      </c>
      <c r="G16" s="63" t="s">
        <v>432</v>
      </c>
      <c r="H16" s="112">
        <v>16491274</v>
      </c>
      <c r="I16" s="109" t="s">
        <v>730</v>
      </c>
      <c r="J16" s="113" t="s">
        <v>56</v>
      </c>
      <c r="K16" s="109" t="s">
        <v>836</v>
      </c>
      <c r="L16" s="109" t="s">
        <v>890</v>
      </c>
      <c r="M16" s="114" t="s">
        <v>292</v>
      </c>
      <c r="N16" s="115">
        <v>45748</v>
      </c>
      <c r="O16" s="114" t="s">
        <v>293</v>
      </c>
      <c r="P16" s="68" t="s">
        <v>733</v>
      </c>
      <c r="Q16" s="113" t="s">
        <v>293</v>
      </c>
      <c r="R16" s="113" t="s">
        <v>733</v>
      </c>
      <c r="S16" s="113" t="s">
        <v>293</v>
      </c>
      <c r="T16" s="113" t="s">
        <v>733</v>
      </c>
      <c r="U16" s="113" t="s">
        <v>829</v>
      </c>
      <c r="V16" s="113" t="s">
        <v>827</v>
      </c>
      <c r="W16" s="113" t="s">
        <v>929</v>
      </c>
      <c r="X16" s="3"/>
      <c r="Y16" s="3">
        <v>1</v>
      </c>
    </row>
    <row r="17" spans="3:25">
      <c r="C17" s="63" t="s">
        <v>15</v>
      </c>
      <c r="D17" s="63" t="s">
        <v>15</v>
      </c>
      <c r="E17" s="110" t="s">
        <v>844</v>
      </c>
      <c r="F17" s="111">
        <v>2672573314</v>
      </c>
      <c r="G17" s="63" t="s">
        <v>785</v>
      </c>
      <c r="H17" s="53">
        <v>19854126</v>
      </c>
      <c r="I17" s="116" t="s">
        <v>729</v>
      </c>
      <c r="J17" s="113" t="s">
        <v>55</v>
      </c>
      <c r="K17" s="109" t="s">
        <v>836</v>
      </c>
      <c r="L17" s="109" t="s">
        <v>890</v>
      </c>
      <c r="M17" s="114" t="s">
        <v>868</v>
      </c>
      <c r="N17" s="113" t="s">
        <v>733</v>
      </c>
      <c r="O17" s="114" t="s">
        <v>293</v>
      </c>
      <c r="P17" s="68" t="s">
        <v>733</v>
      </c>
      <c r="Q17" s="113" t="s">
        <v>293</v>
      </c>
      <c r="R17" s="113" t="s">
        <v>733</v>
      </c>
      <c r="S17" s="113" t="s">
        <v>293</v>
      </c>
      <c r="T17" s="113" t="s">
        <v>733</v>
      </c>
      <c r="U17" s="113" t="s">
        <v>827</v>
      </c>
      <c r="V17" s="113" t="s">
        <v>827</v>
      </c>
      <c r="W17" s="113" t="s">
        <v>929</v>
      </c>
      <c r="X17" s="68"/>
      <c r="Y17" s="3">
        <v>1</v>
      </c>
    </row>
    <row r="18" spans="3:25">
      <c r="C18" s="63" t="s">
        <v>15</v>
      </c>
      <c r="D18" s="63" t="s">
        <v>15</v>
      </c>
      <c r="E18" s="110" t="s">
        <v>844</v>
      </c>
      <c r="F18" s="111">
        <v>2672573314</v>
      </c>
      <c r="G18" s="63" t="s">
        <v>429</v>
      </c>
      <c r="H18" s="112">
        <v>16055466</v>
      </c>
      <c r="I18" s="116" t="s">
        <v>725</v>
      </c>
      <c r="J18" s="113" t="s">
        <v>56</v>
      </c>
      <c r="K18" s="109" t="s">
        <v>836</v>
      </c>
      <c r="L18" s="109" t="s">
        <v>890</v>
      </c>
      <c r="M18" s="114" t="s">
        <v>292</v>
      </c>
      <c r="N18" s="115">
        <v>45748</v>
      </c>
      <c r="O18" s="114" t="s">
        <v>293</v>
      </c>
      <c r="P18" s="68" t="s">
        <v>733</v>
      </c>
      <c r="Q18" s="113" t="s">
        <v>293</v>
      </c>
      <c r="R18" s="113" t="s">
        <v>733</v>
      </c>
      <c r="S18" s="113" t="s">
        <v>293</v>
      </c>
      <c r="T18" s="113" t="s">
        <v>733</v>
      </c>
      <c r="U18" s="113" t="s">
        <v>829</v>
      </c>
      <c r="V18" s="113" t="s">
        <v>827</v>
      </c>
      <c r="W18" s="113" t="s">
        <v>929</v>
      </c>
      <c r="X18" s="3"/>
      <c r="Y18" s="3">
        <v>1</v>
      </c>
    </row>
    <row r="19" spans="3:25">
      <c r="C19" s="114" t="s">
        <v>15</v>
      </c>
      <c r="D19" s="114" t="s">
        <v>15</v>
      </c>
      <c r="E19" s="110" t="s">
        <v>844</v>
      </c>
      <c r="F19" s="111">
        <v>2672573314</v>
      </c>
      <c r="G19" s="114" t="s">
        <v>682</v>
      </c>
      <c r="H19" s="112">
        <v>19438470</v>
      </c>
      <c r="I19" s="116" t="s">
        <v>410</v>
      </c>
      <c r="J19" s="113" t="s">
        <v>56</v>
      </c>
      <c r="K19" s="109" t="s">
        <v>836</v>
      </c>
      <c r="L19" s="109" t="s">
        <v>890</v>
      </c>
      <c r="M19" s="114" t="s">
        <v>868</v>
      </c>
      <c r="N19" s="113" t="s">
        <v>733</v>
      </c>
      <c r="O19" s="114" t="s">
        <v>293</v>
      </c>
      <c r="P19" s="68" t="s">
        <v>733</v>
      </c>
      <c r="Q19" s="113" t="s">
        <v>293</v>
      </c>
      <c r="R19" s="113" t="s">
        <v>733</v>
      </c>
      <c r="S19" s="113" t="s">
        <v>293</v>
      </c>
      <c r="T19" s="113" t="s">
        <v>733</v>
      </c>
      <c r="U19" s="113" t="s">
        <v>829</v>
      </c>
      <c r="V19" s="113" t="s">
        <v>827</v>
      </c>
      <c r="W19" s="113" t="s">
        <v>929</v>
      </c>
      <c r="X19" s="3"/>
      <c r="Y19" s="3">
        <v>1</v>
      </c>
    </row>
    <row r="20" spans="3:25">
      <c r="C20" s="114" t="s">
        <v>15</v>
      </c>
      <c r="D20" s="114" t="s">
        <v>15</v>
      </c>
      <c r="E20" s="110" t="s">
        <v>844</v>
      </c>
      <c r="F20" s="111">
        <v>2672573314</v>
      </c>
      <c r="G20" s="114" t="s">
        <v>684</v>
      </c>
      <c r="H20" s="112">
        <v>21613295</v>
      </c>
      <c r="I20" s="109" t="s">
        <v>730</v>
      </c>
      <c r="J20" s="113" t="s">
        <v>56</v>
      </c>
      <c r="K20" s="109" t="s">
        <v>836</v>
      </c>
      <c r="L20" s="109" t="s">
        <v>890</v>
      </c>
      <c r="M20" s="114" t="s">
        <v>868</v>
      </c>
      <c r="N20" s="113" t="s">
        <v>733</v>
      </c>
      <c r="O20" s="114" t="s">
        <v>293</v>
      </c>
      <c r="P20" s="68" t="s">
        <v>733</v>
      </c>
      <c r="Q20" s="113" t="s">
        <v>293</v>
      </c>
      <c r="R20" s="113" t="s">
        <v>733</v>
      </c>
      <c r="S20" s="113" t="s">
        <v>293</v>
      </c>
      <c r="T20" s="113" t="s">
        <v>733</v>
      </c>
      <c r="U20" s="113" t="s">
        <v>827</v>
      </c>
      <c r="V20" s="113" t="s">
        <v>827</v>
      </c>
      <c r="W20" s="113" t="s">
        <v>929</v>
      </c>
      <c r="X20" s="3"/>
      <c r="Y20" s="3">
        <v>1</v>
      </c>
    </row>
    <row r="21" spans="3:25" ht="13.5" customHeight="1">
      <c r="C21" s="63" t="s">
        <v>15</v>
      </c>
      <c r="D21" s="63" t="s">
        <v>15</v>
      </c>
      <c r="E21" s="110" t="s">
        <v>844</v>
      </c>
      <c r="F21" s="111">
        <v>2672573314</v>
      </c>
      <c r="G21" s="63" t="s">
        <v>424</v>
      </c>
      <c r="H21" s="112">
        <v>10227502</v>
      </c>
      <c r="I21" s="109" t="s">
        <v>730</v>
      </c>
      <c r="J21" s="113" t="s">
        <v>56</v>
      </c>
      <c r="K21" s="109" t="s">
        <v>836</v>
      </c>
      <c r="L21" s="109" t="s">
        <v>890</v>
      </c>
      <c r="M21" s="114" t="s">
        <v>292</v>
      </c>
      <c r="N21" s="115">
        <v>45748</v>
      </c>
      <c r="O21" s="114" t="s">
        <v>293</v>
      </c>
      <c r="P21" s="68" t="s">
        <v>733</v>
      </c>
      <c r="Q21" s="113" t="s">
        <v>293</v>
      </c>
      <c r="R21" s="113" t="s">
        <v>733</v>
      </c>
      <c r="S21" s="113" t="s">
        <v>293</v>
      </c>
      <c r="T21" s="113" t="s">
        <v>733</v>
      </c>
      <c r="U21" s="113" t="s">
        <v>829</v>
      </c>
      <c r="V21" s="113" t="s">
        <v>827</v>
      </c>
      <c r="W21" s="113" t="s">
        <v>929</v>
      </c>
      <c r="X21" s="3"/>
      <c r="Y21" s="3">
        <v>1</v>
      </c>
    </row>
    <row r="22" spans="3:25">
      <c r="C22" s="63" t="s">
        <v>15</v>
      </c>
      <c r="D22" s="63" t="s">
        <v>15</v>
      </c>
      <c r="E22" s="110" t="s">
        <v>844</v>
      </c>
      <c r="F22" s="111">
        <v>2672573314</v>
      </c>
      <c r="G22" s="63" t="s">
        <v>513</v>
      </c>
      <c r="H22" s="112">
        <v>29838138</v>
      </c>
      <c r="I22" s="116" t="s">
        <v>725</v>
      </c>
      <c r="J22" s="113" t="s">
        <v>56</v>
      </c>
      <c r="K22" s="109" t="s">
        <v>836</v>
      </c>
      <c r="L22" s="109" t="s">
        <v>890</v>
      </c>
      <c r="M22" s="114" t="s">
        <v>868</v>
      </c>
      <c r="N22" s="113" t="s">
        <v>733</v>
      </c>
      <c r="O22" s="114" t="s">
        <v>293</v>
      </c>
      <c r="P22" s="68" t="s">
        <v>733</v>
      </c>
      <c r="Q22" s="113" t="s">
        <v>293</v>
      </c>
      <c r="R22" s="113" t="s">
        <v>733</v>
      </c>
      <c r="S22" s="113" t="s">
        <v>293</v>
      </c>
      <c r="T22" s="113" t="s">
        <v>733</v>
      </c>
      <c r="U22" s="113" t="s">
        <v>829</v>
      </c>
      <c r="V22" s="113" t="s">
        <v>827</v>
      </c>
      <c r="W22" s="113" t="s">
        <v>929</v>
      </c>
      <c r="X22" s="3"/>
      <c r="Y22" s="3">
        <v>1</v>
      </c>
    </row>
    <row r="23" spans="3:25">
      <c r="C23" s="63" t="s">
        <v>15</v>
      </c>
      <c r="D23" s="63" t="s">
        <v>15</v>
      </c>
      <c r="E23" s="110" t="s">
        <v>844</v>
      </c>
      <c r="F23" s="111">
        <v>2672573314</v>
      </c>
      <c r="G23" s="63" t="s">
        <v>423</v>
      </c>
      <c r="H23" s="112">
        <v>22842272</v>
      </c>
      <c r="I23" s="109" t="s">
        <v>730</v>
      </c>
      <c r="J23" s="113" t="s">
        <v>56</v>
      </c>
      <c r="K23" s="109" t="s">
        <v>836</v>
      </c>
      <c r="L23" s="109" t="s">
        <v>890</v>
      </c>
      <c r="M23" s="114" t="s">
        <v>292</v>
      </c>
      <c r="N23" s="115">
        <v>45748</v>
      </c>
      <c r="O23" s="114" t="s">
        <v>293</v>
      </c>
      <c r="P23" s="68" t="s">
        <v>733</v>
      </c>
      <c r="Q23" s="113" t="s">
        <v>293</v>
      </c>
      <c r="R23" s="113" t="s">
        <v>733</v>
      </c>
      <c r="S23" s="113" t="s">
        <v>293</v>
      </c>
      <c r="T23" s="113" t="s">
        <v>733</v>
      </c>
      <c r="U23" s="113" t="s">
        <v>829</v>
      </c>
      <c r="V23" s="113" t="s">
        <v>827</v>
      </c>
      <c r="W23" s="113" t="s">
        <v>929</v>
      </c>
      <c r="X23" s="3"/>
      <c r="Y23" s="3">
        <v>1</v>
      </c>
    </row>
    <row r="24" spans="3:25">
      <c r="C24" s="114" t="s">
        <v>15</v>
      </c>
      <c r="D24" s="114" t="s">
        <v>15</v>
      </c>
      <c r="E24" s="110" t="s">
        <v>844</v>
      </c>
      <c r="F24" s="111">
        <v>2672573314</v>
      </c>
      <c r="G24" s="117" t="s">
        <v>680</v>
      </c>
      <c r="H24" s="112">
        <v>27345053</v>
      </c>
      <c r="I24" s="116" t="s">
        <v>706</v>
      </c>
      <c r="J24" s="113" t="s">
        <v>56</v>
      </c>
      <c r="K24" s="109" t="s">
        <v>836</v>
      </c>
      <c r="L24" s="109" t="s">
        <v>890</v>
      </c>
      <c r="M24" s="114" t="s">
        <v>292</v>
      </c>
      <c r="N24" s="115">
        <v>45748</v>
      </c>
      <c r="O24" s="114" t="s">
        <v>292</v>
      </c>
      <c r="P24" s="128">
        <v>45748</v>
      </c>
      <c r="Q24" s="113" t="s">
        <v>293</v>
      </c>
      <c r="R24" s="113" t="s">
        <v>733</v>
      </c>
      <c r="S24" s="113" t="s">
        <v>293</v>
      </c>
      <c r="T24" s="113" t="s">
        <v>733</v>
      </c>
      <c r="U24" s="113" t="s">
        <v>829</v>
      </c>
      <c r="V24" s="113" t="s">
        <v>827</v>
      </c>
      <c r="W24" s="113" t="s">
        <v>929</v>
      </c>
      <c r="X24" s="3"/>
      <c r="Y24" s="3">
        <v>1</v>
      </c>
    </row>
    <row r="25" spans="3:25">
      <c r="C25" s="63" t="s">
        <v>15</v>
      </c>
      <c r="D25" s="63" t="s">
        <v>15</v>
      </c>
      <c r="E25" s="110" t="s">
        <v>844</v>
      </c>
      <c r="F25" s="111">
        <v>2672573314</v>
      </c>
      <c r="G25" s="63" t="s">
        <v>431</v>
      </c>
      <c r="H25" s="112">
        <v>26109784</v>
      </c>
      <c r="I25" s="109" t="s">
        <v>730</v>
      </c>
      <c r="J25" s="113" t="s">
        <v>56</v>
      </c>
      <c r="K25" s="109" t="s">
        <v>836</v>
      </c>
      <c r="L25" s="109" t="s">
        <v>890</v>
      </c>
      <c r="M25" s="114" t="s">
        <v>292</v>
      </c>
      <c r="N25" s="115">
        <v>45748</v>
      </c>
      <c r="O25" s="114" t="s">
        <v>293</v>
      </c>
      <c r="P25" s="68" t="s">
        <v>733</v>
      </c>
      <c r="Q25" s="113" t="s">
        <v>293</v>
      </c>
      <c r="R25" s="113" t="s">
        <v>733</v>
      </c>
      <c r="S25" s="113" t="s">
        <v>293</v>
      </c>
      <c r="T25" s="113" t="s">
        <v>733</v>
      </c>
      <c r="U25" s="113" t="s">
        <v>829</v>
      </c>
      <c r="V25" s="113" t="s">
        <v>827</v>
      </c>
      <c r="W25" s="113" t="s">
        <v>929</v>
      </c>
      <c r="X25" s="3"/>
      <c r="Y25" s="3">
        <v>1</v>
      </c>
    </row>
    <row r="26" spans="3:25">
      <c r="C26" s="63" t="s">
        <v>15</v>
      </c>
      <c r="D26" s="63" t="s">
        <v>15</v>
      </c>
      <c r="E26" s="110" t="s">
        <v>844</v>
      </c>
      <c r="F26" s="111">
        <v>2672573314</v>
      </c>
      <c r="G26" s="63" t="s">
        <v>519</v>
      </c>
      <c r="H26" s="112">
        <v>28065677</v>
      </c>
      <c r="I26" s="116" t="s">
        <v>725</v>
      </c>
      <c r="J26" s="113" t="s">
        <v>56</v>
      </c>
      <c r="K26" s="109" t="s">
        <v>836</v>
      </c>
      <c r="L26" s="109" t="s">
        <v>890</v>
      </c>
      <c r="M26" s="114" t="s">
        <v>868</v>
      </c>
      <c r="N26" s="113" t="s">
        <v>733</v>
      </c>
      <c r="O26" s="114" t="s">
        <v>293</v>
      </c>
      <c r="P26" s="68" t="s">
        <v>733</v>
      </c>
      <c r="Q26" s="113" t="s">
        <v>293</v>
      </c>
      <c r="R26" s="113" t="s">
        <v>733</v>
      </c>
      <c r="S26" s="113" t="s">
        <v>293</v>
      </c>
      <c r="T26" s="113" t="s">
        <v>733</v>
      </c>
      <c r="U26" s="113" t="s">
        <v>829</v>
      </c>
      <c r="V26" s="113" t="s">
        <v>827</v>
      </c>
      <c r="W26" s="113" t="s">
        <v>929</v>
      </c>
      <c r="X26" s="3"/>
      <c r="Y26" s="3">
        <v>1</v>
      </c>
    </row>
    <row r="27" spans="3:25">
      <c r="C27" s="63" t="s">
        <v>15</v>
      </c>
      <c r="D27" s="63" t="s">
        <v>15</v>
      </c>
      <c r="E27" s="110" t="s">
        <v>844</v>
      </c>
      <c r="F27" s="111">
        <v>2672573314</v>
      </c>
      <c r="G27" s="63" t="s">
        <v>430</v>
      </c>
      <c r="H27" s="112">
        <v>25083549</v>
      </c>
      <c r="I27" s="109" t="s">
        <v>730</v>
      </c>
      <c r="J27" s="113" t="s">
        <v>56</v>
      </c>
      <c r="K27" s="109" t="s">
        <v>836</v>
      </c>
      <c r="L27" s="109" t="s">
        <v>890</v>
      </c>
      <c r="M27" s="114" t="s">
        <v>292</v>
      </c>
      <c r="N27" s="115">
        <v>45748</v>
      </c>
      <c r="O27" s="114" t="s">
        <v>293</v>
      </c>
      <c r="P27" s="68" t="s">
        <v>733</v>
      </c>
      <c r="Q27" s="113" t="s">
        <v>293</v>
      </c>
      <c r="R27" s="113" t="s">
        <v>733</v>
      </c>
      <c r="S27" s="113" t="s">
        <v>293</v>
      </c>
      <c r="T27" s="113" t="s">
        <v>733</v>
      </c>
      <c r="U27" s="113" t="s">
        <v>827</v>
      </c>
      <c r="V27" s="113" t="s">
        <v>827</v>
      </c>
      <c r="W27" s="113" t="s">
        <v>929</v>
      </c>
      <c r="X27" s="3"/>
      <c r="Y27" s="3">
        <v>1</v>
      </c>
    </row>
    <row r="28" spans="3:25">
      <c r="C28" s="63" t="s">
        <v>15</v>
      </c>
      <c r="D28" s="63" t="s">
        <v>15</v>
      </c>
      <c r="E28" s="110" t="s">
        <v>844</v>
      </c>
      <c r="F28" s="111">
        <v>2672573314</v>
      </c>
      <c r="G28" s="63" t="s">
        <v>798</v>
      </c>
      <c r="H28" s="112">
        <v>25898015</v>
      </c>
      <c r="I28" s="116" t="s">
        <v>729</v>
      </c>
      <c r="J28" s="113" t="s">
        <v>55</v>
      </c>
      <c r="K28" s="109" t="s">
        <v>836</v>
      </c>
      <c r="L28" s="109" t="s">
        <v>890</v>
      </c>
      <c r="M28" s="114" t="s">
        <v>868</v>
      </c>
      <c r="N28" s="113" t="s">
        <v>733</v>
      </c>
      <c r="O28" s="114" t="s">
        <v>293</v>
      </c>
      <c r="P28" s="68" t="s">
        <v>733</v>
      </c>
      <c r="Q28" s="113" t="s">
        <v>293</v>
      </c>
      <c r="R28" s="113" t="s">
        <v>733</v>
      </c>
      <c r="S28" s="113" t="s">
        <v>293</v>
      </c>
      <c r="T28" s="113" t="s">
        <v>733</v>
      </c>
      <c r="U28" s="113" t="s">
        <v>827</v>
      </c>
      <c r="V28" s="113" t="s">
        <v>827</v>
      </c>
      <c r="W28" s="113" t="s">
        <v>929</v>
      </c>
      <c r="X28" s="68"/>
      <c r="Y28" s="3">
        <v>1</v>
      </c>
    </row>
    <row r="29" spans="3:25">
      <c r="C29" s="63" t="s">
        <v>15</v>
      </c>
      <c r="D29" s="63" t="s">
        <v>15</v>
      </c>
      <c r="E29" s="110" t="s">
        <v>844</v>
      </c>
      <c r="F29" s="111">
        <v>2672573314</v>
      </c>
      <c r="G29" s="63" t="s">
        <v>435</v>
      </c>
      <c r="H29" s="112">
        <v>23517606</v>
      </c>
      <c r="I29" s="109" t="s">
        <v>730</v>
      </c>
      <c r="J29" s="113" t="s">
        <v>56</v>
      </c>
      <c r="K29" s="109" t="s">
        <v>836</v>
      </c>
      <c r="L29" s="109" t="s">
        <v>890</v>
      </c>
      <c r="M29" s="114" t="s">
        <v>292</v>
      </c>
      <c r="N29" s="115">
        <v>45748</v>
      </c>
      <c r="O29" s="114" t="s">
        <v>293</v>
      </c>
      <c r="P29" s="68" t="s">
        <v>733</v>
      </c>
      <c r="Q29" s="113" t="s">
        <v>293</v>
      </c>
      <c r="R29" s="113" t="s">
        <v>733</v>
      </c>
      <c r="S29" s="113" t="s">
        <v>293</v>
      </c>
      <c r="T29" s="113" t="s">
        <v>733</v>
      </c>
      <c r="U29" s="113" t="s">
        <v>829</v>
      </c>
      <c r="V29" s="113" t="s">
        <v>827</v>
      </c>
      <c r="W29" s="113" t="s">
        <v>929</v>
      </c>
      <c r="X29" s="3"/>
      <c r="Y29" s="3">
        <v>1</v>
      </c>
    </row>
    <row r="30" spans="3:25">
      <c r="C30" s="63" t="s">
        <v>15</v>
      </c>
      <c r="D30" s="63" t="s">
        <v>15</v>
      </c>
      <c r="E30" s="110" t="s">
        <v>844</v>
      </c>
      <c r="F30" s="111">
        <v>2672573314</v>
      </c>
      <c r="G30" s="63" t="s">
        <v>434</v>
      </c>
      <c r="H30" s="112">
        <v>31685684</v>
      </c>
      <c r="I30" s="116" t="s">
        <v>725</v>
      </c>
      <c r="J30" s="113" t="s">
        <v>56</v>
      </c>
      <c r="K30" s="109" t="s">
        <v>836</v>
      </c>
      <c r="L30" s="109" t="s">
        <v>890</v>
      </c>
      <c r="M30" s="114" t="s">
        <v>292</v>
      </c>
      <c r="N30" s="115">
        <v>45748</v>
      </c>
      <c r="O30" s="114" t="s">
        <v>293</v>
      </c>
      <c r="P30" s="68" t="s">
        <v>733</v>
      </c>
      <c r="Q30" s="113" t="s">
        <v>293</v>
      </c>
      <c r="R30" s="113" t="s">
        <v>733</v>
      </c>
      <c r="S30" s="113" t="s">
        <v>293</v>
      </c>
      <c r="T30" s="113" t="s">
        <v>733</v>
      </c>
      <c r="U30" s="113" t="s">
        <v>827</v>
      </c>
      <c r="V30" s="113" t="s">
        <v>827</v>
      </c>
      <c r="W30" s="113" t="s">
        <v>929</v>
      </c>
      <c r="X30" s="3"/>
      <c r="Y30" s="3">
        <v>1</v>
      </c>
    </row>
    <row r="31" spans="3:25">
      <c r="C31" s="63" t="s">
        <v>15</v>
      </c>
      <c r="D31" s="63" t="s">
        <v>15</v>
      </c>
      <c r="E31" s="110" t="s">
        <v>844</v>
      </c>
      <c r="F31" s="111">
        <v>2672573314</v>
      </c>
      <c r="G31" s="63" t="s">
        <v>518</v>
      </c>
      <c r="H31" s="112">
        <v>26070568</v>
      </c>
      <c r="I31" s="116" t="s">
        <v>725</v>
      </c>
      <c r="J31" s="113" t="s">
        <v>56</v>
      </c>
      <c r="K31" s="109" t="s">
        <v>836</v>
      </c>
      <c r="L31" s="109" t="s">
        <v>890</v>
      </c>
      <c r="M31" s="114" t="s">
        <v>868</v>
      </c>
      <c r="N31" s="113" t="s">
        <v>733</v>
      </c>
      <c r="O31" s="114" t="s">
        <v>293</v>
      </c>
      <c r="P31" s="68" t="s">
        <v>733</v>
      </c>
      <c r="Q31" s="113" t="s">
        <v>293</v>
      </c>
      <c r="R31" s="113" t="s">
        <v>733</v>
      </c>
      <c r="S31" s="113" t="s">
        <v>293</v>
      </c>
      <c r="T31" s="113" t="s">
        <v>733</v>
      </c>
      <c r="U31" s="113" t="s">
        <v>829</v>
      </c>
      <c r="V31" s="113" t="s">
        <v>827</v>
      </c>
      <c r="W31" s="113" t="s">
        <v>929</v>
      </c>
      <c r="X31" s="3"/>
      <c r="Y31" s="3">
        <v>1</v>
      </c>
    </row>
    <row r="32" spans="3:25">
      <c r="C32" s="63" t="s">
        <v>15</v>
      </c>
      <c r="D32" s="63" t="s">
        <v>15</v>
      </c>
      <c r="E32" s="110" t="s">
        <v>844</v>
      </c>
      <c r="F32" s="111">
        <v>2672573314</v>
      </c>
      <c r="G32" s="63" t="s">
        <v>425</v>
      </c>
      <c r="H32" s="112">
        <v>21311779</v>
      </c>
      <c r="I32" s="109" t="s">
        <v>730</v>
      </c>
      <c r="J32" s="113" t="s">
        <v>56</v>
      </c>
      <c r="K32" s="109" t="s">
        <v>836</v>
      </c>
      <c r="L32" s="109" t="s">
        <v>890</v>
      </c>
      <c r="M32" s="114" t="s">
        <v>292</v>
      </c>
      <c r="N32" s="115">
        <v>45748</v>
      </c>
      <c r="O32" s="114" t="s">
        <v>293</v>
      </c>
      <c r="P32" s="68" t="s">
        <v>733</v>
      </c>
      <c r="Q32" s="113" t="s">
        <v>293</v>
      </c>
      <c r="R32" s="113" t="s">
        <v>733</v>
      </c>
      <c r="S32" s="113" t="s">
        <v>293</v>
      </c>
      <c r="T32" s="113" t="s">
        <v>733</v>
      </c>
      <c r="U32" s="113" t="s">
        <v>829</v>
      </c>
      <c r="V32" s="113" t="s">
        <v>827</v>
      </c>
      <c r="W32" s="113" t="s">
        <v>929</v>
      </c>
      <c r="X32" s="3"/>
      <c r="Y32" s="3">
        <v>1</v>
      </c>
    </row>
    <row r="33" spans="3:25">
      <c r="C33" s="63" t="s">
        <v>15</v>
      </c>
      <c r="D33" s="63" t="s">
        <v>15</v>
      </c>
      <c r="E33" s="110" t="s">
        <v>844</v>
      </c>
      <c r="F33" s="111">
        <v>2672573314</v>
      </c>
      <c r="G33" s="63" t="s">
        <v>814</v>
      </c>
      <c r="H33" s="112">
        <v>24392353</v>
      </c>
      <c r="I33" s="116" t="s">
        <v>725</v>
      </c>
      <c r="J33" s="109" t="s">
        <v>727</v>
      </c>
      <c r="K33" s="109" t="s">
        <v>836</v>
      </c>
      <c r="L33" s="109" t="s">
        <v>890</v>
      </c>
      <c r="M33" s="114" t="s">
        <v>868</v>
      </c>
      <c r="N33" s="113" t="s">
        <v>733</v>
      </c>
      <c r="O33" s="114" t="s">
        <v>293</v>
      </c>
      <c r="P33" s="68" t="s">
        <v>733</v>
      </c>
      <c r="Q33" s="113" t="s">
        <v>293</v>
      </c>
      <c r="R33" s="113" t="s">
        <v>733</v>
      </c>
      <c r="S33" s="113" t="s">
        <v>293</v>
      </c>
      <c r="T33" s="113" t="s">
        <v>733</v>
      </c>
      <c r="U33" s="113" t="s">
        <v>829</v>
      </c>
      <c r="V33" s="113" t="s">
        <v>827</v>
      </c>
      <c r="W33" s="113" t="s">
        <v>929</v>
      </c>
      <c r="X33" s="68"/>
      <c r="Y33" s="3">
        <v>1</v>
      </c>
    </row>
    <row r="34" spans="3:25">
      <c r="C34" s="63" t="s">
        <v>15</v>
      </c>
      <c r="D34" s="63" t="s">
        <v>15</v>
      </c>
      <c r="E34" s="110" t="s">
        <v>844</v>
      </c>
      <c r="F34" s="111">
        <v>2672573314</v>
      </c>
      <c r="G34" s="63" t="s">
        <v>514</v>
      </c>
      <c r="H34" s="112">
        <v>17536067</v>
      </c>
      <c r="I34" s="116" t="s">
        <v>725</v>
      </c>
      <c r="J34" s="113" t="s">
        <v>56</v>
      </c>
      <c r="K34" s="109" t="s">
        <v>836</v>
      </c>
      <c r="L34" s="109" t="s">
        <v>890</v>
      </c>
      <c r="M34" s="114" t="s">
        <v>868</v>
      </c>
      <c r="N34" s="113" t="s">
        <v>733</v>
      </c>
      <c r="O34" s="114" t="s">
        <v>293</v>
      </c>
      <c r="P34" s="68" t="s">
        <v>733</v>
      </c>
      <c r="Q34" s="113" t="s">
        <v>293</v>
      </c>
      <c r="R34" s="113" t="s">
        <v>733</v>
      </c>
      <c r="S34" s="113" t="s">
        <v>293</v>
      </c>
      <c r="T34" s="113" t="s">
        <v>733</v>
      </c>
      <c r="U34" s="113" t="s">
        <v>829</v>
      </c>
      <c r="V34" s="113" t="s">
        <v>827</v>
      </c>
      <c r="W34" s="113" t="s">
        <v>929</v>
      </c>
      <c r="X34" s="3"/>
      <c r="Y34" s="3">
        <v>1</v>
      </c>
    </row>
    <row r="35" spans="3:25">
      <c r="C35" s="63" t="s">
        <v>15</v>
      </c>
      <c r="D35" s="63" t="s">
        <v>15</v>
      </c>
      <c r="E35" s="110" t="s">
        <v>844</v>
      </c>
      <c r="F35" s="111">
        <v>2672573314</v>
      </c>
      <c r="G35" s="63" t="s">
        <v>787</v>
      </c>
      <c r="H35" s="53">
        <v>20330026</v>
      </c>
      <c r="I35" s="116" t="s">
        <v>729</v>
      </c>
      <c r="J35" s="113" t="s">
        <v>55</v>
      </c>
      <c r="K35" s="109" t="s">
        <v>836</v>
      </c>
      <c r="L35" s="109" t="s">
        <v>890</v>
      </c>
      <c r="M35" s="114" t="s">
        <v>868</v>
      </c>
      <c r="N35" s="113" t="s">
        <v>733</v>
      </c>
      <c r="O35" s="114" t="s">
        <v>293</v>
      </c>
      <c r="P35" s="68" t="s">
        <v>733</v>
      </c>
      <c r="Q35" s="113" t="s">
        <v>293</v>
      </c>
      <c r="R35" s="113" t="s">
        <v>733</v>
      </c>
      <c r="S35" s="113" t="s">
        <v>293</v>
      </c>
      <c r="T35" s="113" t="s">
        <v>733</v>
      </c>
      <c r="U35" s="113" t="s">
        <v>829</v>
      </c>
      <c r="V35" s="113" t="s">
        <v>827</v>
      </c>
      <c r="W35" s="113" t="s">
        <v>929</v>
      </c>
      <c r="X35" s="68"/>
      <c r="Y35" s="3">
        <v>1</v>
      </c>
    </row>
    <row r="36" spans="3:25">
      <c r="C36" s="63" t="s">
        <v>15</v>
      </c>
      <c r="D36" s="63" t="s">
        <v>15</v>
      </c>
      <c r="E36" s="110" t="s">
        <v>844</v>
      </c>
      <c r="F36" s="111">
        <v>2672573314</v>
      </c>
      <c r="G36" s="63" t="s">
        <v>439</v>
      </c>
      <c r="H36" s="112">
        <v>28159627</v>
      </c>
      <c r="I36" s="116" t="s">
        <v>725</v>
      </c>
      <c r="J36" s="113" t="s">
        <v>56</v>
      </c>
      <c r="K36" s="109" t="s">
        <v>836</v>
      </c>
      <c r="L36" s="109" t="s">
        <v>890</v>
      </c>
      <c r="M36" s="114" t="s">
        <v>292</v>
      </c>
      <c r="N36" s="115">
        <v>45748</v>
      </c>
      <c r="O36" s="114" t="s">
        <v>293</v>
      </c>
      <c r="P36" s="68" t="s">
        <v>733</v>
      </c>
      <c r="Q36" s="113" t="s">
        <v>293</v>
      </c>
      <c r="R36" s="113" t="s">
        <v>733</v>
      </c>
      <c r="S36" s="113" t="s">
        <v>293</v>
      </c>
      <c r="T36" s="113" t="s">
        <v>733</v>
      </c>
      <c r="U36" s="113" t="s">
        <v>829</v>
      </c>
      <c r="V36" s="113" t="s">
        <v>827</v>
      </c>
      <c r="W36" s="113" t="s">
        <v>929</v>
      </c>
      <c r="X36" s="3"/>
      <c r="Y36" s="3">
        <v>1</v>
      </c>
    </row>
    <row r="37" spans="3:25">
      <c r="C37" s="63" t="s">
        <v>15</v>
      </c>
      <c r="D37" s="63" t="s">
        <v>15</v>
      </c>
      <c r="E37" s="110" t="s">
        <v>844</v>
      </c>
      <c r="F37" s="111">
        <v>2672573314</v>
      </c>
      <c r="G37" s="63" t="s">
        <v>686</v>
      </c>
      <c r="H37" s="112">
        <v>27928441</v>
      </c>
      <c r="I37" s="109" t="s">
        <v>730</v>
      </c>
      <c r="J37" s="113" t="s">
        <v>56</v>
      </c>
      <c r="K37" s="109" t="s">
        <v>836</v>
      </c>
      <c r="L37" s="109" t="s">
        <v>890</v>
      </c>
      <c r="M37" s="114" t="s">
        <v>868</v>
      </c>
      <c r="N37" s="113" t="s">
        <v>733</v>
      </c>
      <c r="O37" s="114" t="s">
        <v>293</v>
      </c>
      <c r="P37" s="68" t="s">
        <v>733</v>
      </c>
      <c r="Q37" s="113" t="s">
        <v>293</v>
      </c>
      <c r="R37" s="113" t="s">
        <v>733</v>
      </c>
      <c r="S37" s="113" t="s">
        <v>293</v>
      </c>
      <c r="T37" s="113" t="s">
        <v>733</v>
      </c>
      <c r="U37" s="113" t="s">
        <v>829</v>
      </c>
      <c r="V37" s="113" t="s">
        <v>827</v>
      </c>
      <c r="W37" s="113" t="s">
        <v>929</v>
      </c>
      <c r="X37" s="3"/>
      <c r="Y37" s="3">
        <v>1</v>
      </c>
    </row>
    <row r="38" spans="3:25">
      <c r="C38" s="63" t="s">
        <v>15</v>
      </c>
      <c r="D38" s="63" t="s">
        <v>15</v>
      </c>
      <c r="E38" s="110" t="s">
        <v>844</v>
      </c>
      <c r="F38" s="111">
        <v>2672573314</v>
      </c>
      <c r="G38" s="63" t="s">
        <v>830</v>
      </c>
      <c r="H38" s="112">
        <v>27080096</v>
      </c>
      <c r="I38" s="116" t="s">
        <v>706</v>
      </c>
      <c r="J38" s="113" t="s">
        <v>727</v>
      </c>
      <c r="K38" s="109" t="s">
        <v>836</v>
      </c>
      <c r="L38" s="109" t="s">
        <v>890</v>
      </c>
      <c r="M38" s="114" t="s">
        <v>868</v>
      </c>
      <c r="N38" s="113" t="s">
        <v>733</v>
      </c>
      <c r="O38" s="114" t="s">
        <v>293</v>
      </c>
      <c r="P38" s="68" t="s">
        <v>733</v>
      </c>
      <c r="Q38" s="113" t="s">
        <v>293</v>
      </c>
      <c r="R38" s="113" t="s">
        <v>733</v>
      </c>
      <c r="S38" s="113" t="s">
        <v>293</v>
      </c>
      <c r="T38" s="113" t="s">
        <v>733</v>
      </c>
      <c r="U38" s="113" t="s">
        <v>829</v>
      </c>
      <c r="V38" s="113" t="s">
        <v>827</v>
      </c>
      <c r="W38" s="113" t="s">
        <v>929</v>
      </c>
      <c r="X38" s="3"/>
      <c r="Y38" s="3">
        <v>1</v>
      </c>
    </row>
    <row r="39" spans="3:25">
      <c r="C39" s="63" t="s">
        <v>15</v>
      </c>
      <c r="D39" s="63" t="s">
        <v>15</v>
      </c>
      <c r="E39" s="110" t="s">
        <v>844</v>
      </c>
      <c r="F39" s="111">
        <v>2672573314</v>
      </c>
      <c r="G39" s="63" t="s">
        <v>436</v>
      </c>
      <c r="H39" s="112">
        <v>14828999</v>
      </c>
      <c r="I39" s="109" t="s">
        <v>730</v>
      </c>
      <c r="J39" s="113" t="s">
        <v>56</v>
      </c>
      <c r="K39" s="109" t="s">
        <v>836</v>
      </c>
      <c r="L39" s="109" t="s">
        <v>890</v>
      </c>
      <c r="M39" s="114" t="s">
        <v>292</v>
      </c>
      <c r="N39" s="115">
        <v>45748</v>
      </c>
      <c r="O39" s="114" t="s">
        <v>293</v>
      </c>
      <c r="P39" s="68" t="s">
        <v>733</v>
      </c>
      <c r="Q39" s="113" t="s">
        <v>293</v>
      </c>
      <c r="R39" s="113" t="s">
        <v>733</v>
      </c>
      <c r="S39" s="113" t="s">
        <v>293</v>
      </c>
      <c r="T39" s="113" t="s">
        <v>733</v>
      </c>
      <c r="U39" s="113" t="s">
        <v>829</v>
      </c>
      <c r="V39" s="113" t="s">
        <v>827</v>
      </c>
      <c r="W39" s="113" t="s">
        <v>929</v>
      </c>
      <c r="X39" s="3"/>
      <c r="Y39" s="3">
        <v>1</v>
      </c>
    </row>
    <row r="40" spans="3:25">
      <c r="C40" s="63" t="s">
        <v>15</v>
      </c>
      <c r="D40" s="63" t="s">
        <v>15</v>
      </c>
      <c r="E40" s="110" t="s">
        <v>844</v>
      </c>
      <c r="F40" s="111">
        <v>2672573314</v>
      </c>
      <c r="G40" s="63" t="s">
        <v>512</v>
      </c>
      <c r="H40" s="112">
        <v>27949628</v>
      </c>
      <c r="I40" s="109" t="s">
        <v>730</v>
      </c>
      <c r="J40" s="113" t="s">
        <v>56</v>
      </c>
      <c r="K40" s="109" t="s">
        <v>836</v>
      </c>
      <c r="L40" s="109" t="s">
        <v>890</v>
      </c>
      <c r="M40" s="114" t="s">
        <v>868</v>
      </c>
      <c r="N40" s="113" t="s">
        <v>733</v>
      </c>
      <c r="O40" s="114" t="s">
        <v>293</v>
      </c>
      <c r="P40" s="68" t="s">
        <v>733</v>
      </c>
      <c r="Q40" s="113" t="s">
        <v>293</v>
      </c>
      <c r="R40" s="113" t="s">
        <v>733</v>
      </c>
      <c r="S40" s="113" t="s">
        <v>293</v>
      </c>
      <c r="T40" s="113" t="s">
        <v>733</v>
      </c>
      <c r="U40" s="113" t="s">
        <v>829</v>
      </c>
      <c r="V40" s="113" t="s">
        <v>827</v>
      </c>
      <c r="W40" s="113" t="s">
        <v>929</v>
      </c>
      <c r="X40" s="3"/>
      <c r="Y40" s="3">
        <v>1</v>
      </c>
    </row>
    <row r="41" spans="3:25">
      <c r="C41" s="63" t="s">
        <v>15</v>
      </c>
      <c r="D41" s="63" t="s">
        <v>15</v>
      </c>
      <c r="E41" s="110" t="s">
        <v>844</v>
      </c>
      <c r="F41" s="111">
        <v>2672573314</v>
      </c>
      <c r="G41" s="63" t="s">
        <v>790</v>
      </c>
      <c r="H41" s="53">
        <v>21080443</v>
      </c>
      <c r="I41" s="116" t="s">
        <v>729</v>
      </c>
      <c r="J41" s="113" t="s">
        <v>55</v>
      </c>
      <c r="K41" s="109" t="s">
        <v>836</v>
      </c>
      <c r="L41" s="109" t="s">
        <v>890</v>
      </c>
      <c r="M41" s="114" t="s">
        <v>868</v>
      </c>
      <c r="N41" s="113" t="s">
        <v>733</v>
      </c>
      <c r="O41" s="114" t="s">
        <v>293</v>
      </c>
      <c r="P41" s="68" t="s">
        <v>733</v>
      </c>
      <c r="Q41" s="113" t="s">
        <v>293</v>
      </c>
      <c r="R41" s="113" t="s">
        <v>733</v>
      </c>
      <c r="S41" s="113" t="s">
        <v>293</v>
      </c>
      <c r="T41" s="113" t="s">
        <v>733</v>
      </c>
      <c r="U41" s="113" t="s">
        <v>829</v>
      </c>
      <c r="V41" s="113" t="s">
        <v>827</v>
      </c>
      <c r="W41" s="113" t="s">
        <v>929</v>
      </c>
      <c r="X41" s="68"/>
      <c r="Y41" s="3">
        <v>1</v>
      </c>
    </row>
    <row r="42" spans="3:25">
      <c r="C42" s="63" t="s">
        <v>15</v>
      </c>
      <c r="D42" s="63" t="s">
        <v>15</v>
      </c>
      <c r="E42" s="110" t="s">
        <v>844</v>
      </c>
      <c r="F42" s="111">
        <v>2672573314</v>
      </c>
      <c r="G42" s="63" t="s">
        <v>772</v>
      </c>
      <c r="H42" s="53">
        <v>27299368</v>
      </c>
      <c r="I42" s="116" t="s">
        <v>729</v>
      </c>
      <c r="J42" s="113" t="s">
        <v>755</v>
      </c>
      <c r="K42" s="109" t="s">
        <v>836</v>
      </c>
      <c r="L42" s="109" t="s">
        <v>890</v>
      </c>
      <c r="M42" s="114" t="s">
        <v>868</v>
      </c>
      <c r="N42" s="113" t="s">
        <v>733</v>
      </c>
      <c r="O42" s="114" t="s">
        <v>293</v>
      </c>
      <c r="P42" s="68" t="s">
        <v>733</v>
      </c>
      <c r="Q42" s="113" t="s">
        <v>293</v>
      </c>
      <c r="R42" s="113" t="s">
        <v>733</v>
      </c>
      <c r="S42" s="113" t="s">
        <v>293</v>
      </c>
      <c r="T42" s="113" t="s">
        <v>733</v>
      </c>
      <c r="U42" s="113" t="s">
        <v>829</v>
      </c>
      <c r="V42" s="113" t="s">
        <v>827</v>
      </c>
      <c r="W42" s="113" t="s">
        <v>929</v>
      </c>
      <c r="X42" s="68"/>
      <c r="Y42" s="3">
        <v>1</v>
      </c>
    </row>
    <row r="43" spans="3:25">
      <c r="C43" s="63" t="s">
        <v>15</v>
      </c>
      <c r="D43" s="63" t="s">
        <v>15</v>
      </c>
      <c r="E43" s="110" t="s">
        <v>844</v>
      </c>
      <c r="F43" s="111">
        <v>2672573314</v>
      </c>
      <c r="G43" s="63" t="s">
        <v>831</v>
      </c>
      <c r="H43" s="112">
        <v>25244932</v>
      </c>
      <c r="I43" s="116" t="s">
        <v>410</v>
      </c>
      <c r="J43" s="113" t="s">
        <v>752</v>
      </c>
      <c r="K43" s="109" t="s">
        <v>836</v>
      </c>
      <c r="L43" s="109" t="s">
        <v>890</v>
      </c>
      <c r="M43" s="114" t="s">
        <v>868</v>
      </c>
      <c r="N43" s="113" t="s">
        <v>733</v>
      </c>
      <c r="O43" s="114" t="s">
        <v>293</v>
      </c>
      <c r="P43" s="68" t="s">
        <v>733</v>
      </c>
      <c r="Q43" s="113" t="s">
        <v>293</v>
      </c>
      <c r="R43" s="113" t="s">
        <v>733</v>
      </c>
      <c r="S43" s="113" t="s">
        <v>293</v>
      </c>
      <c r="T43" s="113" t="s">
        <v>733</v>
      </c>
      <c r="U43" s="113" t="s">
        <v>829</v>
      </c>
      <c r="V43" s="113" t="s">
        <v>827</v>
      </c>
      <c r="W43" s="113" t="s">
        <v>929</v>
      </c>
      <c r="X43" s="3"/>
      <c r="Y43" s="3">
        <v>1</v>
      </c>
    </row>
    <row r="44" spans="3:25">
      <c r="C44" s="63" t="s">
        <v>15</v>
      </c>
      <c r="D44" s="63" t="s">
        <v>15</v>
      </c>
      <c r="E44" s="110" t="s">
        <v>844</v>
      </c>
      <c r="F44" s="111">
        <v>2672573314</v>
      </c>
      <c r="G44" s="63" t="s">
        <v>688</v>
      </c>
      <c r="H44" s="112">
        <v>28560105</v>
      </c>
      <c r="I44" s="109" t="s">
        <v>730</v>
      </c>
      <c r="J44" s="113" t="s">
        <v>56</v>
      </c>
      <c r="K44" s="109" t="s">
        <v>836</v>
      </c>
      <c r="L44" s="109" t="s">
        <v>890</v>
      </c>
      <c r="M44" s="114" t="s">
        <v>868</v>
      </c>
      <c r="N44" s="113" t="s">
        <v>733</v>
      </c>
      <c r="O44" s="114" t="s">
        <v>293</v>
      </c>
      <c r="P44" s="68" t="s">
        <v>733</v>
      </c>
      <c r="Q44" s="113" t="s">
        <v>293</v>
      </c>
      <c r="R44" s="113" t="s">
        <v>733</v>
      </c>
      <c r="S44" s="113" t="s">
        <v>293</v>
      </c>
      <c r="T44" s="113" t="s">
        <v>733</v>
      </c>
      <c r="U44" s="113" t="s">
        <v>829</v>
      </c>
      <c r="V44" s="113" t="s">
        <v>827</v>
      </c>
      <c r="W44" s="113" t="s">
        <v>929</v>
      </c>
      <c r="X44" s="3"/>
      <c r="Y44" s="3">
        <v>1</v>
      </c>
    </row>
    <row r="45" spans="3:25">
      <c r="C45" s="63" t="s">
        <v>15</v>
      </c>
      <c r="D45" s="63" t="s">
        <v>15</v>
      </c>
      <c r="E45" s="110" t="s">
        <v>844</v>
      </c>
      <c r="F45" s="111">
        <v>2672573314</v>
      </c>
      <c r="G45" s="63" t="s">
        <v>687</v>
      </c>
      <c r="H45" s="112">
        <v>29807214</v>
      </c>
      <c r="I45" s="109" t="s">
        <v>730</v>
      </c>
      <c r="J45" s="113" t="s">
        <v>56</v>
      </c>
      <c r="K45" s="109" t="s">
        <v>836</v>
      </c>
      <c r="L45" s="109" t="s">
        <v>890</v>
      </c>
      <c r="M45" s="114" t="s">
        <v>868</v>
      </c>
      <c r="N45" s="113" t="s">
        <v>733</v>
      </c>
      <c r="O45" s="114" t="s">
        <v>293</v>
      </c>
      <c r="P45" s="68" t="s">
        <v>733</v>
      </c>
      <c r="Q45" s="113" t="s">
        <v>293</v>
      </c>
      <c r="R45" s="113" t="s">
        <v>733</v>
      </c>
      <c r="S45" s="113" t="s">
        <v>293</v>
      </c>
      <c r="T45" s="113" t="s">
        <v>733</v>
      </c>
      <c r="U45" s="113" t="s">
        <v>829</v>
      </c>
      <c r="V45" s="113" t="s">
        <v>827</v>
      </c>
      <c r="W45" s="113" t="s">
        <v>929</v>
      </c>
      <c r="X45" s="3"/>
      <c r="Y45" s="3">
        <v>1</v>
      </c>
    </row>
    <row r="46" spans="3:25">
      <c r="C46" s="63" t="s">
        <v>15</v>
      </c>
      <c r="D46" s="63" t="s">
        <v>15</v>
      </c>
      <c r="E46" s="110" t="s">
        <v>844</v>
      </c>
      <c r="F46" s="111">
        <v>2672573314</v>
      </c>
      <c r="G46" s="63" t="s">
        <v>420</v>
      </c>
      <c r="H46" s="112">
        <v>24827965</v>
      </c>
      <c r="I46" s="109" t="s">
        <v>730</v>
      </c>
      <c r="J46" s="113" t="s">
        <v>56</v>
      </c>
      <c r="K46" s="109" t="s">
        <v>836</v>
      </c>
      <c r="L46" s="109" t="s">
        <v>890</v>
      </c>
      <c r="M46" s="114" t="s">
        <v>292</v>
      </c>
      <c r="N46" s="115">
        <v>45748</v>
      </c>
      <c r="O46" s="114" t="s">
        <v>293</v>
      </c>
      <c r="P46" s="68" t="s">
        <v>733</v>
      </c>
      <c r="Q46" s="113" t="s">
        <v>293</v>
      </c>
      <c r="R46" s="113" t="s">
        <v>733</v>
      </c>
      <c r="S46" s="113" t="s">
        <v>293</v>
      </c>
      <c r="T46" s="113" t="s">
        <v>733</v>
      </c>
      <c r="U46" s="113" t="s">
        <v>829</v>
      </c>
      <c r="V46" s="113" t="s">
        <v>827</v>
      </c>
      <c r="W46" s="113" t="s">
        <v>929</v>
      </c>
      <c r="X46" s="3"/>
      <c r="Y46" s="3">
        <v>1</v>
      </c>
    </row>
    <row r="47" spans="3:25" s="70" customFormat="1">
      <c r="C47" s="63" t="s">
        <v>15</v>
      </c>
      <c r="D47" s="63" t="s">
        <v>15</v>
      </c>
      <c r="E47" s="110" t="s">
        <v>844</v>
      </c>
      <c r="F47" s="111">
        <v>2672573314</v>
      </c>
      <c r="G47" s="63" t="s">
        <v>832</v>
      </c>
      <c r="H47" s="112">
        <v>19854687</v>
      </c>
      <c r="I47" s="116" t="s">
        <v>706</v>
      </c>
      <c r="J47" s="113" t="s">
        <v>750</v>
      </c>
      <c r="K47" s="109" t="s">
        <v>836</v>
      </c>
      <c r="L47" s="109" t="s">
        <v>890</v>
      </c>
      <c r="M47" s="114" t="s">
        <v>868</v>
      </c>
      <c r="N47" s="113" t="s">
        <v>733</v>
      </c>
      <c r="O47" s="114" t="s">
        <v>293</v>
      </c>
      <c r="P47" s="68" t="s">
        <v>733</v>
      </c>
      <c r="Q47" s="113" t="s">
        <v>293</v>
      </c>
      <c r="R47" s="113" t="s">
        <v>733</v>
      </c>
      <c r="S47" s="113" t="s">
        <v>293</v>
      </c>
      <c r="T47" s="113" t="s">
        <v>733</v>
      </c>
      <c r="U47" s="113" t="s">
        <v>829</v>
      </c>
      <c r="V47" s="113" t="s">
        <v>827</v>
      </c>
      <c r="W47" s="113" t="s">
        <v>929</v>
      </c>
      <c r="X47" s="3"/>
      <c r="Y47" s="3">
        <v>1</v>
      </c>
    </row>
    <row r="48" spans="3:25" s="70" customFormat="1">
      <c r="C48" s="63" t="s">
        <v>15</v>
      </c>
      <c r="D48" s="63" t="s">
        <v>15</v>
      </c>
      <c r="E48" s="110" t="s">
        <v>844</v>
      </c>
      <c r="F48" s="111">
        <v>2672573314</v>
      </c>
      <c r="G48" s="63" t="s">
        <v>510</v>
      </c>
      <c r="H48" s="112">
        <v>28580507</v>
      </c>
      <c r="I48" s="116" t="s">
        <v>725</v>
      </c>
      <c r="J48" s="113" t="s">
        <v>53</v>
      </c>
      <c r="K48" s="109" t="s">
        <v>836</v>
      </c>
      <c r="L48" s="109" t="s">
        <v>890</v>
      </c>
      <c r="M48" s="114" t="s">
        <v>868</v>
      </c>
      <c r="N48" s="113" t="s">
        <v>733</v>
      </c>
      <c r="O48" s="114" t="s">
        <v>293</v>
      </c>
      <c r="P48" s="68" t="s">
        <v>733</v>
      </c>
      <c r="Q48" s="113" t="s">
        <v>293</v>
      </c>
      <c r="R48" s="113" t="s">
        <v>733</v>
      </c>
      <c r="S48" s="113" t="s">
        <v>293</v>
      </c>
      <c r="T48" s="113" t="s">
        <v>733</v>
      </c>
      <c r="U48" s="113" t="s">
        <v>829</v>
      </c>
      <c r="V48" s="113" t="s">
        <v>827</v>
      </c>
      <c r="W48" s="113" t="s">
        <v>929</v>
      </c>
      <c r="X48" s="3"/>
      <c r="Y48" s="3">
        <v>1</v>
      </c>
    </row>
    <row r="49" spans="3:25" s="70" customFormat="1">
      <c r="C49" s="63" t="s">
        <v>15</v>
      </c>
      <c r="D49" s="63" t="s">
        <v>15</v>
      </c>
      <c r="E49" s="110" t="s">
        <v>844</v>
      </c>
      <c r="F49" s="111">
        <v>2672573314</v>
      </c>
      <c r="G49" s="63" t="s">
        <v>516</v>
      </c>
      <c r="H49" s="112">
        <v>20096292</v>
      </c>
      <c r="I49" s="109" t="s">
        <v>730</v>
      </c>
      <c r="J49" s="113" t="s">
        <v>56</v>
      </c>
      <c r="K49" s="109" t="s">
        <v>836</v>
      </c>
      <c r="L49" s="109" t="s">
        <v>890</v>
      </c>
      <c r="M49" s="114" t="s">
        <v>868</v>
      </c>
      <c r="N49" s="113" t="s">
        <v>733</v>
      </c>
      <c r="O49" s="114" t="s">
        <v>293</v>
      </c>
      <c r="P49" s="68" t="s">
        <v>733</v>
      </c>
      <c r="Q49" s="113" t="s">
        <v>293</v>
      </c>
      <c r="R49" s="113" t="s">
        <v>733</v>
      </c>
      <c r="S49" s="113" t="s">
        <v>293</v>
      </c>
      <c r="T49" s="113" t="s">
        <v>733</v>
      </c>
      <c r="U49" s="113" t="s">
        <v>829</v>
      </c>
      <c r="V49" s="113" t="s">
        <v>827</v>
      </c>
      <c r="W49" s="113" t="s">
        <v>929</v>
      </c>
      <c r="X49" s="3"/>
      <c r="Y49" s="3">
        <v>1</v>
      </c>
    </row>
    <row r="50" spans="3:25" s="70" customFormat="1">
      <c r="C50" s="63" t="s">
        <v>15</v>
      </c>
      <c r="D50" s="63" t="s">
        <v>15</v>
      </c>
      <c r="E50" s="110" t="s">
        <v>844</v>
      </c>
      <c r="F50" s="111">
        <v>2672573314</v>
      </c>
      <c r="G50" s="63" t="s">
        <v>433</v>
      </c>
      <c r="H50" s="112">
        <v>28625242</v>
      </c>
      <c r="I50" s="109" t="s">
        <v>730</v>
      </c>
      <c r="J50" s="113" t="s">
        <v>56</v>
      </c>
      <c r="K50" s="109" t="s">
        <v>836</v>
      </c>
      <c r="L50" s="109" t="s">
        <v>890</v>
      </c>
      <c r="M50" s="114" t="s">
        <v>292</v>
      </c>
      <c r="N50" s="115">
        <v>45748</v>
      </c>
      <c r="O50" s="114" t="s">
        <v>293</v>
      </c>
      <c r="P50" s="68" t="s">
        <v>733</v>
      </c>
      <c r="Q50" s="113" t="s">
        <v>293</v>
      </c>
      <c r="R50" s="113" t="s">
        <v>733</v>
      </c>
      <c r="S50" s="113" t="s">
        <v>293</v>
      </c>
      <c r="T50" s="113" t="s">
        <v>733</v>
      </c>
      <c r="U50" s="113" t="s">
        <v>827</v>
      </c>
      <c r="V50" s="113" t="s">
        <v>827</v>
      </c>
      <c r="W50" s="113" t="s">
        <v>929</v>
      </c>
      <c r="X50" s="3"/>
      <c r="Y50" s="3">
        <v>1</v>
      </c>
    </row>
    <row r="51" spans="3:25" s="70" customFormat="1">
      <c r="C51" s="63" t="s">
        <v>15</v>
      </c>
      <c r="D51" s="63" t="s">
        <v>15</v>
      </c>
      <c r="E51" s="110" t="s">
        <v>844</v>
      </c>
      <c r="F51" s="111">
        <v>2672573314</v>
      </c>
      <c r="G51" s="63" t="s">
        <v>833</v>
      </c>
      <c r="H51" s="112">
        <v>27299256</v>
      </c>
      <c r="I51" s="116" t="s">
        <v>410</v>
      </c>
      <c r="J51" s="113" t="s">
        <v>727</v>
      </c>
      <c r="K51" s="109" t="s">
        <v>836</v>
      </c>
      <c r="L51" s="109" t="s">
        <v>890</v>
      </c>
      <c r="M51" s="114" t="s">
        <v>868</v>
      </c>
      <c r="N51" s="113" t="s">
        <v>733</v>
      </c>
      <c r="O51" s="114" t="s">
        <v>293</v>
      </c>
      <c r="P51" s="68" t="s">
        <v>733</v>
      </c>
      <c r="Q51" s="113" t="s">
        <v>293</v>
      </c>
      <c r="R51" s="113" t="s">
        <v>733</v>
      </c>
      <c r="S51" s="113" t="s">
        <v>293</v>
      </c>
      <c r="T51" s="113" t="s">
        <v>733</v>
      </c>
      <c r="U51" s="113" t="s">
        <v>829</v>
      </c>
      <c r="V51" s="113" t="s">
        <v>827</v>
      </c>
      <c r="W51" s="113" t="s">
        <v>929</v>
      </c>
      <c r="X51" s="3"/>
      <c r="Y51" s="3">
        <v>1</v>
      </c>
    </row>
    <row r="52" spans="3:25" s="70" customFormat="1">
      <c r="C52" s="63" t="s">
        <v>15</v>
      </c>
      <c r="D52" s="63" t="s">
        <v>15</v>
      </c>
      <c r="E52" s="110" t="s">
        <v>844</v>
      </c>
      <c r="F52" s="111">
        <v>2672573314</v>
      </c>
      <c r="G52" s="63" t="s">
        <v>428</v>
      </c>
      <c r="H52" s="112">
        <v>17972077</v>
      </c>
      <c r="I52" s="109" t="s">
        <v>730</v>
      </c>
      <c r="J52" s="113" t="s">
        <v>56</v>
      </c>
      <c r="K52" s="109" t="s">
        <v>836</v>
      </c>
      <c r="L52" s="109" t="s">
        <v>890</v>
      </c>
      <c r="M52" s="114" t="s">
        <v>292</v>
      </c>
      <c r="N52" s="115">
        <v>45748</v>
      </c>
      <c r="O52" s="114" t="s">
        <v>293</v>
      </c>
      <c r="P52" s="68" t="s">
        <v>733</v>
      </c>
      <c r="Q52" s="113" t="s">
        <v>293</v>
      </c>
      <c r="R52" s="113" t="s">
        <v>733</v>
      </c>
      <c r="S52" s="113" t="s">
        <v>293</v>
      </c>
      <c r="T52" s="113" t="s">
        <v>733</v>
      </c>
      <c r="U52" s="113" t="s">
        <v>829</v>
      </c>
      <c r="V52" s="113" t="s">
        <v>827</v>
      </c>
      <c r="W52" s="113" t="s">
        <v>929</v>
      </c>
      <c r="X52" s="3"/>
      <c r="Y52" s="3">
        <v>1</v>
      </c>
    </row>
    <row r="53" spans="3:25">
      <c r="C53" s="63" t="s">
        <v>257</v>
      </c>
      <c r="D53" s="63" t="s">
        <v>926</v>
      </c>
      <c r="E53" s="140" t="s">
        <v>844</v>
      </c>
      <c r="F53" s="141">
        <v>2672573314</v>
      </c>
      <c r="G53" s="63" t="s">
        <v>520</v>
      </c>
      <c r="H53" s="53">
        <v>7927906</v>
      </c>
      <c r="I53" s="118" t="s">
        <v>410</v>
      </c>
      <c r="J53" s="114" t="s">
        <v>56</v>
      </c>
      <c r="K53" s="63" t="s">
        <v>838</v>
      </c>
      <c r="L53" s="109" t="s">
        <v>892</v>
      </c>
      <c r="M53" s="114" t="s">
        <v>868</v>
      </c>
      <c r="N53" s="113" t="s">
        <v>733</v>
      </c>
      <c r="O53" s="114" t="s">
        <v>292</v>
      </c>
      <c r="P53" s="68" t="s">
        <v>733</v>
      </c>
      <c r="Q53" s="113" t="s">
        <v>293</v>
      </c>
      <c r="R53" s="113" t="s">
        <v>733</v>
      </c>
      <c r="S53" s="113" t="s">
        <v>293</v>
      </c>
      <c r="T53" s="113" t="s">
        <v>733</v>
      </c>
      <c r="U53" s="113" t="s">
        <v>733</v>
      </c>
      <c r="V53" s="113" t="s">
        <v>827</v>
      </c>
      <c r="W53" s="113" t="s">
        <v>929</v>
      </c>
      <c r="X53" s="3"/>
      <c r="Y53" s="3">
        <v>1</v>
      </c>
    </row>
    <row r="54" spans="3:25">
      <c r="C54" s="63" t="s">
        <v>257</v>
      </c>
      <c r="D54" s="63" t="s">
        <v>926</v>
      </c>
      <c r="E54" s="140" t="s">
        <v>844</v>
      </c>
      <c r="F54" s="141">
        <v>2672573314</v>
      </c>
      <c r="G54" s="63" t="s">
        <v>521</v>
      </c>
      <c r="H54" s="53">
        <v>19405719</v>
      </c>
      <c r="I54" s="63" t="s">
        <v>730</v>
      </c>
      <c r="J54" s="114" t="s">
        <v>56</v>
      </c>
      <c r="K54" s="63" t="s">
        <v>838</v>
      </c>
      <c r="L54" s="109" t="s">
        <v>892</v>
      </c>
      <c r="M54" s="114" t="s">
        <v>868</v>
      </c>
      <c r="N54" s="113" t="s">
        <v>733</v>
      </c>
      <c r="O54" s="114" t="s">
        <v>292</v>
      </c>
      <c r="P54" s="68" t="s">
        <v>733</v>
      </c>
      <c r="Q54" s="113" t="s">
        <v>293</v>
      </c>
      <c r="R54" s="113" t="s">
        <v>733</v>
      </c>
      <c r="S54" s="113" t="s">
        <v>293</v>
      </c>
      <c r="T54" s="113" t="s">
        <v>733</v>
      </c>
      <c r="U54" s="113" t="s">
        <v>733</v>
      </c>
      <c r="V54" s="113" t="s">
        <v>827</v>
      </c>
      <c r="W54" s="113" t="s">
        <v>929</v>
      </c>
      <c r="X54" s="3"/>
      <c r="Y54" s="3">
        <v>1</v>
      </c>
    </row>
    <row r="55" spans="3:25">
      <c r="C55" s="63" t="s">
        <v>257</v>
      </c>
      <c r="D55" s="63" t="s">
        <v>926</v>
      </c>
      <c r="E55" s="140" t="s">
        <v>844</v>
      </c>
      <c r="F55" s="141">
        <v>2672573314</v>
      </c>
      <c r="G55" s="63" t="s">
        <v>522</v>
      </c>
      <c r="H55" s="53">
        <v>18147774</v>
      </c>
      <c r="I55" s="118" t="s">
        <v>725</v>
      </c>
      <c r="J55" s="114" t="s">
        <v>56</v>
      </c>
      <c r="K55" s="63" t="s">
        <v>838</v>
      </c>
      <c r="L55" s="109" t="s">
        <v>892</v>
      </c>
      <c r="M55" s="114" t="s">
        <v>868</v>
      </c>
      <c r="N55" s="113" t="s">
        <v>733</v>
      </c>
      <c r="O55" s="114" t="s">
        <v>292</v>
      </c>
      <c r="P55" s="68" t="s">
        <v>733</v>
      </c>
      <c r="Q55" s="113" t="s">
        <v>293</v>
      </c>
      <c r="R55" s="113" t="s">
        <v>733</v>
      </c>
      <c r="S55" s="113" t="s">
        <v>293</v>
      </c>
      <c r="T55" s="113" t="s">
        <v>733</v>
      </c>
      <c r="U55" s="113" t="s">
        <v>733</v>
      </c>
      <c r="V55" s="113" t="s">
        <v>827</v>
      </c>
      <c r="W55" s="113" t="s">
        <v>929</v>
      </c>
      <c r="X55" s="3"/>
      <c r="Y55" s="3">
        <v>1</v>
      </c>
    </row>
    <row r="56" spans="3:25">
      <c r="C56" s="63" t="s">
        <v>257</v>
      </c>
      <c r="D56" s="63" t="s">
        <v>926</v>
      </c>
      <c r="E56" s="140" t="s">
        <v>844</v>
      </c>
      <c r="F56" s="141">
        <v>2672573314</v>
      </c>
      <c r="G56" s="63" t="s">
        <v>525</v>
      </c>
      <c r="H56" s="53">
        <v>27698895</v>
      </c>
      <c r="I56" s="118" t="s">
        <v>725</v>
      </c>
      <c r="J56" s="114" t="s">
        <v>56</v>
      </c>
      <c r="K56" s="63" t="s">
        <v>838</v>
      </c>
      <c r="L56" s="109" t="s">
        <v>892</v>
      </c>
      <c r="M56" s="114" t="s">
        <v>868</v>
      </c>
      <c r="N56" s="113" t="s">
        <v>733</v>
      </c>
      <c r="O56" s="114" t="s">
        <v>292</v>
      </c>
      <c r="P56" s="68" t="s">
        <v>733</v>
      </c>
      <c r="Q56" s="113" t="s">
        <v>293</v>
      </c>
      <c r="R56" s="113" t="s">
        <v>733</v>
      </c>
      <c r="S56" s="113" t="s">
        <v>293</v>
      </c>
      <c r="T56" s="113" t="s">
        <v>733</v>
      </c>
      <c r="U56" s="113" t="s">
        <v>733</v>
      </c>
      <c r="V56" s="113" t="s">
        <v>827</v>
      </c>
      <c r="W56" s="113" t="s">
        <v>929</v>
      </c>
      <c r="X56" s="3"/>
      <c r="Y56" s="3">
        <v>1</v>
      </c>
    </row>
    <row r="57" spans="3:25">
      <c r="C57" s="63" t="s">
        <v>257</v>
      </c>
      <c r="D57" s="63" t="s">
        <v>257</v>
      </c>
      <c r="E57" s="140" t="s">
        <v>844</v>
      </c>
      <c r="F57" s="141">
        <v>2672573314</v>
      </c>
      <c r="G57" s="142" t="s">
        <v>912</v>
      </c>
      <c r="H57" s="143">
        <v>24518273</v>
      </c>
      <c r="I57" s="144" t="s">
        <v>725</v>
      </c>
      <c r="J57" s="146" t="s">
        <v>56</v>
      </c>
      <c r="K57" s="142" t="s">
        <v>838</v>
      </c>
      <c r="L57" s="142" t="s">
        <v>892</v>
      </c>
      <c r="M57" s="146" t="s">
        <v>868</v>
      </c>
      <c r="N57" s="146" t="s">
        <v>733</v>
      </c>
      <c r="O57" s="114" t="s">
        <v>292</v>
      </c>
      <c r="P57" s="147" t="s">
        <v>733</v>
      </c>
      <c r="Q57" s="146" t="s">
        <v>293</v>
      </c>
      <c r="R57" s="146" t="s">
        <v>733</v>
      </c>
      <c r="S57" s="146" t="s">
        <v>293</v>
      </c>
      <c r="T57" s="146" t="s">
        <v>733</v>
      </c>
      <c r="U57" s="146" t="s">
        <v>733</v>
      </c>
      <c r="V57" s="146" t="s">
        <v>827</v>
      </c>
      <c r="W57" s="113" t="s">
        <v>929</v>
      </c>
      <c r="X57" s="145" t="s">
        <v>914</v>
      </c>
      <c r="Y57" s="3">
        <v>1</v>
      </c>
    </row>
    <row r="58" spans="3:25">
      <c r="C58" s="63" t="s">
        <v>257</v>
      </c>
      <c r="D58" s="63" t="s">
        <v>257</v>
      </c>
      <c r="E58" s="140" t="s">
        <v>844</v>
      </c>
      <c r="F58" s="141">
        <v>2672573314</v>
      </c>
      <c r="G58" s="142" t="s">
        <v>913</v>
      </c>
      <c r="H58" s="143">
        <v>14693504</v>
      </c>
      <c r="I58" s="144" t="s">
        <v>725</v>
      </c>
      <c r="J58" s="146" t="s">
        <v>56</v>
      </c>
      <c r="K58" s="142" t="s">
        <v>838</v>
      </c>
      <c r="L58" s="142" t="s">
        <v>892</v>
      </c>
      <c r="M58" s="146" t="s">
        <v>868</v>
      </c>
      <c r="N58" s="146" t="s">
        <v>733</v>
      </c>
      <c r="O58" s="114" t="s">
        <v>292</v>
      </c>
      <c r="P58" s="147" t="s">
        <v>733</v>
      </c>
      <c r="Q58" s="146" t="s">
        <v>293</v>
      </c>
      <c r="R58" s="146" t="s">
        <v>733</v>
      </c>
      <c r="S58" s="146" t="s">
        <v>293</v>
      </c>
      <c r="T58" s="146" t="s">
        <v>733</v>
      </c>
      <c r="U58" s="146" t="s">
        <v>733</v>
      </c>
      <c r="V58" s="146" t="s">
        <v>827</v>
      </c>
      <c r="W58" s="113" t="s">
        <v>929</v>
      </c>
      <c r="X58" s="145" t="s">
        <v>914</v>
      </c>
      <c r="Y58" s="3">
        <v>1</v>
      </c>
    </row>
    <row r="59" spans="3:25">
      <c r="C59" s="63" t="s">
        <v>69</v>
      </c>
      <c r="D59" s="63" t="s">
        <v>69</v>
      </c>
      <c r="E59" s="110" t="s">
        <v>844</v>
      </c>
      <c r="F59" s="111">
        <v>2672573314</v>
      </c>
      <c r="G59" s="63" t="s">
        <v>523</v>
      </c>
      <c r="H59" s="112">
        <v>29559448</v>
      </c>
      <c r="I59" s="116" t="s">
        <v>725</v>
      </c>
      <c r="J59" s="113" t="s">
        <v>389</v>
      </c>
      <c r="K59" s="63" t="s">
        <v>841</v>
      </c>
      <c r="L59" s="63" t="s">
        <v>886</v>
      </c>
      <c r="M59" s="114" t="s">
        <v>868</v>
      </c>
      <c r="N59" s="113" t="s">
        <v>733</v>
      </c>
      <c r="O59" s="114" t="s">
        <v>292</v>
      </c>
      <c r="P59" s="73">
        <v>46023</v>
      </c>
      <c r="Q59" s="113" t="s">
        <v>293</v>
      </c>
      <c r="R59" s="113" t="s">
        <v>733</v>
      </c>
      <c r="S59" s="113" t="s">
        <v>293</v>
      </c>
      <c r="T59" s="113" t="s">
        <v>733</v>
      </c>
      <c r="U59" s="113" t="s">
        <v>733</v>
      </c>
      <c r="V59" s="113" t="s">
        <v>827</v>
      </c>
      <c r="W59" s="113" t="s">
        <v>929</v>
      </c>
      <c r="X59" s="3"/>
      <c r="Y59" s="3">
        <v>1</v>
      </c>
    </row>
    <row r="60" spans="3:25">
      <c r="C60" s="63" t="s">
        <v>69</v>
      </c>
      <c r="D60" s="63" t="s">
        <v>69</v>
      </c>
      <c r="E60" s="110" t="s">
        <v>844</v>
      </c>
      <c r="F60" s="111">
        <v>2672573314</v>
      </c>
      <c r="G60" s="63" t="s">
        <v>678</v>
      </c>
      <c r="H60" s="112">
        <v>17608365</v>
      </c>
      <c r="I60" s="116" t="s">
        <v>706</v>
      </c>
      <c r="J60" s="113" t="s">
        <v>56</v>
      </c>
      <c r="K60" s="63" t="s">
        <v>841</v>
      </c>
      <c r="L60" s="63" t="s">
        <v>886</v>
      </c>
      <c r="M60" s="114" t="s">
        <v>868</v>
      </c>
      <c r="N60" s="113" t="s">
        <v>733</v>
      </c>
      <c r="O60" s="114" t="s">
        <v>292</v>
      </c>
      <c r="P60" s="73">
        <v>46023</v>
      </c>
      <c r="Q60" s="113" t="s">
        <v>293</v>
      </c>
      <c r="R60" s="113" t="s">
        <v>733</v>
      </c>
      <c r="S60" s="113" t="s">
        <v>293</v>
      </c>
      <c r="T60" s="113" t="s">
        <v>733</v>
      </c>
      <c r="U60" s="113" t="s">
        <v>733</v>
      </c>
      <c r="V60" s="113" t="s">
        <v>827</v>
      </c>
      <c r="W60" s="113" t="s">
        <v>929</v>
      </c>
      <c r="X60" s="3"/>
      <c r="Y60" s="3">
        <v>1</v>
      </c>
    </row>
    <row r="61" spans="3:25">
      <c r="C61" s="63" t="s">
        <v>69</v>
      </c>
      <c r="D61" s="63" t="s">
        <v>69</v>
      </c>
      <c r="E61" s="110" t="s">
        <v>844</v>
      </c>
      <c r="F61" s="111">
        <v>2672573314</v>
      </c>
      <c r="G61" s="63" t="s">
        <v>761</v>
      </c>
      <c r="H61" s="112">
        <v>17768920</v>
      </c>
      <c r="I61" s="116" t="s">
        <v>729</v>
      </c>
      <c r="J61" s="113" t="s">
        <v>55</v>
      </c>
      <c r="K61" s="63" t="s">
        <v>841</v>
      </c>
      <c r="L61" s="63" t="s">
        <v>886</v>
      </c>
      <c r="M61" s="114" t="s">
        <v>868</v>
      </c>
      <c r="N61" s="113" t="s">
        <v>733</v>
      </c>
      <c r="O61" s="114" t="s">
        <v>292</v>
      </c>
      <c r="P61" s="73">
        <v>46023</v>
      </c>
      <c r="Q61" s="113" t="s">
        <v>293</v>
      </c>
      <c r="R61" s="113" t="s">
        <v>733</v>
      </c>
      <c r="S61" s="113" t="s">
        <v>293</v>
      </c>
      <c r="T61" s="113" t="s">
        <v>733</v>
      </c>
      <c r="U61" s="113" t="s">
        <v>733</v>
      </c>
      <c r="V61" s="113" t="s">
        <v>827</v>
      </c>
      <c r="W61" s="113" t="s">
        <v>929</v>
      </c>
      <c r="X61" s="3"/>
      <c r="Y61" s="3">
        <v>1</v>
      </c>
    </row>
    <row r="62" spans="3:25">
      <c r="C62" s="63" t="s">
        <v>69</v>
      </c>
      <c r="D62" s="63" t="s">
        <v>69</v>
      </c>
      <c r="E62" s="110" t="s">
        <v>844</v>
      </c>
      <c r="F62" s="111">
        <v>2672573314</v>
      </c>
      <c r="G62" s="63" t="s">
        <v>441</v>
      </c>
      <c r="H62" s="112">
        <v>16791597</v>
      </c>
      <c r="I62" s="109" t="s">
        <v>730</v>
      </c>
      <c r="J62" s="113" t="s">
        <v>56</v>
      </c>
      <c r="K62" s="63" t="s">
        <v>841</v>
      </c>
      <c r="L62" s="63" t="s">
        <v>886</v>
      </c>
      <c r="M62" s="114" t="s">
        <v>868</v>
      </c>
      <c r="N62" s="113" t="s">
        <v>733</v>
      </c>
      <c r="O62" s="114" t="s">
        <v>292</v>
      </c>
      <c r="P62" s="73">
        <v>46023</v>
      </c>
      <c r="Q62" s="113" t="s">
        <v>293</v>
      </c>
      <c r="R62" s="113" t="s">
        <v>733</v>
      </c>
      <c r="S62" s="113" t="s">
        <v>293</v>
      </c>
      <c r="T62" s="113" t="s">
        <v>733</v>
      </c>
      <c r="U62" s="113" t="s">
        <v>733</v>
      </c>
      <c r="V62" s="113" t="s">
        <v>827</v>
      </c>
      <c r="W62" s="113" t="s">
        <v>929</v>
      </c>
      <c r="X62" s="3"/>
      <c r="Y62" s="3">
        <v>1</v>
      </c>
    </row>
    <row r="63" spans="3:25">
      <c r="C63" s="63" t="s">
        <v>69</v>
      </c>
      <c r="D63" s="63" t="s">
        <v>69</v>
      </c>
      <c r="E63" s="110" t="s">
        <v>844</v>
      </c>
      <c r="F63" s="111">
        <v>2672573314</v>
      </c>
      <c r="G63" s="63" t="s">
        <v>527</v>
      </c>
      <c r="H63" s="112">
        <v>28546747</v>
      </c>
      <c r="I63" s="116" t="s">
        <v>725</v>
      </c>
      <c r="J63" s="113" t="s">
        <v>56</v>
      </c>
      <c r="K63" s="63" t="s">
        <v>841</v>
      </c>
      <c r="L63" s="63" t="s">
        <v>886</v>
      </c>
      <c r="M63" s="114" t="s">
        <v>868</v>
      </c>
      <c r="N63" s="113" t="s">
        <v>733</v>
      </c>
      <c r="O63" s="114" t="s">
        <v>292</v>
      </c>
      <c r="P63" s="73">
        <v>46023</v>
      </c>
      <c r="Q63" s="113" t="s">
        <v>293</v>
      </c>
      <c r="R63" s="113" t="s">
        <v>733</v>
      </c>
      <c r="S63" s="113" t="s">
        <v>293</v>
      </c>
      <c r="T63" s="113" t="s">
        <v>733</v>
      </c>
      <c r="U63" s="113" t="s">
        <v>733</v>
      </c>
      <c r="V63" s="113" t="s">
        <v>827</v>
      </c>
      <c r="W63" s="113" t="s">
        <v>929</v>
      </c>
      <c r="X63" s="3"/>
      <c r="Y63" s="3">
        <v>1</v>
      </c>
    </row>
    <row r="64" spans="3:25">
      <c r="C64" s="63" t="s">
        <v>69</v>
      </c>
      <c r="D64" s="63" t="s">
        <v>69</v>
      </c>
      <c r="E64" s="110" t="s">
        <v>844</v>
      </c>
      <c r="F64" s="111">
        <v>2672573314</v>
      </c>
      <c r="G64" s="63" t="s">
        <v>679</v>
      </c>
      <c r="H64" s="112">
        <v>16488211</v>
      </c>
      <c r="I64" s="109" t="s">
        <v>730</v>
      </c>
      <c r="J64" s="113" t="s">
        <v>56</v>
      </c>
      <c r="K64" s="63" t="s">
        <v>841</v>
      </c>
      <c r="L64" s="63" t="s">
        <v>886</v>
      </c>
      <c r="M64" s="114" t="s">
        <v>868</v>
      </c>
      <c r="N64" s="113" t="s">
        <v>733</v>
      </c>
      <c r="O64" s="114" t="s">
        <v>292</v>
      </c>
      <c r="P64" s="73">
        <v>46023</v>
      </c>
      <c r="Q64" s="113" t="s">
        <v>293</v>
      </c>
      <c r="R64" s="113" t="s">
        <v>733</v>
      </c>
      <c r="S64" s="113" t="s">
        <v>293</v>
      </c>
      <c r="T64" s="113" t="s">
        <v>733</v>
      </c>
      <c r="U64" s="113" t="s">
        <v>733</v>
      </c>
      <c r="V64" s="113" t="s">
        <v>827</v>
      </c>
      <c r="W64" s="113" t="s">
        <v>929</v>
      </c>
      <c r="X64" s="3"/>
      <c r="Y64" s="3">
        <v>1</v>
      </c>
    </row>
    <row r="65" spans="3:25">
      <c r="C65" s="63" t="s">
        <v>69</v>
      </c>
      <c r="D65" s="63" t="s">
        <v>69</v>
      </c>
      <c r="E65" s="110" t="s">
        <v>844</v>
      </c>
      <c r="F65" s="111">
        <v>2672573314</v>
      </c>
      <c r="G65" s="63" t="s">
        <v>526</v>
      </c>
      <c r="H65" s="112">
        <v>12204043</v>
      </c>
      <c r="I65" s="109" t="s">
        <v>730</v>
      </c>
      <c r="J65" s="113" t="s">
        <v>56</v>
      </c>
      <c r="K65" s="63" t="s">
        <v>841</v>
      </c>
      <c r="L65" s="63" t="s">
        <v>886</v>
      </c>
      <c r="M65" s="114" t="s">
        <v>868</v>
      </c>
      <c r="N65" s="113" t="s">
        <v>733</v>
      </c>
      <c r="O65" s="114" t="s">
        <v>292</v>
      </c>
      <c r="P65" s="73">
        <v>46023</v>
      </c>
      <c r="Q65" s="113" t="s">
        <v>293</v>
      </c>
      <c r="R65" s="113" t="s">
        <v>733</v>
      </c>
      <c r="S65" s="113" t="s">
        <v>293</v>
      </c>
      <c r="T65" s="113" t="s">
        <v>733</v>
      </c>
      <c r="U65" s="113" t="s">
        <v>733</v>
      </c>
      <c r="V65" s="113" t="s">
        <v>827</v>
      </c>
      <c r="W65" s="113" t="s">
        <v>929</v>
      </c>
      <c r="X65" s="3"/>
      <c r="Y65" s="3">
        <v>1</v>
      </c>
    </row>
    <row r="66" spans="3:25">
      <c r="C66" s="63" t="s">
        <v>69</v>
      </c>
      <c r="D66" s="63" t="s">
        <v>69</v>
      </c>
      <c r="E66" s="110" t="s">
        <v>844</v>
      </c>
      <c r="F66" s="111">
        <v>2672573314</v>
      </c>
      <c r="G66" s="63" t="s">
        <v>528</v>
      </c>
      <c r="H66" s="112">
        <v>25033526</v>
      </c>
      <c r="I66" s="116" t="s">
        <v>725</v>
      </c>
      <c r="J66" s="113" t="s">
        <v>56</v>
      </c>
      <c r="K66" s="63" t="s">
        <v>841</v>
      </c>
      <c r="L66" s="63" t="s">
        <v>886</v>
      </c>
      <c r="M66" s="114" t="s">
        <v>868</v>
      </c>
      <c r="N66" s="113" t="s">
        <v>733</v>
      </c>
      <c r="O66" s="114" t="s">
        <v>292</v>
      </c>
      <c r="P66" s="73">
        <v>46023</v>
      </c>
      <c r="Q66" s="113" t="s">
        <v>293</v>
      </c>
      <c r="R66" s="113" t="s">
        <v>733</v>
      </c>
      <c r="S66" s="113" t="s">
        <v>293</v>
      </c>
      <c r="T66" s="113" t="s">
        <v>733</v>
      </c>
      <c r="U66" s="113" t="s">
        <v>733</v>
      </c>
      <c r="V66" s="113" t="s">
        <v>827</v>
      </c>
      <c r="W66" s="113" t="s">
        <v>929</v>
      </c>
      <c r="X66" s="3"/>
      <c r="Y66" s="3">
        <v>1</v>
      </c>
    </row>
    <row r="67" spans="3:25">
      <c r="C67" s="63" t="s">
        <v>69</v>
      </c>
      <c r="D67" s="63" t="s">
        <v>69</v>
      </c>
      <c r="E67" s="110" t="s">
        <v>844</v>
      </c>
      <c r="F67" s="111">
        <v>2672573314</v>
      </c>
      <c r="G67" s="63" t="s">
        <v>440</v>
      </c>
      <c r="H67" s="112">
        <v>18558936</v>
      </c>
      <c r="I67" s="109" t="s">
        <v>730</v>
      </c>
      <c r="J67" s="113" t="s">
        <v>389</v>
      </c>
      <c r="K67" s="63" t="s">
        <v>841</v>
      </c>
      <c r="L67" s="63" t="s">
        <v>886</v>
      </c>
      <c r="M67" s="114" t="s">
        <v>868</v>
      </c>
      <c r="N67" s="113" t="s">
        <v>733</v>
      </c>
      <c r="O67" s="114" t="s">
        <v>292</v>
      </c>
      <c r="P67" s="73">
        <v>46023</v>
      </c>
      <c r="Q67" s="113" t="s">
        <v>293</v>
      </c>
      <c r="R67" s="113" t="s">
        <v>733</v>
      </c>
      <c r="S67" s="113" t="s">
        <v>293</v>
      </c>
      <c r="T67" s="113" t="s">
        <v>733</v>
      </c>
      <c r="U67" s="113" t="s">
        <v>733</v>
      </c>
      <c r="V67" s="113" t="s">
        <v>827</v>
      </c>
      <c r="W67" s="113" t="s">
        <v>929</v>
      </c>
      <c r="X67" s="3"/>
      <c r="Y67" s="3">
        <v>1</v>
      </c>
    </row>
    <row r="68" spans="3:25">
      <c r="C68" s="63" t="s">
        <v>69</v>
      </c>
      <c r="D68" s="63" t="s">
        <v>69</v>
      </c>
      <c r="E68" s="110" t="s">
        <v>844</v>
      </c>
      <c r="F68" s="111">
        <v>2672573314</v>
      </c>
      <c r="G68" s="63" t="s">
        <v>530</v>
      </c>
      <c r="H68" s="112">
        <v>16475090</v>
      </c>
      <c r="I68" s="116" t="s">
        <v>725</v>
      </c>
      <c r="J68" s="113" t="s">
        <v>56</v>
      </c>
      <c r="K68" s="63" t="s">
        <v>841</v>
      </c>
      <c r="L68" s="63" t="s">
        <v>886</v>
      </c>
      <c r="M68" s="114" t="s">
        <v>868</v>
      </c>
      <c r="N68" s="113" t="s">
        <v>733</v>
      </c>
      <c r="O68" s="114" t="s">
        <v>292</v>
      </c>
      <c r="P68" s="73">
        <v>46023</v>
      </c>
      <c r="Q68" s="113" t="s">
        <v>293</v>
      </c>
      <c r="R68" s="113" t="s">
        <v>733</v>
      </c>
      <c r="S68" s="113" t="s">
        <v>293</v>
      </c>
      <c r="T68" s="113" t="s">
        <v>733</v>
      </c>
      <c r="U68" s="113" t="s">
        <v>733</v>
      </c>
      <c r="V68" s="113" t="s">
        <v>827</v>
      </c>
      <c r="W68" s="113" t="s">
        <v>929</v>
      </c>
      <c r="X68" s="3"/>
      <c r="Y68" s="3">
        <v>1</v>
      </c>
    </row>
    <row r="69" spans="3:25">
      <c r="C69" s="63" t="s">
        <v>69</v>
      </c>
      <c r="D69" s="63" t="s">
        <v>69</v>
      </c>
      <c r="E69" s="110" t="s">
        <v>844</v>
      </c>
      <c r="F69" s="111">
        <v>2672573314</v>
      </c>
      <c r="G69" s="63" t="s">
        <v>529</v>
      </c>
      <c r="H69" s="112">
        <v>19187119</v>
      </c>
      <c r="I69" s="109" t="s">
        <v>730</v>
      </c>
      <c r="J69" s="113" t="s">
        <v>56</v>
      </c>
      <c r="K69" s="63" t="s">
        <v>841</v>
      </c>
      <c r="L69" s="63" t="s">
        <v>886</v>
      </c>
      <c r="M69" s="114" t="s">
        <v>868</v>
      </c>
      <c r="N69" s="113" t="s">
        <v>733</v>
      </c>
      <c r="O69" s="114" t="s">
        <v>292</v>
      </c>
      <c r="P69" s="73">
        <v>46023</v>
      </c>
      <c r="Q69" s="113" t="s">
        <v>293</v>
      </c>
      <c r="R69" s="113" t="s">
        <v>733</v>
      </c>
      <c r="S69" s="113" t="s">
        <v>293</v>
      </c>
      <c r="T69" s="113" t="s">
        <v>733</v>
      </c>
      <c r="U69" s="113" t="s">
        <v>733</v>
      </c>
      <c r="V69" s="113" t="s">
        <v>827</v>
      </c>
      <c r="W69" s="113" t="s">
        <v>929</v>
      </c>
      <c r="X69" s="3"/>
      <c r="Y69" s="3">
        <v>1</v>
      </c>
    </row>
    <row r="70" spans="3:25">
      <c r="C70" s="63" t="s">
        <v>69</v>
      </c>
      <c r="D70" s="63" t="s">
        <v>69</v>
      </c>
      <c r="E70" s="110" t="s">
        <v>844</v>
      </c>
      <c r="F70" s="111">
        <v>2672573314</v>
      </c>
      <c r="G70" s="63" t="s">
        <v>676</v>
      </c>
      <c r="H70" s="112">
        <v>19069992</v>
      </c>
      <c r="I70" s="116" t="s">
        <v>410</v>
      </c>
      <c r="J70" s="113" t="s">
        <v>56</v>
      </c>
      <c r="K70" s="63" t="s">
        <v>841</v>
      </c>
      <c r="L70" s="63" t="s">
        <v>886</v>
      </c>
      <c r="M70" s="114" t="s">
        <v>868</v>
      </c>
      <c r="N70" s="113" t="s">
        <v>733</v>
      </c>
      <c r="O70" s="114" t="s">
        <v>292</v>
      </c>
      <c r="P70" s="73">
        <v>46023</v>
      </c>
      <c r="Q70" s="113" t="s">
        <v>293</v>
      </c>
      <c r="R70" s="113" t="s">
        <v>733</v>
      </c>
      <c r="S70" s="113" t="s">
        <v>293</v>
      </c>
      <c r="T70" s="113" t="s">
        <v>733</v>
      </c>
      <c r="U70" s="113" t="s">
        <v>733</v>
      </c>
      <c r="V70" s="113" t="s">
        <v>827</v>
      </c>
      <c r="W70" s="113" t="s">
        <v>929</v>
      </c>
      <c r="X70" s="3"/>
      <c r="Y70" s="3">
        <v>1</v>
      </c>
    </row>
    <row r="71" spans="3:25">
      <c r="C71" s="63" t="s">
        <v>69</v>
      </c>
      <c r="D71" s="63" t="s">
        <v>69</v>
      </c>
      <c r="E71" s="110" t="s">
        <v>844</v>
      </c>
      <c r="F71" s="111">
        <v>2672573314</v>
      </c>
      <c r="G71" s="63" t="s">
        <v>524</v>
      </c>
      <c r="H71" s="112">
        <v>25468705</v>
      </c>
      <c r="I71" s="116" t="s">
        <v>725</v>
      </c>
      <c r="J71" s="113" t="s">
        <v>389</v>
      </c>
      <c r="K71" s="63" t="s">
        <v>841</v>
      </c>
      <c r="L71" s="63" t="s">
        <v>886</v>
      </c>
      <c r="M71" s="114" t="s">
        <v>868</v>
      </c>
      <c r="N71" s="113" t="s">
        <v>733</v>
      </c>
      <c r="O71" s="114" t="s">
        <v>292</v>
      </c>
      <c r="P71" s="73">
        <v>46023</v>
      </c>
      <c r="Q71" s="113" t="s">
        <v>293</v>
      </c>
      <c r="R71" s="113" t="s">
        <v>733</v>
      </c>
      <c r="S71" s="113" t="s">
        <v>293</v>
      </c>
      <c r="T71" s="113" t="s">
        <v>733</v>
      </c>
      <c r="U71" s="113" t="s">
        <v>733</v>
      </c>
      <c r="V71" s="113" t="s">
        <v>827</v>
      </c>
      <c r="W71" s="113" t="s">
        <v>929</v>
      </c>
      <c r="X71" s="3"/>
      <c r="Y71" s="3">
        <v>1</v>
      </c>
    </row>
    <row r="72" spans="3:25">
      <c r="C72" s="63" t="s">
        <v>0</v>
      </c>
      <c r="D72" s="63" t="s">
        <v>0</v>
      </c>
      <c r="E72" s="110" t="s">
        <v>844</v>
      </c>
      <c r="F72" s="111">
        <v>2672573314</v>
      </c>
      <c r="G72" s="63" t="s">
        <v>689</v>
      </c>
      <c r="H72" s="112">
        <v>21031246</v>
      </c>
      <c r="I72" s="116" t="s">
        <v>706</v>
      </c>
      <c r="J72" s="113" t="s">
        <v>56</v>
      </c>
      <c r="K72" s="109" t="s">
        <v>900</v>
      </c>
      <c r="L72" s="109" t="s">
        <v>901</v>
      </c>
      <c r="M72" s="114" t="s">
        <v>868</v>
      </c>
      <c r="N72" s="113" t="s">
        <v>733</v>
      </c>
      <c r="O72" s="114" t="s">
        <v>293</v>
      </c>
      <c r="P72" s="68" t="s">
        <v>733</v>
      </c>
      <c r="Q72" s="113" t="s">
        <v>293</v>
      </c>
      <c r="R72" s="113" t="s">
        <v>733</v>
      </c>
      <c r="S72" s="113" t="s">
        <v>293</v>
      </c>
      <c r="T72" s="113" t="s">
        <v>733</v>
      </c>
      <c r="U72" s="113" t="s">
        <v>733</v>
      </c>
      <c r="V72" s="113" t="s">
        <v>827</v>
      </c>
      <c r="W72" s="113" t="s">
        <v>929</v>
      </c>
      <c r="X72" s="3"/>
      <c r="Y72" s="3">
        <v>1</v>
      </c>
    </row>
    <row r="73" spans="3:25">
      <c r="C73" s="63" t="s">
        <v>0</v>
      </c>
      <c r="D73" s="63" t="s">
        <v>0</v>
      </c>
      <c r="E73" s="110" t="s">
        <v>844</v>
      </c>
      <c r="F73" s="111">
        <v>2672573314</v>
      </c>
      <c r="G73" s="63" t="s">
        <v>690</v>
      </c>
      <c r="H73" s="112">
        <v>25303300</v>
      </c>
      <c r="I73" s="116" t="s">
        <v>410</v>
      </c>
      <c r="J73" s="113" t="s">
        <v>56</v>
      </c>
      <c r="K73" s="109" t="s">
        <v>870</v>
      </c>
      <c r="L73" s="109"/>
      <c r="M73" s="114" t="s">
        <v>868</v>
      </c>
      <c r="N73" s="113" t="s">
        <v>733</v>
      </c>
      <c r="O73" s="114" t="s">
        <v>293</v>
      </c>
      <c r="P73" s="68" t="s">
        <v>733</v>
      </c>
      <c r="Q73" s="113" t="s">
        <v>293</v>
      </c>
      <c r="R73" s="113" t="s">
        <v>733</v>
      </c>
      <c r="S73" s="113" t="s">
        <v>293</v>
      </c>
      <c r="T73" s="113" t="s">
        <v>733</v>
      </c>
      <c r="U73" s="113" t="s">
        <v>733</v>
      </c>
      <c r="V73" s="113" t="s">
        <v>827</v>
      </c>
      <c r="W73" s="113" t="s">
        <v>929</v>
      </c>
      <c r="X73" s="3"/>
      <c r="Y73" s="3">
        <v>1</v>
      </c>
    </row>
    <row r="74" spans="3:25">
      <c r="C74" s="63" t="s">
        <v>0</v>
      </c>
      <c r="D74" s="63" t="s">
        <v>0</v>
      </c>
      <c r="E74" s="110" t="s">
        <v>844</v>
      </c>
      <c r="F74" s="111">
        <v>2672573314</v>
      </c>
      <c r="G74" s="63" t="s">
        <v>691</v>
      </c>
      <c r="H74" s="112">
        <v>12524865</v>
      </c>
      <c r="I74" s="116" t="s">
        <v>706</v>
      </c>
      <c r="J74" s="113" t="s">
        <v>56</v>
      </c>
      <c r="K74" s="109" t="s">
        <v>900</v>
      </c>
      <c r="L74" s="109" t="s">
        <v>901</v>
      </c>
      <c r="M74" s="114" t="s">
        <v>868</v>
      </c>
      <c r="N74" s="113" t="s">
        <v>733</v>
      </c>
      <c r="O74" s="114" t="s">
        <v>293</v>
      </c>
      <c r="P74" s="68" t="s">
        <v>733</v>
      </c>
      <c r="Q74" s="113" t="s">
        <v>293</v>
      </c>
      <c r="R74" s="113" t="s">
        <v>733</v>
      </c>
      <c r="S74" s="113" t="s">
        <v>293</v>
      </c>
      <c r="T74" s="113" t="s">
        <v>733</v>
      </c>
      <c r="U74" s="113" t="s">
        <v>733</v>
      </c>
      <c r="V74" s="113" t="s">
        <v>827</v>
      </c>
      <c r="W74" s="113" t="s">
        <v>929</v>
      </c>
      <c r="X74" s="3"/>
      <c r="Y74" s="3">
        <v>1</v>
      </c>
    </row>
    <row r="75" spans="3:25">
      <c r="C75" s="63" t="s">
        <v>0</v>
      </c>
      <c r="D75" s="63" t="s">
        <v>0</v>
      </c>
      <c r="E75" s="110" t="s">
        <v>844</v>
      </c>
      <c r="F75" s="111">
        <v>2672573314</v>
      </c>
      <c r="G75" s="63" t="s">
        <v>692</v>
      </c>
      <c r="H75" s="112">
        <v>31129214</v>
      </c>
      <c r="I75" s="116" t="s">
        <v>729</v>
      </c>
      <c r="J75" s="113" t="s">
        <v>56</v>
      </c>
      <c r="K75" s="109" t="s">
        <v>870</v>
      </c>
      <c r="L75" s="109"/>
      <c r="M75" s="114" t="s">
        <v>868</v>
      </c>
      <c r="N75" s="113" t="s">
        <v>733</v>
      </c>
      <c r="O75" s="114" t="s">
        <v>293</v>
      </c>
      <c r="P75" s="68" t="s">
        <v>733</v>
      </c>
      <c r="Q75" s="113" t="s">
        <v>293</v>
      </c>
      <c r="R75" s="113" t="s">
        <v>733</v>
      </c>
      <c r="S75" s="113" t="s">
        <v>293</v>
      </c>
      <c r="T75" s="113" t="s">
        <v>733</v>
      </c>
      <c r="U75" s="113" t="s">
        <v>733</v>
      </c>
      <c r="V75" s="113" t="s">
        <v>827</v>
      </c>
      <c r="W75" s="113" t="s">
        <v>929</v>
      </c>
      <c r="X75" s="3"/>
      <c r="Y75" s="3">
        <v>1</v>
      </c>
    </row>
    <row r="76" spans="3:25">
      <c r="C76" s="63" t="s">
        <v>0</v>
      </c>
      <c r="D76" s="63" t="s">
        <v>0</v>
      </c>
      <c r="E76" s="110" t="s">
        <v>844</v>
      </c>
      <c r="F76" s="111">
        <v>2672573314</v>
      </c>
      <c r="G76" s="63" t="s">
        <v>693</v>
      </c>
      <c r="H76" s="112">
        <v>25107590</v>
      </c>
      <c r="I76" s="116" t="s">
        <v>729</v>
      </c>
      <c r="J76" s="113" t="s">
        <v>56</v>
      </c>
      <c r="K76" s="109" t="s">
        <v>870</v>
      </c>
      <c r="L76" s="109"/>
      <c r="M76" s="114" t="s">
        <v>868</v>
      </c>
      <c r="N76" s="113" t="s">
        <v>733</v>
      </c>
      <c r="O76" s="114" t="s">
        <v>293</v>
      </c>
      <c r="P76" s="68" t="s">
        <v>733</v>
      </c>
      <c r="Q76" s="113" t="s">
        <v>293</v>
      </c>
      <c r="R76" s="113" t="s">
        <v>733</v>
      </c>
      <c r="S76" s="113" t="s">
        <v>293</v>
      </c>
      <c r="T76" s="113" t="s">
        <v>733</v>
      </c>
      <c r="U76" s="113" t="s">
        <v>733</v>
      </c>
      <c r="V76" s="113" t="s">
        <v>827</v>
      </c>
      <c r="W76" s="113" t="s">
        <v>929</v>
      </c>
      <c r="X76" s="3"/>
      <c r="Y76" s="3">
        <v>1</v>
      </c>
    </row>
    <row r="77" spans="3:25">
      <c r="C77" s="63" t="s">
        <v>0</v>
      </c>
      <c r="D77" s="63" t="s">
        <v>0</v>
      </c>
      <c r="E77" s="110" t="s">
        <v>844</v>
      </c>
      <c r="F77" s="111">
        <v>2672573314</v>
      </c>
      <c r="G77" s="63" t="s">
        <v>696</v>
      </c>
      <c r="H77" s="112">
        <v>23412420</v>
      </c>
      <c r="I77" s="116" t="s">
        <v>729</v>
      </c>
      <c r="J77" s="113" t="s">
        <v>56</v>
      </c>
      <c r="K77" s="109" t="s">
        <v>870</v>
      </c>
      <c r="L77" s="109"/>
      <c r="M77" s="114" t="s">
        <v>868</v>
      </c>
      <c r="N77" s="113" t="s">
        <v>733</v>
      </c>
      <c r="O77" s="114" t="s">
        <v>293</v>
      </c>
      <c r="P77" s="68" t="s">
        <v>733</v>
      </c>
      <c r="Q77" s="113" t="s">
        <v>293</v>
      </c>
      <c r="R77" s="113" t="s">
        <v>733</v>
      </c>
      <c r="S77" s="113" t="s">
        <v>293</v>
      </c>
      <c r="T77" s="113" t="s">
        <v>733</v>
      </c>
      <c r="U77" s="113" t="s">
        <v>733</v>
      </c>
      <c r="V77" s="113" t="s">
        <v>827</v>
      </c>
      <c r="W77" s="113" t="s">
        <v>929</v>
      </c>
      <c r="X77" s="3"/>
      <c r="Y77" s="3">
        <v>1</v>
      </c>
    </row>
    <row r="78" spans="3:25">
      <c r="C78" s="63" t="s">
        <v>0</v>
      </c>
      <c r="D78" s="63" t="s">
        <v>0</v>
      </c>
      <c r="E78" s="110" t="s">
        <v>844</v>
      </c>
      <c r="F78" s="111">
        <v>2672573314</v>
      </c>
      <c r="G78" s="63" t="s">
        <v>697</v>
      </c>
      <c r="H78" s="112">
        <v>30641035</v>
      </c>
      <c r="I78" s="116" t="s">
        <v>729</v>
      </c>
      <c r="J78" s="113" t="s">
        <v>56</v>
      </c>
      <c r="K78" s="109" t="s">
        <v>870</v>
      </c>
      <c r="L78" s="109"/>
      <c r="M78" s="114" t="s">
        <v>868</v>
      </c>
      <c r="N78" s="113" t="s">
        <v>733</v>
      </c>
      <c r="O78" s="114" t="s">
        <v>293</v>
      </c>
      <c r="P78" s="68" t="s">
        <v>733</v>
      </c>
      <c r="Q78" s="113" t="s">
        <v>293</v>
      </c>
      <c r="R78" s="113" t="s">
        <v>733</v>
      </c>
      <c r="S78" s="113" t="s">
        <v>293</v>
      </c>
      <c r="T78" s="113" t="s">
        <v>733</v>
      </c>
      <c r="U78" s="113" t="s">
        <v>733</v>
      </c>
      <c r="V78" s="113" t="s">
        <v>827</v>
      </c>
      <c r="W78" s="113" t="s">
        <v>929</v>
      </c>
      <c r="X78" s="3"/>
      <c r="Y78" s="3">
        <v>1</v>
      </c>
    </row>
    <row r="79" spans="3:25">
      <c r="C79" s="63" t="s">
        <v>0</v>
      </c>
      <c r="D79" s="63" t="s">
        <v>0</v>
      </c>
      <c r="E79" s="110" t="s">
        <v>844</v>
      </c>
      <c r="F79" s="111">
        <v>2672573314</v>
      </c>
      <c r="G79" s="63" t="s">
        <v>698</v>
      </c>
      <c r="H79" s="112">
        <v>30889139</v>
      </c>
      <c r="I79" s="116" t="s">
        <v>729</v>
      </c>
      <c r="J79" s="113" t="s">
        <v>56</v>
      </c>
      <c r="K79" s="109" t="s">
        <v>870</v>
      </c>
      <c r="L79" s="109"/>
      <c r="M79" s="114" t="s">
        <v>868</v>
      </c>
      <c r="N79" s="113" t="s">
        <v>733</v>
      </c>
      <c r="O79" s="114" t="s">
        <v>293</v>
      </c>
      <c r="P79" s="68" t="s">
        <v>733</v>
      </c>
      <c r="Q79" s="113" t="s">
        <v>293</v>
      </c>
      <c r="R79" s="113" t="s">
        <v>733</v>
      </c>
      <c r="S79" s="113" t="s">
        <v>293</v>
      </c>
      <c r="T79" s="113" t="s">
        <v>733</v>
      </c>
      <c r="U79" s="113" t="s">
        <v>733</v>
      </c>
      <c r="V79" s="113" t="s">
        <v>827</v>
      </c>
      <c r="W79" s="113" t="s">
        <v>929</v>
      </c>
      <c r="X79" s="3"/>
      <c r="Y79" s="3">
        <v>1</v>
      </c>
    </row>
    <row r="80" spans="3:25">
      <c r="C80" s="63" t="s">
        <v>0</v>
      </c>
      <c r="D80" s="63" t="s">
        <v>0</v>
      </c>
      <c r="E80" s="110" t="s">
        <v>844</v>
      </c>
      <c r="F80" s="111">
        <v>2672573314</v>
      </c>
      <c r="G80" s="63" t="s">
        <v>442</v>
      </c>
      <c r="H80" s="112">
        <v>19772009</v>
      </c>
      <c r="I80" s="109" t="s">
        <v>730</v>
      </c>
      <c r="J80" s="113" t="s">
        <v>53</v>
      </c>
      <c r="K80" s="109" t="s">
        <v>870</v>
      </c>
      <c r="L80" s="109"/>
      <c r="M80" s="114" t="s">
        <v>292</v>
      </c>
      <c r="N80" s="115">
        <v>45748</v>
      </c>
      <c r="O80" s="114" t="s">
        <v>292</v>
      </c>
      <c r="P80" s="73">
        <v>45962</v>
      </c>
      <c r="Q80" s="113" t="s">
        <v>293</v>
      </c>
      <c r="R80" s="113" t="s">
        <v>733</v>
      </c>
      <c r="S80" s="113" t="s">
        <v>293</v>
      </c>
      <c r="T80" s="113" t="s">
        <v>733</v>
      </c>
      <c r="U80" s="113" t="s">
        <v>733</v>
      </c>
      <c r="V80" s="113" t="s">
        <v>827</v>
      </c>
      <c r="W80" s="113" t="s">
        <v>929</v>
      </c>
      <c r="X80" s="3"/>
      <c r="Y80" s="3">
        <v>1</v>
      </c>
    </row>
    <row r="81" spans="3:25">
      <c r="C81" s="63" t="s">
        <v>0</v>
      </c>
      <c r="D81" s="63" t="s">
        <v>0</v>
      </c>
      <c r="E81" s="110" t="s">
        <v>844</v>
      </c>
      <c r="F81" s="111">
        <v>2672573314</v>
      </c>
      <c r="G81" s="63" t="s">
        <v>443</v>
      </c>
      <c r="H81" s="112">
        <v>20729516</v>
      </c>
      <c r="I81" s="109" t="s">
        <v>730</v>
      </c>
      <c r="J81" s="113" t="s">
        <v>53</v>
      </c>
      <c r="K81" s="109" t="s">
        <v>870</v>
      </c>
      <c r="L81" s="109"/>
      <c r="M81" s="114" t="s">
        <v>292</v>
      </c>
      <c r="N81" s="115">
        <v>45748</v>
      </c>
      <c r="O81" s="114" t="s">
        <v>292</v>
      </c>
      <c r="P81" s="73">
        <v>45962</v>
      </c>
      <c r="Q81" s="113" t="s">
        <v>293</v>
      </c>
      <c r="R81" s="113" t="s">
        <v>733</v>
      </c>
      <c r="S81" s="113" t="s">
        <v>293</v>
      </c>
      <c r="T81" s="113" t="s">
        <v>733</v>
      </c>
      <c r="U81" s="113" t="s">
        <v>733</v>
      </c>
      <c r="V81" s="113" t="s">
        <v>827</v>
      </c>
      <c r="W81" s="113" t="s">
        <v>929</v>
      </c>
      <c r="X81" s="3"/>
      <c r="Y81" s="3">
        <v>1</v>
      </c>
    </row>
    <row r="82" spans="3:25">
      <c r="C82" s="63" t="s">
        <v>0</v>
      </c>
      <c r="D82" s="63" t="s">
        <v>0</v>
      </c>
      <c r="E82" s="110" t="s">
        <v>844</v>
      </c>
      <c r="F82" s="111">
        <v>2672573314</v>
      </c>
      <c r="G82" s="63" t="s">
        <v>444</v>
      </c>
      <c r="H82" s="112">
        <v>16309906</v>
      </c>
      <c r="I82" s="109" t="s">
        <v>730</v>
      </c>
      <c r="J82" s="113" t="s">
        <v>53</v>
      </c>
      <c r="K82" s="109" t="s">
        <v>870</v>
      </c>
      <c r="L82" s="109"/>
      <c r="M82" s="114" t="s">
        <v>292</v>
      </c>
      <c r="N82" s="115">
        <v>45748</v>
      </c>
      <c r="O82" s="114" t="s">
        <v>292</v>
      </c>
      <c r="P82" s="73">
        <v>45962</v>
      </c>
      <c r="Q82" s="113" t="s">
        <v>293</v>
      </c>
      <c r="R82" s="113" t="s">
        <v>733</v>
      </c>
      <c r="S82" s="113" t="s">
        <v>293</v>
      </c>
      <c r="T82" s="113" t="s">
        <v>733</v>
      </c>
      <c r="U82" s="113" t="s">
        <v>733</v>
      </c>
      <c r="V82" s="113" t="s">
        <v>827</v>
      </c>
      <c r="W82" s="113" t="s">
        <v>929</v>
      </c>
      <c r="X82" s="3"/>
      <c r="Y82" s="3">
        <v>1</v>
      </c>
    </row>
    <row r="83" spans="3:25">
      <c r="C83" s="63" t="s">
        <v>0</v>
      </c>
      <c r="D83" s="63" t="s">
        <v>0</v>
      </c>
      <c r="E83" s="110" t="s">
        <v>844</v>
      </c>
      <c r="F83" s="111">
        <v>2672573314</v>
      </c>
      <c r="G83" s="63" t="s">
        <v>445</v>
      </c>
      <c r="H83" s="112">
        <v>26195951</v>
      </c>
      <c r="I83" s="109" t="s">
        <v>730</v>
      </c>
      <c r="J83" s="113" t="s">
        <v>53</v>
      </c>
      <c r="K83" s="109" t="s">
        <v>870</v>
      </c>
      <c r="L83" s="109"/>
      <c r="M83" s="114" t="s">
        <v>292</v>
      </c>
      <c r="N83" s="115">
        <v>45748</v>
      </c>
      <c r="O83" s="114" t="s">
        <v>292</v>
      </c>
      <c r="P83" s="73">
        <v>45962</v>
      </c>
      <c r="Q83" s="113" t="s">
        <v>293</v>
      </c>
      <c r="R83" s="113" t="s">
        <v>733</v>
      </c>
      <c r="S83" s="113" t="s">
        <v>293</v>
      </c>
      <c r="T83" s="113" t="s">
        <v>733</v>
      </c>
      <c r="U83" s="113" t="s">
        <v>733</v>
      </c>
      <c r="V83" s="113" t="s">
        <v>827</v>
      </c>
      <c r="W83" s="113" t="s">
        <v>929</v>
      </c>
      <c r="X83" s="3"/>
      <c r="Y83" s="3">
        <v>1</v>
      </c>
    </row>
    <row r="84" spans="3:25">
      <c r="C84" s="63" t="s">
        <v>0</v>
      </c>
      <c r="D84" s="63" t="s">
        <v>0</v>
      </c>
      <c r="E84" s="110" t="s">
        <v>844</v>
      </c>
      <c r="F84" s="111">
        <v>2672573314</v>
      </c>
      <c r="G84" s="63" t="s">
        <v>447</v>
      </c>
      <c r="H84" s="112">
        <v>28465788</v>
      </c>
      <c r="I84" s="116" t="s">
        <v>725</v>
      </c>
      <c r="J84" s="113" t="s">
        <v>53</v>
      </c>
      <c r="K84" s="109" t="s">
        <v>870</v>
      </c>
      <c r="L84" s="109"/>
      <c r="M84" s="114" t="s">
        <v>292</v>
      </c>
      <c r="N84" s="115">
        <v>45748</v>
      </c>
      <c r="O84" s="114" t="s">
        <v>292</v>
      </c>
      <c r="P84" s="73">
        <v>45962</v>
      </c>
      <c r="Q84" s="113" t="s">
        <v>293</v>
      </c>
      <c r="R84" s="113" t="s">
        <v>733</v>
      </c>
      <c r="S84" s="113" t="s">
        <v>293</v>
      </c>
      <c r="T84" s="113" t="s">
        <v>733</v>
      </c>
      <c r="U84" s="113" t="s">
        <v>733</v>
      </c>
      <c r="V84" s="113" t="s">
        <v>827</v>
      </c>
      <c r="W84" s="113" t="s">
        <v>929</v>
      </c>
      <c r="X84" s="3"/>
      <c r="Y84" s="3">
        <v>1</v>
      </c>
    </row>
    <row r="85" spans="3:25">
      <c r="C85" s="63" t="s">
        <v>0</v>
      </c>
      <c r="D85" s="63" t="s">
        <v>0</v>
      </c>
      <c r="E85" s="110" t="s">
        <v>844</v>
      </c>
      <c r="F85" s="111">
        <v>2672573314</v>
      </c>
      <c r="G85" s="63" t="s">
        <v>448</v>
      </c>
      <c r="H85" s="112">
        <v>31139417</v>
      </c>
      <c r="I85" s="116" t="s">
        <v>725</v>
      </c>
      <c r="J85" s="113" t="s">
        <v>53</v>
      </c>
      <c r="K85" s="109" t="s">
        <v>870</v>
      </c>
      <c r="L85" s="109"/>
      <c r="M85" s="114" t="s">
        <v>292</v>
      </c>
      <c r="N85" s="115">
        <v>45748</v>
      </c>
      <c r="O85" s="114" t="s">
        <v>292</v>
      </c>
      <c r="P85" s="73">
        <v>45962</v>
      </c>
      <c r="Q85" s="113" t="s">
        <v>293</v>
      </c>
      <c r="R85" s="113" t="s">
        <v>733</v>
      </c>
      <c r="S85" s="113" t="s">
        <v>293</v>
      </c>
      <c r="T85" s="113" t="s">
        <v>733</v>
      </c>
      <c r="U85" s="113" t="s">
        <v>733</v>
      </c>
      <c r="V85" s="113" t="s">
        <v>827</v>
      </c>
      <c r="W85" s="113" t="s">
        <v>929</v>
      </c>
      <c r="X85" s="3"/>
      <c r="Y85" s="3">
        <v>1</v>
      </c>
    </row>
    <row r="86" spans="3:25">
      <c r="C86" s="63" t="s">
        <v>0</v>
      </c>
      <c r="D86" s="63" t="s">
        <v>0</v>
      </c>
      <c r="E86" s="110" t="s">
        <v>844</v>
      </c>
      <c r="F86" s="111">
        <v>2672573314</v>
      </c>
      <c r="G86" s="63" t="s">
        <v>449</v>
      </c>
      <c r="H86" s="112">
        <v>18501116</v>
      </c>
      <c r="I86" s="109" t="s">
        <v>730</v>
      </c>
      <c r="J86" s="113" t="s">
        <v>56</v>
      </c>
      <c r="K86" s="109" t="s">
        <v>870</v>
      </c>
      <c r="L86" s="109"/>
      <c r="M86" s="114" t="s">
        <v>292</v>
      </c>
      <c r="N86" s="115">
        <v>45748</v>
      </c>
      <c r="O86" s="114" t="s">
        <v>292</v>
      </c>
      <c r="P86" s="73">
        <v>45962</v>
      </c>
      <c r="Q86" s="113" t="s">
        <v>293</v>
      </c>
      <c r="R86" s="113" t="s">
        <v>733</v>
      </c>
      <c r="S86" s="113" t="s">
        <v>293</v>
      </c>
      <c r="T86" s="113" t="s">
        <v>733</v>
      </c>
      <c r="U86" s="113" t="s">
        <v>733</v>
      </c>
      <c r="V86" s="113" t="s">
        <v>827</v>
      </c>
      <c r="W86" s="113" t="s">
        <v>929</v>
      </c>
      <c r="X86" s="3"/>
      <c r="Y86" s="3">
        <v>1</v>
      </c>
    </row>
    <row r="87" spans="3:25">
      <c r="C87" s="63" t="s">
        <v>0</v>
      </c>
      <c r="D87" s="63" t="s">
        <v>0</v>
      </c>
      <c r="E87" s="110" t="s">
        <v>844</v>
      </c>
      <c r="F87" s="111">
        <v>2672573314</v>
      </c>
      <c r="G87" s="63" t="s">
        <v>450</v>
      </c>
      <c r="H87" s="112">
        <v>12035109</v>
      </c>
      <c r="I87" s="109" t="s">
        <v>730</v>
      </c>
      <c r="J87" s="113" t="s">
        <v>56</v>
      </c>
      <c r="K87" s="109" t="s">
        <v>870</v>
      </c>
      <c r="L87" s="109"/>
      <c r="M87" s="114" t="s">
        <v>292</v>
      </c>
      <c r="N87" s="115">
        <v>45748</v>
      </c>
      <c r="O87" s="114" t="s">
        <v>292</v>
      </c>
      <c r="P87" s="73">
        <v>45962</v>
      </c>
      <c r="Q87" s="113" t="s">
        <v>293</v>
      </c>
      <c r="R87" s="113" t="s">
        <v>733</v>
      </c>
      <c r="S87" s="113" t="s">
        <v>293</v>
      </c>
      <c r="T87" s="113" t="s">
        <v>733</v>
      </c>
      <c r="U87" s="113" t="s">
        <v>733</v>
      </c>
      <c r="V87" s="113" t="s">
        <v>827</v>
      </c>
      <c r="W87" s="113" t="s">
        <v>929</v>
      </c>
      <c r="X87" s="3"/>
      <c r="Y87" s="3">
        <v>1</v>
      </c>
    </row>
    <row r="88" spans="3:25">
      <c r="C88" s="63" t="s">
        <v>0</v>
      </c>
      <c r="D88" s="63" t="s">
        <v>0</v>
      </c>
      <c r="E88" s="110" t="s">
        <v>844</v>
      </c>
      <c r="F88" s="111">
        <v>2672573314</v>
      </c>
      <c r="G88" s="63" t="s">
        <v>451</v>
      </c>
      <c r="H88" s="112">
        <v>20622416</v>
      </c>
      <c r="I88" s="109" t="s">
        <v>730</v>
      </c>
      <c r="J88" s="113" t="s">
        <v>56</v>
      </c>
      <c r="K88" s="109" t="s">
        <v>870</v>
      </c>
      <c r="L88" s="109"/>
      <c r="M88" s="114" t="s">
        <v>292</v>
      </c>
      <c r="N88" s="115">
        <v>45748</v>
      </c>
      <c r="O88" s="114" t="s">
        <v>292</v>
      </c>
      <c r="P88" s="73">
        <v>45962</v>
      </c>
      <c r="Q88" s="113" t="s">
        <v>293</v>
      </c>
      <c r="R88" s="113" t="s">
        <v>733</v>
      </c>
      <c r="S88" s="113" t="s">
        <v>293</v>
      </c>
      <c r="T88" s="113" t="s">
        <v>733</v>
      </c>
      <c r="U88" s="113" t="s">
        <v>733</v>
      </c>
      <c r="V88" s="113" t="s">
        <v>827</v>
      </c>
      <c r="W88" s="113" t="s">
        <v>929</v>
      </c>
      <c r="X88" s="3"/>
      <c r="Y88" s="3">
        <v>1</v>
      </c>
    </row>
    <row r="89" spans="3:25">
      <c r="C89" s="63" t="s">
        <v>0</v>
      </c>
      <c r="D89" s="63" t="s">
        <v>0</v>
      </c>
      <c r="E89" s="110" t="s">
        <v>844</v>
      </c>
      <c r="F89" s="111">
        <v>2672573314</v>
      </c>
      <c r="G89" s="63" t="s">
        <v>452</v>
      </c>
      <c r="H89" s="112">
        <v>19320480</v>
      </c>
      <c r="I89" s="109" t="s">
        <v>730</v>
      </c>
      <c r="J89" s="113" t="s">
        <v>56</v>
      </c>
      <c r="K89" s="109" t="s">
        <v>870</v>
      </c>
      <c r="L89" s="109"/>
      <c r="M89" s="114" t="s">
        <v>292</v>
      </c>
      <c r="N89" s="115">
        <v>45748</v>
      </c>
      <c r="O89" s="114" t="s">
        <v>292</v>
      </c>
      <c r="P89" s="73">
        <v>45962</v>
      </c>
      <c r="Q89" s="113" t="s">
        <v>293</v>
      </c>
      <c r="R89" s="113" t="s">
        <v>733</v>
      </c>
      <c r="S89" s="113" t="s">
        <v>293</v>
      </c>
      <c r="T89" s="113" t="s">
        <v>733</v>
      </c>
      <c r="U89" s="113" t="s">
        <v>733</v>
      </c>
      <c r="V89" s="113" t="s">
        <v>827</v>
      </c>
      <c r="W89" s="113" t="s">
        <v>929</v>
      </c>
      <c r="X89" s="3"/>
      <c r="Y89" s="3">
        <v>1</v>
      </c>
    </row>
    <row r="90" spans="3:25">
      <c r="C90" s="63" t="s">
        <v>0</v>
      </c>
      <c r="D90" s="63" t="s">
        <v>0</v>
      </c>
      <c r="E90" s="110" t="s">
        <v>844</v>
      </c>
      <c r="F90" s="111">
        <v>2672573314</v>
      </c>
      <c r="G90" s="63" t="s">
        <v>453</v>
      </c>
      <c r="H90" s="112">
        <v>26233269</v>
      </c>
      <c r="I90" s="109" t="s">
        <v>730</v>
      </c>
      <c r="J90" s="113" t="s">
        <v>56</v>
      </c>
      <c r="K90" s="109" t="s">
        <v>870</v>
      </c>
      <c r="L90" s="109"/>
      <c r="M90" s="114" t="s">
        <v>292</v>
      </c>
      <c r="N90" s="115">
        <v>45748</v>
      </c>
      <c r="O90" s="114" t="s">
        <v>292</v>
      </c>
      <c r="P90" s="73">
        <v>45962</v>
      </c>
      <c r="Q90" s="113" t="s">
        <v>293</v>
      </c>
      <c r="R90" s="113" t="s">
        <v>733</v>
      </c>
      <c r="S90" s="113" t="s">
        <v>293</v>
      </c>
      <c r="T90" s="113" t="s">
        <v>733</v>
      </c>
      <c r="U90" s="113" t="s">
        <v>733</v>
      </c>
      <c r="V90" s="113" t="s">
        <v>827</v>
      </c>
      <c r="W90" s="113" t="s">
        <v>929</v>
      </c>
      <c r="X90" s="3"/>
      <c r="Y90" s="3">
        <v>1</v>
      </c>
    </row>
    <row r="91" spans="3:25">
      <c r="C91" s="63" t="s">
        <v>0</v>
      </c>
      <c r="D91" s="63" t="s">
        <v>0</v>
      </c>
      <c r="E91" s="110" t="s">
        <v>844</v>
      </c>
      <c r="F91" s="111">
        <v>2672573314</v>
      </c>
      <c r="G91" s="63" t="s">
        <v>454</v>
      </c>
      <c r="H91" s="112">
        <v>19188704</v>
      </c>
      <c r="I91" s="109" t="s">
        <v>730</v>
      </c>
      <c r="J91" s="113" t="s">
        <v>56</v>
      </c>
      <c r="K91" s="109" t="s">
        <v>870</v>
      </c>
      <c r="L91" s="109"/>
      <c r="M91" s="114" t="s">
        <v>292</v>
      </c>
      <c r="N91" s="115">
        <v>45748</v>
      </c>
      <c r="O91" s="114" t="s">
        <v>292</v>
      </c>
      <c r="P91" s="73">
        <v>45962</v>
      </c>
      <c r="Q91" s="113" t="s">
        <v>293</v>
      </c>
      <c r="R91" s="113" t="s">
        <v>733</v>
      </c>
      <c r="S91" s="113" t="s">
        <v>293</v>
      </c>
      <c r="T91" s="113" t="s">
        <v>733</v>
      </c>
      <c r="U91" s="113" t="s">
        <v>733</v>
      </c>
      <c r="V91" s="113" t="s">
        <v>827</v>
      </c>
      <c r="W91" s="113" t="s">
        <v>929</v>
      </c>
      <c r="X91" s="3"/>
      <c r="Y91" s="3">
        <v>1</v>
      </c>
    </row>
    <row r="92" spans="3:25">
      <c r="C92" s="63" t="s">
        <v>0</v>
      </c>
      <c r="D92" s="63" t="s">
        <v>0</v>
      </c>
      <c r="E92" s="110" t="s">
        <v>844</v>
      </c>
      <c r="F92" s="111">
        <v>2672573314</v>
      </c>
      <c r="G92" s="63" t="s">
        <v>455</v>
      </c>
      <c r="H92" s="112">
        <v>13271486</v>
      </c>
      <c r="I92" s="109" t="s">
        <v>730</v>
      </c>
      <c r="J92" s="113" t="s">
        <v>56</v>
      </c>
      <c r="K92" s="109" t="s">
        <v>870</v>
      </c>
      <c r="L92" s="109"/>
      <c r="M92" s="114" t="s">
        <v>292</v>
      </c>
      <c r="N92" s="115">
        <v>45748</v>
      </c>
      <c r="O92" s="114" t="s">
        <v>292</v>
      </c>
      <c r="P92" s="73">
        <v>45962</v>
      </c>
      <c r="Q92" s="113" t="s">
        <v>293</v>
      </c>
      <c r="R92" s="113" t="s">
        <v>733</v>
      </c>
      <c r="S92" s="113" t="s">
        <v>293</v>
      </c>
      <c r="T92" s="113" t="s">
        <v>733</v>
      </c>
      <c r="U92" s="113" t="s">
        <v>733</v>
      </c>
      <c r="V92" s="113" t="s">
        <v>827</v>
      </c>
      <c r="W92" s="113" t="s">
        <v>929</v>
      </c>
      <c r="X92" s="3"/>
      <c r="Y92" s="3">
        <v>1</v>
      </c>
    </row>
    <row r="93" spans="3:25">
      <c r="C93" s="63" t="s">
        <v>0</v>
      </c>
      <c r="D93" s="63" t="s">
        <v>0</v>
      </c>
      <c r="E93" s="110" t="s">
        <v>844</v>
      </c>
      <c r="F93" s="111">
        <v>2672573314</v>
      </c>
      <c r="G93" s="63" t="s">
        <v>457</v>
      </c>
      <c r="H93" s="112">
        <v>19843415</v>
      </c>
      <c r="I93" s="116" t="s">
        <v>725</v>
      </c>
      <c r="J93" s="113" t="s">
        <v>56</v>
      </c>
      <c r="K93" s="109" t="s">
        <v>870</v>
      </c>
      <c r="L93" s="109"/>
      <c r="M93" s="114" t="s">
        <v>292</v>
      </c>
      <c r="N93" s="115">
        <v>45748</v>
      </c>
      <c r="O93" s="114" t="s">
        <v>292</v>
      </c>
      <c r="P93" s="73">
        <v>45962</v>
      </c>
      <c r="Q93" s="113" t="s">
        <v>293</v>
      </c>
      <c r="R93" s="113" t="s">
        <v>733</v>
      </c>
      <c r="S93" s="113" t="s">
        <v>293</v>
      </c>
      <c r="T93" s="113" t="s">
        <v>733</v>
      </c>
      <c r="U93" s="113" t="s">
        <v>733</v>
      </c>
      <c r="V93" s="113" t="s">
        <v>827</v>
      </c>
      <c r="W93" s="113" t="s">
        <v>929</v>
      </c>
      <c r="X93" s="3"/>
      <c r="Y93" s="3">
        <v>1</v>
      </c>
    </row>
    <row r="94" spans="3:25">
      <c r="C94" s="63" t="s">
        <v>0</v>
      </c>
      <c r="D94" s="63" t="s">
        <v>0</v>
      </c>
      <c r="E94" s="110" t="s">
        <v>844</v>
      </c>
      <c r="F94" s="111">
        <v>2672573314</v>
      </c>
      <c r="G94" s="63" t="s">
        <v>458</v>
      </c>
      <c r="H94" s="112">
        <v>19130427</v>
      </c>
      <c r="I94" s="116" t="s">
        <v>725</v>
      </c>
      <c r="J94" s="113" t="s">
        <v>56</v>
      </c>
      <c r="K94" s="109" t="s">
        <v>870</v>
      </c>
      <c r="L94" s="109"/>
      <c r="M94" s="114" t="s">
        <v>292</v>
      </c>
      <c r="N94" s="115">
        <v>45748</v>
      </c>
      <c r="O94" s="114" t="s">
        <v>292</v>
      </c>
      <c r="P94" s="73">
        <v>45962</v>
      </c>
      <c r="Q94" s="113" t="s">
        <v>293</v>
      </c>
      <c r="R94" s="113" t="s">
        <v>733</v>
      </c>
      <c r="S94" s="113" t="s">
        <v>293</v>
      </c>
      <c r="T94" s="113" t="s">
        <v>733</v>
      </c>
      <c r="U94" s="113" t="s">
        <v>733</v>
      </c>
      <c r="V94" s="113" t="s">
        <v>827</v>
      </c>
      <c r="W94" s="113" t="s">
        <v>929</v>
      </c>
      <c r="X94" s="3"/>
      <c r="Y94" s="3">
        <v>1</v>
      </c>
    </row>
    <row r="95" spans="3:25">
      <c r="C95" s="63" t="s">
        <v>0</v>
      </c>
      <c r="D95" s="63" t="s">
        <v>0</v>
      </c>
      <c r="E95" s="110" t="s">
        <v>844</v>
      </c>
      <c r="F95" s="111">
        <v>2672573314</v>
      </c>
      <c r="G95" s="63" t="s">
        <v>459</v>
      </c>
      <c r="H95" s="112">
        <v>18999575</v>
      </c>
      <c r="I95" s="116" t="s">
        <v>725</v>
      </c>
      <c r="J95" s="113" t="s">
        <v>56</v>
      </c>
      <c r="K95" s="109" t="s">
        <v>870</v>
      </c>
      <c r="L95" s="109"/>
      <c r="M95" s="114" t="s">
        <v>292</v>
      </c>
      <c r="N95" s="115">
        <v>45748</v>
      </c>
      <c r="O95" s="114" t="s">
        <v>292</v>
      </c>
      <c r="P95" s="73">
        <v>45962</v>
      </c>
      <c r="Q95" s="113" t="s">
        <v>293</v>
      </c>
      <c r="R95" s="113" t="s">
        <v>733</v>
      </c>
      <c r="S95" s="113" t="s">
        <v>293</v>
      </c>
      <c r="T95" s="113" t="s">
        <v>733</v>
      </c>
      <c r="U95" s="113" t="s">
        <v>733</v>
      </c>
      <c r="V95" s="113" t="s">
        <v>827</v>
      </c>
      <c r="W95" s="113" t="s">
        <v>929</v>
      </c>
      <c r="X95" s="3"/>
      <c r="Y95" s="3">
        <v>1</v>
      </c>
    </row>
    <row r="96" spans="3:25">
      <c r="C96" s="63" t="s">
        <v>0</v>
      </c>
      <c r="D96" s="63" t="s">
        <v>0</v>
      </c>
      <c r="E96" s="110" t="s">
        <v>844</v>
      </c>
      <c r="F96" s="111">
        <v>2672573314</v>
      </c>
      <c r="G96" s="63" t="s">
        <v>460</v>
      </c>
      <c r="H96" s="112">
        <v>15897980</v>
      </c>
      <c r="I96" s="109" t="s">
        <v>730</v>
      </c>
      <c r="J96" s="113" t="s">
        <v>56</v>
      </c>
      <c r="K96" s="109" t="s">
        <v>870</v>
      </c>
      <c r="L96" s="109"/>
      <c r="M96" s="114" t="s">
        <v>292</v>
      </c>
      <c r="N96" s="115">
        <v>45748</v>
      </c>
      <c r="O96" s="114" t="s">
        <v>292</v>
      </c>
      <c r="P96" s="73">
        <v>45962</v>
      </c>
      <c r="Q96" s="113" t="s">
        <v>293</v>
      </c>
      <c r="R96" s="113" t="s">
        <v>733</v>
      </c>
      <c r="S96" s="113" t="s">
        <v>293</v>
      </c>
      <c r="T96" s="113" t="s">
        <v>733</v>
      </c>
      <c r="U96" s="113" t="s">
        <v>733</v>
      </c>
      <c r="V96" s="113" t="s">
        <v>827</v>
      </c>
      <c r="W96" s="113" t="s">
        <v>929</v>
      </c>
      <c r="X96" s="3"/>
      <c r="Y96" s="3">
        <v>1</v>
      </c>
    </row>
    <row r="97" spans="3:25">
      <c r="C97" s="63" t="s">
        <v>0</v>
      </c>
      <c r="D97" s="63" t="s">
        <v>0</v>
      </c>
      <c r="E97" s="110" t="s">
        <v>844</v>
      </c>
      <c r="F97" s="111">
        <v>2672573314</v>
      </c>
      <c r="G97" s="63" t="s">
        <v>461</v>
      </c>
      <c r="H97" s="112">
        <v>26019988</v>
      </c>
      <c r="I97" s="116" t="s">
        <v>725</v>
      </c>
      <c r="J97" s="113" t="s">
        <v>56</v>
      </c>
      <c r="K97" s="109" t="s">
        <v>870</v>
      </c>
      <c r="L97" s="109"/>
      <c r="M97" s="114" t="s">
        <v>292</v>
      </c>
      <c r="N97" s="115">
        <v>45748</v>
      </c>
      <c r="O97" s="114" t="s">
        <v>292</v>
      </c>
      <c r="P97" s="73">
        <v>45962</v>
      </c>
      <c r="Q97" s="113" t="s">
        <v>293</v>
      </c>
      <c r="R97" s="113" t="s">
        <v>733</v>
      </c>
      <c r="S97" s="113" t="s">
        <v>293</v>
      </c>
      <c r="T97" s="113" t="s">
        <v>733</v>
      </c>
      <c r="U97" s="113" t="s">
        <v>733</v>
      </c>
      <c r="V97" s="113" t="s">
        <v>827</v>
      </c>
      <c r="W97" s="113" t="s">
        <v>929</v>
      </c>
      <c r="X97" s="3"/>
      <c r="Y97" s="3">
        <v>1</v>
      </c>
    </row>
    <row r="98" spans="3:25">
      <c r="C98" s="63" t="s">
        <v>0</v>
      </c>
      <c r="D98" s="63" t="s">
        <v>0</v>
      </c>
      <c r="E98" s="110" t="s">
        <v>844</v>
      </c>
      <c r="F98" s="111">
        <v>2672573314</v>
      </c>
      <c r="G98" s="63" t="s">
        <v>462</v>
      </c>
      <c r="H98" s="112">
        <v>30639871</v>
      </c>
      <c r="I98" s="116" t="s">
        <v>725</v>
      </c>
      <c r="J98" s="113" t="s">
        <v>56</v>
      </c>
      <c r="K98" s="109" t="s">
        <v>870</v>
      </c>
      <c r="L98" s="109"/>
      <c r="M98" s="114" t="s">
        <v>292</v>
      </c>
      <c r="N98" s="115">
        <v>45748</v>
      </c>
      <c r="O98" s="114" t="s">
        <v>292</v>
      </c>
      <c r="P98" s="73">
        <v>45962</v>
      </c>
      <c r="Q98" s="113" t="s">
        <v>293</v>
      </c>
      <c r="R98" s="113" t="s">
        <v>733</v>
      </c>
      <c r="S98" s="113" t="s">
        <v>293</v>
      </c>
      <c r="T98" s="113" t="s">
        <v>733</v>
      </c>
      <c r="U98" s="113" t="s">
        <v>733</v>
      </c>
      <c r="V98" s="113" t="s">
        <v>827</v>
      </c>
      <c r="W98" s="113" t="s">
        <v>929</v>
      </c>
      <c r="X98" s="3"/>
      <c r="Y98" s="3">
        <v>1</v>
      </c>
    </row>
    <row r="99" spans="3:25">
      <c r="C99" s="63" t="s">
        <v>0</v>
      </c>
      <c r="D99" s="63" t="s">
        <v>0</v>
      </c>
      <c r="E99" s="110" t="s">
        <v>844</v>
      </c>
      <c r="F99" s="111">
        <v>2672573314</v>
      </c>
      <c r="G99" s="63" t="s">
        <v>463</v>
      </c>
      <c r="H99" s="112">
        <v>21029364</v>
      </c>
      <c r="I99" s="116" t="s">
        <v>725</v>
      </c>
      <c r="J99" s="113" t="s">
        <v>56</v>
      </c>
      <c r="K99" s="109" t="s">
        <v>870</v>
      </c>
      <c r="L99" s="109"/>
      <c r="M99" s="114" t="s">
        <v>292</v>
      </c>
      <c r="N99" s="115">
        <v>45748</v>
      </c>
      <c r="O99" s="114" t="s">
        <v>292</v>
      </c>
      <c r="P99" s="73">
        <v>45962</v>
      </c>
      <c r="Q99" s="113" t="s">
        <v>293</v>
      </c>
      <c r="R99" s="113" t="s">
        <v>733</v>
      </c>
      <c r="S99" s="113" t="s">
        <v>293</v>
      </c>
      <c r="T99" s="113" t="s">
        <v>733</v>
      </c>
      <c r="U99" s="113" t="s">
        <v>733</v>
      </c>
      <c r="V99" s="113" t="s">
        <v>827</v>
      </c>
      <c r="W99" s="113" t="s">
        <v>929</v>
      </c>
      <c r="X99" s="3"/>
      <c r="Y99" s="3">
        <v>1</v>
      </c>
    </row>
    <row r="100" spans="3:25">
      <c r="C100" s="63" t="s">
        <v>0</v>
      </c>
      <c r="D100" s="63" t="s">
        <v>0</v>
      </c>
      <c r="E100" s="110" t="s">
        <v>844</v>
      </c>
      <c r="F100" s="111">
        <v>2672573314</v>
      </c>
      <c r="G100" s="63" t="s">
        <v>464</v>
      </c>
      <c r="H100" s="112">
        <v>24443641</v>
      </c>
      <c r="I100" s="116" t="s">
        <v>725</v>
      </c>
      <c r="J100" s="113" t="s">
        <v>56</v>
      </c>
      <c r="K100" s="109" t="s">
        <v>870</v>
      </c>
      <c r="L100" s="109"/>
      <c r="M100" s="114" t="s">
        <v>292</v>
      </c>
      <c r="N100" s="115">
        <v>45748</v>
      </c>
      <c r="O100" s="114" t="s">
        <v>292</v>
      </c>
      <c r="P100" s="73">
        <v>45962</v>
      </c>
      <c r="Q100" s="113" t="s">
        <v>293</v>
      </c>
      <c r="R100" s="113" t="s">
        <v>733</v>
      </c>
      <c r="S100" s="113" t="s">
        <v>293</v>
      </c>
      <c r="T100" s="113" t="s">
        <v>733</v>
      </c>
      <c r="U100" s="113" t="s">
        <v>733</v>
      </c>
      <c r="V100" s="113" t="s">
        <v>827</v>
      </c>
      <c r="W100" s="113" t="s">
        <v>929</v>
      </c>
      <c r="X100" s="3"/>
      <c r="Y100" s="3">
        <v>1</v>
      </c>
    </row>
    <row r="101" spans="3:25">
      <c r="C101" s="63" t="s">
        <v>0</v>
      </c>
      <c r="D101" s="63" t="s">
        <v>0</v>
      </c>
      <c r="E101" s="110" t="s">
        <v>844</v>
      </c>
      <c r="F101" s="111">
        <v>2672573314</v>
      </c>
      <c r="G101" s="63" t="s">
        <v>465</v>
      </c>
      <c r="H101" s="112">
        <v>18748734</v>
      </c>
      <c r="I101" s="116" t="s">
        <v>725</v>
      </c>
      <c r="J101" s="113" t="s">
        <v>56</v>
      </c>
      <c r="K101" s="109" t="s">
        <v>870</v>
      </c>
      <c r="L101" s="109"/>
      <c r="M101" s="114" t="s">
        <v>292</v>
      </c>
      <c r="N101" s="115">
        <v>45748</v>
      </c>
      <c r="O101" s="114" t="s">
        <v>292</v>
      </c>
      <c r="P101" s="73">
        <v>45962</v>
      </c>
      <c r="Q101" s="113" t="s">
        <v>293</v>
      </c>
      <c r="R101" s="113" t="s">
        <v>733</v>
      </c>
      <c r="S101" s="113" t="s">
        <v>293</v>
      </c>
      <c r="T101" s="113" t="s">
        <v>733</v>
      </c>
      <c r="U101" s="113" t="s">
        <v>733</v>
      </c>
      <c r="V101" s="113" t="s">
        <v>827</v>
      </c>
      <c r="W101" s="113" t="s">
        <v>929</v>
      </c>
      <c r="X101" s="3"/>
      <c r="Y101" s="3">
        <v>1</v>
      </c>
    </row>
    <row r="102" spans="3:25">
      <c r="C102" s="63" t="s">
        <v>0</v>
      </c>
      <c r="D102" s="63" t="s">
        <v>0</v>
      </c>
      <c r="E102" s="110" t="s">
        <v>844</v>
      </c>
      <c r="F102" s="111">
        <v>2672573314</v>
      </c>
      <c r="G102" s="63" t="s">
        <v>97</v>
      </c>
      <c r="H102" s="112">
        <v>24629986</v>
      </c>
      <c r="I102" s="109" t="s">
        <v>730</v>
      </c>
      <c r="J102" s="113" t="s">
        <v>55</v>
      </c>
      <c r="K102" s="109" t="s">
        <v>870</v>
      </c>
      <c r="L102" s="109"/>
      <c r="M102" s="114" t="s">
        <v>292</v>
      </c>
      <c r="N102" s="115">
        <v>45748</v>
      </c>
      <c r="O102" s="114" t="s">
        <v>292</v>
      </c>
      <c r="P102" s="73">
        <v>45962</v>
      </c>
      <c r="Q102" s="113" t="s">
        <v>293</v>
      </c>
      <c r="R102" s="113" t="s">
        <v>733</v>
      </c>
      <c r="S102" s="113" t="s">
        <v>293</v>
      </c>
      <c r="T102" s="113" t="s">
        <v>733</v>
      </c>
      <c r="U102" s="113" t="s">
        <v>733</v>
      </c>
      <c r="V102" s="113" t="s">
        <v>827</v>
      </c>
      <c r="W102" s="113" t="s">
        <v>929</v>
      </c>
      <c r="X102" s="3"/>
      <c r="Y102" s="3">
        <v>1</v>
      </c>
    </row>
    <row r="103" spans="3:25">
      <c r="C103" s="63" t="s">
        <v>0</v>
      </c>
      <c r="D103" s="63" t="s">
        <v>0</v>
      </c>
      <c r="E103" s="110" t="s">
        <v>844</v>
      </c>
      <c r="F103" s="111">
        <v>2672573314</v>
      </c>
      <c r="G103" s="63" t="s">
        <v>98</v>
      </c>
      <c r="H103" s="112">
        <v>16449647</v>
      </c>
      <c r="I103" s="116" t="s">
        <v>725</v>
      </c>
      <c r="J103" s="113" t="s">
        <v>55</v>
      </c>
      <c r="K103" s="109" t="s">
        <v>870</v>
      </c>
      <c r="L103" s="109"/>
      <c r="M103" s="114" t="s">
        <v>292</v>
      </c>
      <c r="N103" s="115">
        <v>45748</v>
      </c>
      <c r="O103" s="114" t="s">
        <v>292</v>
      </c>
      <c r="P103" s="73">
        <v>45962</v>
      </c>
      <c r="Q103" s="113" t="s">
        <v>293</v>
      </c>
      <c r="R103" s="113" t="s">
        <v>733</v>
      </c>
      <c r="S103" s="113" t="s">
        <v>293</v>
      </c>
      <c r="T103" s="113" t="s">
        <v>733</v>
      </c>
      <c r="U103" s="113" t="s">
        <v>733</v>
      </c>
      <c r="V103" s="113" t="s">
        <v>827</v>
      </c>
      <c r="W103" s="113" t="s">
        <v>929</v>
      </c>
      <c r="X103" s="3"/>
      <c r="Y103" s="3">
        <v>1</v>
      </c>
    </row>
    <row r="104" spans="3:25">
      <c r="C104" s="63" t="s">
        <v>0</v>
      </c>
      <c r="D104" s="63" t="s">
        <v>0</v>
      </c>
      <c r="E104" s="110" t="s">
        <v>844</v>
      </c>
      <c r="F104" s="111">
        <v>2672573314</v>
      </c>
      <c r="G104" s="63" t="s">
        <v>99</v>
      </c>
      <c r="H104" s="112">
        <v>27111205</v>
      </c>
      <c r="I104" s="109" t="s">
        <v>730</v>
      </c>
      <c r="J104" s="113" t="s">
        <v>55</v>
      </c>
      <c r="K104" s="109" t="s">
        <v>870</v>
      </c>
      <c r="L104" s="109"/>
      <c r="M104" s="114" t="s">
        <v>292</v>
      </c>
      <c r="N104" s="115">
        <v>45748</v>
      </c>
      <c r="O104" s="114" t="s">
        <v>292</v>
      </c>
      <c r="P104" s="73">
        <v>45962</v>
      </c>
      <c r="Q104" s="113" t="s">
        <v>293</v>
      </c>
      <c r="R104" s="113" t="s">
        <v>733</v>
      </c>
      <c r="S104" s="113" t="s">
        <v>293</v>
      </c>
      <c r="T104" s="113" t="s">
        <v>733</v>
      </c>
      <c r="U104" s="113" t="s">
        <v>733</v>
      </c>
      <c r="V104" s="113" t="s">
        <v>827</v>
      </c>
      <c r="W104" s="113" t="s">
        <v>929</v>
      </c>
      <c r="X104" s="3"/>
      <c r="Y104" s="3">
        <v>1</v>
      </c>
    </row>
    <row r="105" spans="3:25">
      <c r="C105" s="63" t="s">
        <v>0</v>
      </c>
      <c r="D105" s="63" t="s">
        <v>0</v>
      </c>
      <c r="E105" s="110" t="s">
        <v>844</v>
      </c>
      <c r="F105" s="111">
        <v>2672573314</v>
      </c>
      <c r="G105" s="63" t="s">
        <v>100</v>
      </c>
      <c r="H105" s="112">
        <v>27548643</v>
      </c>
      <c r="I105" s="116" t="s">
        <v>725</v>
      </c>
      <c r="J105" s="113" t="s">
        <v>55</v>
      </c>
      <c r="K105" s="109" t="s">
        <v>870</v>
      </c>
      <c r="L105" s="109"/>
      <c r="M105" s="114" t="s">
        <v>292</v>
      </c>
      <c r="N105" s="115">
        <v>45748</v>
      </c>
      <c r="O105" s="114" t="s">
        <v>292</v>
      </c>
      <c r="P105" s="73">
        <v>45962</v>
      </c>
      <c r="Q105" s="113" t="s">
        <v>293</v>
      </c>
      <c r="R105" s="113" t="s">
        <v>733</v>
      </c>
      <c r="S105" s="113" t="s">
        <v>293</v>
      </c>
      <c r="T105" s="113" t="s">
        <v>733</v>
      </c>
      <c r="U105" s="113" t="s">
        <v>733</v>
      </c>
      <c r="V105" s="113" t="s">
        <v>827</v>
      </c>
      <c r="W105" s="113" t="s">
        <v>929</v>
      </c>
      <c r="X105" s="3"/>
      <c r="Y105" s="3">
        <v>1</v>
      </c>
    </row>
    <row r="106" spans="3:25">
      <c r="C106" s="63" t="s">
        <v>0</v>
      </c>
      <c r="D106" s="63" t="s">
        <v>0</v>
      </c>
      <c r="E106" s="110" t="s">
        <v>844</v>
      </c>
      <c r="F106" s="111">
        <v>2672573314</v>
      </c>
      <c r="G106" s="63" t="s">
        <v>101</v>
      </c>
      <c r="H106" s="112">
        <v>28113122</v>
      </c>
      <c r="I106" s="116" t="s">
        <v>725</v>
      </c>
      <c r="J106" s="113" t="s">
        <v>55</v>
      </c>
      <c r="K106" s="109" t="s">
        <v>870</v>
      </c>
      <c r="L106" s="109"/>
      <c r="M106" s="114" t="s">
        <v>292</v>
      </c>
      <c r="N106" s="115">
        <v>45748</v>
      </c>
      <c r="O106" s="114" t="s">
        <v>292</v>
      </c>
      <c r="P106" s="73">
        <v>45962</v>
      </c>
      <c r="Q106" s="113" t="s">
        <v>293</v>
      </c>
      <c r="R106" s="113" t="s">
        <v>733</v>
      </c>
      <c r="S106" s="113" t="s">
        <v>293</v>
      </c>
      <c r="T106" s="113" t="s">
        <v>733</v>
      </c>
      <c r="U106" s="113" t="s">
        <v>733</v>
      </c>
      <c r="V106" s="113" t="s">
        <v>827</v>
      </c>
      <c r="W106" s="113" t="s">
        <v>929</v>
      </c>
      <c r="X106" s="3"/>
      <c r="Y106" s="3">
        <v>1</v>
      </c>
    </row>
    <row r="107" spans="3:25">
      <c r="C107" s="63" t="s">
        <v>0</v>
      </c>
      <c r="D107" s="63" t="s">
        <v>0</v>
      </c>
      <c r="E107" s="110" t="s">
        <v>844</v>
      </c>
      <c r="F107" s="111">
        <v>2672573314</v>
      </c>
      <c r="G107" s="63" t="s">
        <v>466</v>
      </c>
      <c r="H107" s="112">
        <v>19021730</v>
      </c>
      <c r="I107" s="109" t="s">
        <v>730</v>
      </c>
      <c r="J107" s="113" t="s">
        <v>55</v>
      </c>
      <c r="K107" s="109" t="s">
        <v>870</v>
      </c>
      <c r="L107" s="109"/>
      <c r="M107" s="114" t="s">
        <v>292</v>
      </c>
      <c r="N107" s="115">
        <v>45748</v>
      </c>
      <c r="O107" s="114" t="s">
        <v>292</v>
      </c>
      <c r="P107" s="73">
        <v>45962</v>
      </c>
      <c r="Q107" s="113" t="s">
        <v>293</v>
      </c>
      <c r="R107" s="113" t="s">
        <v>733</v>
      </c>
      <c r="S107" s="113" t="s">
        <v>293</v>
      </c>
      <c r="T107" s="113" t="s">
        <v>733</v>
      </c>
      <c r="U107" s="113" t="s">
        <v>733</v>
      </c>
      <c r="V107" s="113" t="s">
        <v>827</v>
      </c>
      <c r="W107" s="113" t="s">
        <v>929</v>
      </c>
      <c r="X107" s="3"/>
      <c r="Y107" s="3">
        <v>1</v>
      </c>
    </row>
    <row r="108" spans="3:25">
      <c r="C108" s="63" t="s">
        <v>0</v>
      </c>
      <c r="D108" s="63" t="s">
        <v>0</v>
      </c>
      <c r="E108" s="110" t="s">
        <v>844</v>
      </c>
      <c r="F108" s="111">
        <v>2672573314</v>
      </c>
      <c r="G108" s="63" t="s">
        <v>103</v>
      </c>
      <c r="H108" s="112">
        <v>20700562</v>
      </c>
      <c r="I108" s="109" t="s">
        <v>730</v>
      </c>
      <c r="J108" s="113" t="s">
        <v>55</v>
      </c>
      <c r="K108" s="109" t="s">
        <v>870</v>
      </c>
      <c r="L108" s="109"/>
      <c r="M108" s="114" t="s">
        <v>292</v>
      </c>
      <c r="N108" s="115">
        <v>45748</v>
      </c>
      <c r="O108" s="114" t="s">
        <v>292</v>
      </c>
      <c r="P108" s="73">
        <v>45962</v>
      </c>
      <c r="Q108" s="113" t="s">
        <v>293</v>
      </c>
      <c r="R108" s="113" t="s">
        <v>733</v>
      </c>
      <c r="S108" s="113" t="s">
        <v>293</v>
      </c>
      <c r="T108" s="113" t="s">
        <v>733</v>
      </c>
      <c r="U108" s="113" t="s">
        <v>733</v>
      </c>
      <c r="V108" s="113" t="s">
        <v>827</v>
      </c>
      <c r="W108" s="113" t="s">
        <v>929</v>
      </c>
      <c r="X108" s="3"/>
      <c r="Y108" s="3">
        <v>1</v>
      </c>
    </row>
    <row r="109" spans="3:25">
      <c r="C109" s="63" t="s">
        <v>0</v>
      </c>
      <c r="D109" s="63" t="s">
        <v>0</v>
      </c>
      <c r="E109" s="110" t="s">
        <v>844</v>
      </c>
      <c r="F109" s="111">
        <v>2672573314</v>
      </c>
      <c r="G109" s="63" t="s">
        <v>104</v>
      </c>
      <c r="H109" s="112">
        <v>30096039</v>
      </c>
      <c r="I109" s="116" t="s">
        <v>725</v>
      </c>
      <c r="J109" s="113" t="s">
        <v>55</v>
      </c>
      <c r="K109" s="109" t="s">
        <v>870</v>
      </c>
      <c r="L109" s="109"/>
      <c r="M109" s="114" t="s">
        <v>292</v>
      </c>
      <c r="N109" s="115">
        <v>45748</v>
      </c>
      <c r="O109" s="114" t="s">
        <v>292</v>
      </c>
      <c r="P109" s="73">
        <v>45962</v>
      </c>
      <c r="Q109" s="113" t="s">
        <v>293</v>
      </c>
      <c r="R109" s="113" t="s">
        <v>733</v>
      </c>
      <c r="S109" s="113" t="s">
        <v>293</v>
      </c>
      <c r="T109" s="113" t="s">
        <v>733</v>
      </c>
      <c r="U109" s="113" t="s">
        <v>733</v>
      </c>
      <c r="V109" s="113" t="s">
        <v>827</v>
      </c>
      <c r="W109" s="113" t="s">
        <v>929</v>
      </c>
      <c r="X109" s="3"/>
      <c r="Y109" s="3">
        <v>1</v>
      </c>
    </row>
    <row r="110" spans="3:25">
      <c r="C110" s="63" t="s">
        <v>0</v>
      </c>
      <c r="D110" s="63" t="s">
        <v>0</v>
      </c>
      <c r="E110" s="110" t="s">
        <v>844</v>
      </c>
      <c r="F110" s="111">
        <v>2672573314</v>
      </c>
      <c r="G110" s="63" t="s">
        <v>105</v>
      </c>
      <c r="H110" s="112">
        <v>19781281</v>
      </c>
      <c r="I110" s="116" t="s">
        <v>725</v>
      </c>
      <c r="J110" s="113" t="s">
        <v>56</v>
      </c>
      <c r="K110" s="109" t="s">
        <v>870</v>
      </c>
      <c r="L110" s="109"/>
      <c r="M110" s="114" t="s">
        <v>292</v>
      </c>
      <c r="N110" s="115">
        <v>45748</v>
      </c>
      <c r="O110" s="114" t="s">
        <v>292</v>
      </c>
      <c r="P110" s="73">
        <v>45962</v>
      </c>
      <c r="Q110" s="113" t="s">
        <v>293</v>
      </c>
      <c r="R110" s="113" t="s">
        <v>733</v>
      </c>
      <c r="S110" s="113" t="s">
        <v>293</v>
      </c>
      <c r="T110" s="113" t="s">
        <v>733</v>
      </c>
      <c r="U110" s="113" t="s">
        <v>733</v>
      </c>
      <c r="V110" s="113" t="s">
        <v>827</v>
      </c>
      <c r="W110" s="113" t="s">
        <v>929</v>
      </c>
      <c r="X110" s="3"/>
      <c r="Y110" s="3">
        <v>1</v>
      </c>
    </row>
    <row r="111" spans="3:25">
      <c r="C111" s="63" t="s">
        <v>0</v>
      </c>
      <c r="D111" s="63" t="s">
        <v>0</v>
      </c>
      <c r="E111" s="110" t="s">
        <v>844</v>
      </c>
      <c r="F111" s="111">
        <v>2672573314</v>
      </c>
      <c r="G111" s="63" t="s">
        <v>106</v>
      </c>
      <c r="H111" s="112">
        <v>14571391</v>
      </c>
      <c r="I111" s="116" t="s">
        <v>725</v>
      </c>
      <c r="J111" s="113" t="s">
        <v>56</v>
      </c>
      <c r="K111" s="109" t="s">
        <v>870</v>
      </c>
      <c r="L111" s="109"/>
      <c r="M111" s="114" t="s">
        <v>292</v>
      </c>
      <c r="N111" s="115">
        <v>45748</v>
      </c>
      <c r="O111" s="114" t="s">
        <v>292</v>
      </c>
      <c r="P111" s="73">
        <v>45962</v>
      </c>
      <c r="Q111" s="113" t="s">
        <v>293</v>
      </c>
      <c r="R111" s="113" t="s">
        <v>733</v>
      </c>
      <c r="S111" s="113" t="s">
        <v>293</v>
      </c>
      <c r="T111" s="113" t="s">
        <v>733</v>
      </c>
      <c r="U111" s="113" t="s">
        <v>733</v>
      </c>
      <c r="V111" s="113" t="s">
        <v>827</v>
      </c>
      <c r="W111" s="113" t="s">
        <v>929</v>
      </c>
      <c r="X111" s="3"/>
      <c r="Y111" s="3">
        <v>1</v>
      </c>
    </row>
    <row r="112" spans="3:25">
      <c r="C112" s="63" t="s">
        <v>0</v>
      </c>
      <c r="D112" s="63" t="s">
        <v>0</v>
      </c>
      <c r="E112" s="110" t="s">
        <v>844</v>
      </c>
      <c r="F112" s="111">
        <v>2672573314</v>
      </c>
      <c r="G112" s="63" t="s">
        <v>107</v>
      </c>
      <c r="H112" s="112">
        <v>25969677</v>
      </c>
      <c r="I112" s="109" t="s">
        <v>730</v>
      </c>
      <c r="J112" s="113" t="s">
        <v>56</v>
      </c>
      <c r="K112" s="109" t="s">
        <v>870</v>
      </c>
      <c r="L112" s="109"/>
      <c r="M112" s="114" t="s">
        <v>292</v>
      </c>
      <c r="N112" s="115">
        <v>45748</v>
      </c>
      <c r="O112" s="114" t="s">
        <v>292</v>
      </c>
      <c r="P112" s="73">
        <v>45962</v>
      </c>
      <c r="Q112" s="113" t="s">
        <v>293</v>
      </c>
      <c r="R112" s="113" t="s">
        <v>733</v>
      </c>
      <c r="S112" s="113" t="s">
        <v>293</v>
      </c>
      <c r="T112" s="113" t="s">
        <v>733</v>
      </c>
      <c r="U112" s="113" t="s">
        <v>733</v>
      </c>
      <c r="V112" s="113" t="s">
        <v>827</v>
      </c>
      <c r="W112" s="113" t="s">
        <v>929</v>
      </c>
      <c r="X112" s="3"/>
      <c r="Y112" s="3">
        <v>1</v>
      </c>
    </row>
    <row r="113" spans="3:26">
      <c r="C113" s="63" t="s">
        <v>0</v>
      </c>
      <c r="D113" s="63" t="s">
        <v>0</v>
      </c>
      <c r="E113" s="110" t="s">
        <v>844</v>
      </c>
      <c r="F113" s="111">
        <v>2672573314</v>
      </c>
      <c r="G113" s="63" t="s">
        <v>467</v>
      </c>
      <c r="H113" s="112">
        <v>29525255</v>
      </c>
      <c r="I113" s="116" t="s">
        <v>706</v>
      </c>
      <c r="J113" s="113" t="s">
        <v>56</v>
      </c>
      <c r="K113" s="109" t="s">
        <v>902</v>
      </c>
      <c r="L113" s="109" t="s">
        <v>903</v>
      </c>
      <c r="M113" s="114" t="s">
        <v>292</v>
      </c>
      <c r="N113" s="115">
        <v>45748</v>
      </c>
      <c r="O113" s="114" t="s">
        <v>292</v>
      </c>
      <c r="P113" s="73">
        <v>45962</v>
      </c>
      <c r="Q113" s="113" t="s">
        <v>293</v>
      </c>
      <c r="R113" s="113" t="s">
        <v>733</v>
      </c>
      <c r="S113" s="113" t="s">
        <v>293</v>
      </c>
      <c r="T113" s="113" t="s">
        <v>733</v>
      </c>
      <c r="U113" s="113" t="s">
        <v>733</v>
      </c>
      <c r="V113" s="113" t="s">
        <v>827</v>
      </c>
      <c r="W113" s="113" t="s">
        <v>929</v>
      </c>
      <c r="X113" s="3"/>
      <c r="Y113" s="3">
        <v>1</v>
      </c>
    </row>
    <row r="114" spans="3:26">
      <c r="C114" s="63" t="s">
        <v>0</v>
      </c>
      <c r="D114" s="63" t="s">
        <v>0</v>
      </c>
      <c r="E114" s="110" t="s">
        <v>844</v>
      </c>
      <c r="F114" s="111">
        <v>2672573314</v>
      </c>
      <c r="G114" s="63" t="s">
        <v>468</v>
      </c>
      <c r="H114" s="112">
        <v>27228497</v>
      </c>
      <c r="I114" s="109" t="s">
        <v>410</v>
      </c>
      <c r="J114" s="113" t="s">
        <v>56</v>
      </c>
      <c r="K114" s="109" t="s">
        <v>870</v>
      </c>
      <c r="L114" s="109"/>
      <c r="M114" s="114" t="s">
        <v>292</v>
      </c>
      <c r="N114" s="115">
        <v>45748</v>
      </c>
      <c r="O114" s="114" t="s">
        <v>292</v>
      </c>
      <c r="P114" s="73">
        <v>45962</v>
      </c>
      <c r="Q114" s="113" t="s">
        <v>293</v>
      </c>
      <c r="R114" s="113" t="s">
        <v>733</v>
      </c>
      <c r="S114" s="113" t="s">
        <v>293</v>
      </c>
      <c r="T114" s="113" t="s">
        <v>733</v>
      </c>
      <c r="U114" s="113" t="s">
        <v>733</v>
      </c>
      <c r="V114" s="113" t="s">
        <v>827</v>
      </c>
      <c r="W114" s="113" t="s">
        <v>929</v>
      </c>
      <c r="X114" s="3"/>
      <c r="Y114" s="3">
        <v>1</v>
      </c>
    </row>
    <row r="115" spans="3:26">
      <c r="C115" s="63" t="s">
        <v>0</v>
      </c>
      <c r="D115" s="63" t="s">
        <v>0</v>
      </c>
      <c r="E115" s="110" t="s">
        <v>844</v>
      </c>
      <c r="F115" s="111">
        <v>2672573314</v>
      </c>
      <c r="G115" s="63" t="s">
        <v>469</v>
      </c>
      <c r="H115" s="112">
        <v>23439354</v>
      </c>
      <c r="I115" s="109" t="s">
        <v>730</v>
      </c>
      <c r="J115" s="113" t="s">
        <v>56</v>
      </c>
      <c r="K115" s="109" t="s">
        <v>870</v>
      </c>
      <c r="L115" s="109"/>
      <c r="M115" s="114" t="s">
        <v>292</v>
      </c>
      <c r="N115" s="115">
        <v>45748</v>
      </c>
      <c r="O115" s="114" t="s">
        <v>292</v>
      </c>
      <c r="P115" s="73">
        <v>45962</v>
      </c>
      <c r="Q115" s="113" t="s">
        <v>293</v>
      </c>
      <c r="R115" s="113" t="s">
        <v>733</v>
      </c>
      <c r="S115" s="113" t="s">
        <v>293</v>
      </c>
      <c r="T115" s="113" t="s">
        <v>733</v>
      </c>
      <c r="U115" s="113" t="s">
        <v>733</v>
      </c>
      <c r="V115" s="113" t="s">
        <v>827</v>
      </c>
      <c r="W115" s="113" t="s">
        <v>929</v>
      </c>
      <c r="X115" s="3"/>
      <c r="Y115" s="3">
        <v>1</v>
      </c>
    </row>
    <row r="116" spans="3:26">
      <c r="C116" s="63" t="s">
        <v>0</v>
      </c>
      <c r="D116" s="63" t="s">
        <v>0</v>
      </c>
      <c r="E116" s="110" t="s">
        <v>844</v>
      </c>
      <c r="F116" s="111">
        <v>2672573314</v>
      </c>
      <c r="G116" s="63" t="s">
        <v>470</v>
      </c>
      <c r="H116" s="112">
        <v>24569140</v>
      </c>
      <c r="I116" s="109" t="s">
        <v>730</v>
      </c>
      <c r="J116" s="113" t="s">
        <v>56</v>
      </c>
      <c r="K116" s="109" t="s">
        <v>870</v>
      </c>
      <c r="L116" s="109"/>
      <c r="M116" s="114" t="s">
        <v>292</v>
      </c>
      <c r="N116" s="115">
        <v>45748</v>
      </c>
      <c r="O116" s="114" t="s">
        <v>292</v>
      </c>
      <c r="P116" s="73">
        <v>45962</v>
      </c>
      <c r="Q116" s="113" t="s">
        <v>293</v>
      </c>
      <c r="R116" s="113" t="s">
        <v>733</v>
      </c>
      <c r="S116" s="113" t="s">
        <v>293</v>
      </c>
      <c r="T116" s="113" t="s">
        <v>733</v>
      </c>
      <c r="U116" s="113" t="s">
        <v>733</v>
      </c>
      <c r="V116" s="113" t="s">
        <v>827</v>
      </c>
      <c r="W116" s="113" t="s">
        <v>929</v>
      </c>
      <c r="X116" s="3"/>
      <c r="Y116" s="3">
        <v>1</v>
      </c>
    </row>
    <row r="117" spans="3:26">
      <c r="C117" s="63" t="s">
        <v>0</v>
      </c>
      <c r="D117" s="63" t="s">
        <v>0</v>
      </c>
      <c r="E117" s="110" t="s">
        <v>844</v>
      </c>
      <c r="F117" s="111">
        <v>2672573314</v>
      </c>
      <c r="G117" s="63" t="s">
        <v>471</v>
      </c>
      <c r="H117" s="112">
        <v>27853422</v>
      </c>
      <c r="I117" s="109" t="s">
        <v>730</v>
      </c>
      <c r="J117" s="113" t="s">
        <v>56</v>
      </c>
      <c r="K117" s="109" t="s">
        <v>870</v>
      </c>
      <c r="L117" s="109"/>
      <c r="M117" s="114" t="s">
        <v>292</v>
      </c>
      <c r="N117" s="115">
        <v>45748</v>
      </c>
      <c r="O117" s="114" t="s">
        <v>292</v>
      </c>
      <c r="P117" s="73">
        <v>45962</v>
      </c>
      <c r="Q117" s="113" t="s">
        <v>293</v>
      </c>
      <c r="R117" s="113" t="s">
        <v>733</v>
      </c>
      <c r="S117" s="113" t="s">
        <v>293</v>
      </c>
      <c r="T117" s="113" t="s">
        <v>733</v>
      </c>
      <c r="U117" s="113" t="s">
        <v>733</v>
      </c>
      <c r="V117" s="113" t="s">
        <v>827</v>
      </c>
      <c r="W117" s="113" t="s">
        <v>929</v>
      </c>
      <c r="X117" s="3"/>
      <c r="Y117" s="3">
        <v>1</v>
      </c>
    </row>
    <row r="118" spans="3:26">
      <c r="C118" s="63" t="s">
        <v>0</v>
      </c>
      <c r="D118" s="63" t="s">
        <v>0</v>
      </c>
      <c r="E118" s="110" t="s">
        <v>844</v>
      </c>
      <c r="F118" s="111">
        <v>2672573314</v>
      </c>
      <c r="G118" s="63" t="s">
        <v>472</v>
      </c>
      <c r="H118" s="112">
        <v>16153508</v>
      </c>
      <c r="I118" s="116" t="s">
        <v>725</v>
      </c>
      <c r="J118" s="113" t="s">
        <v>56</v>
      </c>
      <c r="K118" s="109" t="s">
        <v>870</v>
      </c>
      <c r="L118" s="109"/>
      <c r="M118" s="114" t="s">
        <v>292</v>
      </c>
      <c r="N118" s="115">
        <v>45748</v>
      </c>
      <c r="O118" s="114" t="s">
        <v>292</v>
      </c>
      <c r="P118" s="73">
        <v>45962</v>
      </c>
      <c r="Q118" s="113" t="s">
        <v>293</v>
      </c>
      <c r="R118" s="113" t="s">
        <v>733</v>
      </c>
      <c r="S118" s="113" t="s">
        <v>293</v>
      </c>
      <c r="T118" s="113" t="s">
        <v>733</v>
      </c>
      <c r="U118" s="113" t="s">
        <v>733</v>
      </c>
      <c r="V118" s="113" t="s">
        <v>827</v>
      </c>
      <c r="W118" s="113" t="s">
        <v>929</v>
      </c>
      <c r="X118" s="3"/>
      <c r="Y118" s="3">
        <v>1</v>
      </c>
    </row>
    <row r="119" spans="3:26">
      <c r="C119" s="63" t="s">
        <v>0</v>
      </c>
      <c r="D119" s="63" t="s">
        <v>0</v>
      </c>
      <c r="E119" s="110" t="s">
        <v>844</v>
      </c>
      <c r="F119" s="111">
        <v>2672573314</v>
      </c>
      <c r="G119" s="63" t="s">
        <v>473</v>
      </c>
      <c r="H119" s="112">
        <v>23428900</v>
      </c>
      <c r="I119" s="109" t="s">
        <v>730</v>
      </c>
      <c r="J119" s="113" t="s">
        <v>56</v>
      </c>
      <c r="K119" s="109" t="s">
        <v>870</v>
      </c>
      <c r="L119" s="109"/>
      <c r="M119" s="114" t="s">
        <v>292</v>
      </c>
      <c r="N119" s="115">
        <v>45748</v>
      </c>
      <c r="O119" s="114" t="s">
        <v>292</v>
      </c>
      <c r="P119" s="73">
        <v>45962</v>
      </c>
      <c r="Q119" s="113" t="s">
        <v>293</v>
      </c>
      <c r="R119" s="113" t="s">
        <v>733</v>
      </c>
      <c r="S119" s="113" t="s">
        <v>293</v>
      </c>
      <c r="T119" s="113" t="s">
        <v>733</v>
      </c>
      <c r="U119" s="113" t="s">
        <v>733</v>
      </c>
      <c r="V119" s="113" t="s">
        <v>827</v>
      </c>
      <c r="W119" s="113" t="s">
        <v>929</v>
      </c>
      <c r="X119" s="3"/>
      <c r="Y119" s="3">
        <v>1</v>
      </c>
    </row>
    <row r="120" spans="3:26">
      <c r="C120" s="63" t="s">
        <v>0</v>
      </c>
      <c r="D120" s="63" t="s">
        <v>0</v>
      </c>
      <c r="E120" s="110" t="s">
        <v>844</v>
      </c>
      <c r="F120" s="111">
        <v>2672573314</v>
      </c>
      <c r="G120" s="63" t="s">
        <v>474</v>
      </c>
      <c r="H120" s="112">
        <v>27856677</v>
      </c>
      <c r="I120" s="116" t="s">
        <v>725</v>
      </c>
      <c r="J120" s="113" t="s">
        <v>56</v>
      </c>
      <c r="K120" s="109" t="s">
        <v>870</v>
      </c>
      <c r="L120" s="109"/>
      <c r="M120" s="114" t="s">
        <v>292</v>
      </c>
      <c r="N120" s="115">
        <v>45748</v>
      </c>
      <c r="O120" s="114" t="s">
        <v>292</v>
      </c>
      <c r="P120" s="73">
        <v>45962</v>
      </c>
      <c r="Q120" s="113" t="s">
        <v>293</v>
      </c>
      <c r="R120" s="113" t="s">
        <v>733</v>
      </c>
      <c r="S120" s="113" t="s">
        <v>293</v>
      </c>
      <c r="T120" s="113" t="s">
        <v>733</v>
      </c>
      <c r="U120" s="113" t="s">
        <v>733</v>
      </c>
      <c r="V120" s="113" t="s">
        <v>827</v>
      </c>
      <c r="W120" s="113" t="s">
        <v>929</v>
      </c>
      <c r="X120" s="3"/>
      <c r="Y120" s="3">
        <v>1</v>
      </c>
    </row>
    <row r="121" spans="3:26">
      <c r="C121" s="63" t="s">
        <v>0</v>
      </c>
      <c r="D121" s="63" t="s">
        <v>0</v>
      </c>
      <c r="E121" s="110" t="s">
        <v>844</v>
      </c>
      <c r="F121" s="111">
        <v>2672573314</v>
      </c>
      <c r="G121" s="63" t="s">
        <v>475</v>
      </c>
      <c r="H121" s="112">
        <v>27343317</v>
      </c>
      <c r="I121" s="116" t="s">
        <v>725</v>
      </c>
      <c r="J121" s="113" t="s">
        <v>56</v>
      </c>
      <c r="K121" s="109" t="s">
        <v>870</v>
      </c>
      <c r="L121" s="109"/>
      <c r="M121" s="114" t="s">
        <v>292</v>
      </c>
      <c r="N121" s="115">
        <v>45748</v>
      </c>
      <c r="O121" s="114" t="s">
        <v>292</v>
      </c>
      <c r="P121" s="73">
        <v>45962</v>
      </c>
      <c r="Q121" s="113" t="s">
        <v>293</v>
      </c>
      <c r="R121" s="113" t="s">
        <v>733</v>
      </c>
      <c r="S121" s="113" t="s">
        <v>293</v>
      </c>
      <c r="T121" s="113" t="s">
        <v>733</v>
      </c>
      <c r="U121" s="113" t="s">
        <v>733</v>
      </c>
      <c r="V121" s="113" t="s">
        <v>827</v>
      </c>
      <c r="W121" s="113" t="s">
        <v>929</v>
      </c>
      <c r="X121" s="3"/>
      <c r="Y121" s="3">
        <v>1</v>
      </c>
    </row>
    <row r="122" spans="3:26">
      <c r="C122" s="63" t="s">
        <v>0</v>
      </c>
      <c r="D122" s="63" t="s">
        <v>0</v>
      </c>
      <c r="E122" s="110" t="s">
        <v>844</v>
      </c>
      <c r="F122" s="111">
        <v>2672573314</v>
      </c>
      <c r="G122" s="63" t="s">
        <v>476</v>
      </c>
      <c r="H122" s="112">
        <v>22556069</v>
      </c>
      <c r="I122" s="109" t="s">
        <v>730</v>
      </c>
      <c r="J122" s="113" t="s">
        <v>56</v>
      </c>
      <c r="K122" s="109" t="s">
        <v>870</v>
      </c>
      <c r="L122" s="109"/>
      <c r="M122" s="114" t="s">
        <v>292</v>
      </c>
      <c r="N122" s="115">
        <v>45748</v>
      </c>
      <c r="O122" s="114" t="s">
        <v>292</v>
      </c>
      <c r="P122" s="73">
        <v>45962</v>
      </c>
      <c r="Q122" s="113" t="s">
        <v>293</v>
      </c>
      <c r="R122" s="113" t="s">
        <v>733</v>
      </c>
      <c r="S122" s="113" t="s">
        <v>293</v>
      </c>
      <c r="T122" s="113" t="s">
        <v>733</v>
      </c>
      <c r="U122" s="113" t="s">
        <v>733</v>
      </c>
      <c r="V122" s="113" t="s">
        <v>827</v>
      </c>
      <c r="W122" s="113" t="s">
        <v>929</v>
      </c>
      <c r="X122" s="3"/>
      <c r="Y122" s="3">
        <v>1</v>
      </c>
    </row>
    <row r="123" spans="3:26">
      <c r="C123" s="63" t="s">
        <v>0</v>
      </c>
      <c r="D123" s="63" t="s">
        <v>0</v>
      </c>
      <c r="E123" s="110" t="s">
        <v>844</v>
      </c>
      <c r="F123" s="111">
        <v>2672573314</v>
      </c>
      <c r="G123" s="63" t="s">
        <v>657</v>
      </c>
      <c r="H123" s="112">
        <v>26160665</v>
      </c>
      <c r="I123" s="109" t="s">
        <v>730</v>
      </c>
      <c r="J123" s="113" t="s">
        <v>56</v>
      </c>
      <c r="K123" s="109" t="s">
        <v>870</v>
      </c>
      <c r="L123" s="109"/>
      <c r="M123" s="114" t="s">
        <v>292</v>
      </c>
      <c r="N123" s="115">
        <v>45748</v>
      </c>
      <c r="O123" s="114" t="s">
        <v>292</v>
      </c>
      <c r="P123" s="73">
        <v>45962</v>
      </c>
      <c r="Q123" s="113" t="s">
        <v>293</v>
      </c>
      <c r="R123" s="113" t="s">
        <v>733</v>
      </c>
      <c r="S123" s="113" t="s">
        <v>293</v>
      </c>
      <c r="T123" s="113" t="s">
        <v>733</v>
      </c>
      <c r="U123" s="113" t="s">
        <v>733</v>
      </c>
      <c r="V123" s="113" t="s">
        <v>827</v>
      </c>
      <c r="W123" s="113" t="s">
        <v>929</v>
      </c>
      <c r="X123" s="3"/>
      <c r="Y123" s="3">
        <v>1</v>
      </c>
    </row>
    <row r="124" spans="3:26">
      <c r="C124" s="63" t="s">
        <v>0</v>
      </c>
      <c r="D124" s="63" t="s">
        <v>0</v>
      </c>
      <c r="E124" s="110" t="s">
        <v>844</v>
      </c>
      <c r="F124" s="111">
        <v>2672573314</v>
      </c>
      <c r="G124" s="63" t="s">
        <v>532</v>
      </c>
      <c r="H124" s="112">
        <v>22223195</v>
      </c>
      <c r="I124" s="116" t="s">
        <v>725</v>
      </c>
      <c r="J124" s="113" t="s">
        <v>56</v>
      </c>
      <c r="K124" s="109" t="s">
        <v>870</v>
      </c>
      <c r="L124" s="109"/>
      <c r="M124" s="114" t="s">
        <v>292</v>
      </c>
      <c r="N124" s="115">
        <v>45748</v>
      </c>
      <c r="O124" s="114" t="s">
        <v>292</v>
      </c>
      <c r="P124" s="73">
        <v>45962</v>
      </c>
      <c r="Q124" s="113" t="s">
        <v>293</v>
      </c>
      <c r="R124" s="113" t="s">
        <v>733</v>
      </c>
      <c r="S124" s="113" t="s">
        <v>293</v>
      </c>
      <c r="T124" s="113" t="s">
        <v>733</v>
      </c>
      <c r="U124" s="113" t="s">
        <v>733</v>
      </c>
      <c r="V124" s="113" t="s">
        <v>827</v>
      </c>
      <c r="W124" s="113" t="s">
        <v>929</v>
      </c>
      <c r="X124" s="3"/>
      <c r="Y124" s="3">
        <v>1</v>
      </c>
    </row>
    <row r="125" spans="3:26">
      <c r="C125" s="63" t="s">
        <v>0</v>
      </c>
      <c r="D125" s="63" t="s">
        <v>0</v>
      </c>
      <c r="E125" s="110" t="s">
        <v>844</v>
      </c>
      <c r="F125" s="111">
        <v>2672573314</v>
      </c>
      <c r="G125" s="63" t="s">
        <v>533</v>
      </c>
      <c r="H125" s="112">
        <v>26547722</v>
      </c>
      <c r="I125" s="109" t="s">
        <v>730</v>
      </c>
      <c r="J125" s="113" t="s">
        <v>56</v>
      </c>
      <c r="K125" s="109" t="s">
        <v>870</v>
      </c>
      <c r="L125" s="109"/>
      <c r="M125" s="114" t="s">
        <v>292</v>
      </c>
      <c r="N125" s="115">
        <v>45748</v>
      </c>
      <c r="O125" s="114" t="s">
        <v>292</v>
      </c>
      <c r="P125" s="73">
        <v>45962</v>
      </c>
      <c r="Q125" s="113" t="s">
        <v>293</v>
      </c>
      <c r="R125" s="113" t="s">
        <v>733</v>
      </c>
      <c r="S125" s="113" t="s">
        <v>293</v>
      </c>
      <c r="T125" s="113" t="s">
        <v>733</v>
      </c>
      <c r="U125" s="113" t="s">
        <v>733</v>
      </c>
      <c r="V125" s="113" t="s">
        <v>827</v>
      </c>
      <c r="W125" s="113" t="s">
        <v>929</v>
      </c>
      <c r="X125" s="3"/>
      <c r="Y125" s="3">
        <v>1</v>
      </c>
    </row>
    <row r="126" spans="3:26">
      <c r="C126" s="63" t="s">
        <v>0</v>
      </c>
      <c r="D126" s="63" t="s">
        <v>0</v>
      </c>
      <c r="E126" s="110" t="s">
        <v>844</v>
      </c>
      <c r="F126" s="111">
        <v>2672573314</v>
      </c>
      <c r="G126" s="63" t="s">
        <v>699</v>
      </c>
      <c r="H126" s="112">
        <v>18957458</v>
      </c>
      <c r="I126" s="109" t="s">
        <v>730</v>
      </c>
      <c r="J126" s="113" t="s">
        <v>56</v>
      </c>
      <c r="K126" s="109" t="s">
        <v>870</v>
      </c>
      <c r="L126" s="109"/>
      <c r="M126" s="114" t="s">
        <v>292</v>
      </c>
      <c r="N126" s="115">
        <v>45748</v>
      </c>
      <c r="O126" s="114" t="s">
        <v>292</v>
      </c>
      <c r="P126" s="73">
        <v>45962</v>
      </c>
      <c r="Q126" s="113" t="s">
        <v>293</v>
      </c>
      <c r="R126" s="113" t="s">
        <v>733</v>
      </c>
      <c r="S126" s="113" t="s">
        <v>293</v>
      </c>
      <c r="T126" s="113" t="s">
        <v>733</v>
      </c>
      <c r="U126" s="113" t="s">
        <v>733</v>
      </c>
      <c r="V126" s="113" t="s">
        <v>827</v>
      </c>
      <c r="W126" s="113" t="s">
        <v>929</v>
      </c>
      <c r="X126" s="3"/>
      <c r="Y126" s="3">
        <v>1</v>
      </c>
      <c r="Z126" s="1">
        <v>1</v>
      </c>
    </row>
    <row r="127" spans="3:26">
      <c r="C127" s="63" t="s">
        <v>0</v>
      </c>
      <c r="D127" s="63" t="s">
        <v>0</v>
      </c>
      <c r="E127" s="110" t="s">
        <v>844</v>
      </c>
      <c r="F127" s="111">
        <v>2672573314</v>
      </c>
      <c r="G127" s="63" t="s">
        <v>534</v>
      </c>
      <c r="H127" s="112">
        <v>21479038</v>
      </c>
      <c r="I127" s="109" t="s">
        <v>730</v>
      </c>
      <c r="J127" s="113" t="s">
        <v>56</v>
      </c>
      <c r="K127" s="109" t="s">
        <v>870</v>
      </c>
      <c r="L127" s="109"/>
      <c r="M127" s="114" t="s">
        <v>292</v>
      </c>
      <c r="N127" s="115">
        <v>45748</v>
      </c>
      <c r="O127" s="114" t="s">
        <v>292</v>
      </c>
      <c r="P127" s="73">
        <v>45962</v>
      </c>
      <c r="Q127" s="113" t="s">
        <v>293</v>
      </c>
      <c r="R127" s="113" t="s">
        <v>733</v>
      </c>
      <c r="S127" s="113" t="s">
        <v>293</v>
      </c>
      <c r="T127" s="113" t="s">
        <v>733</v>
      </c>
      <c r="U127" s="113" t="s">
        <v>733</v>
      </c>
      <c r="V127" s="113" t="s">
        <v>827</v>
      </c>
      <c r="W127" s="113" t="s">
        <v>929</v>
      </c>
      <c r="X127" s="3"/>
      <c r="Y127" s="3">
        <v>1</v>
      </c>
      <c r="Z127" s="1">
        <v>82</v>
      </c>
    </row>
    <row r="128" spans="3:26">
      <c r="C128" s="63" t="s">
        <v>0</v>
      </c>
      <c r="D128" s="63" t="s">
        <v>0</v>
      </c>
      <c r="E128" s="110" t="s">
        <v>844</v>
      </c>
      <c r="F128" s="111">
        <v>2672573314</v>
      </c>
      <c r="G128" s="63" t="s">
        <v>535</v>
      </c>
      <c r="H128" s="112">
        <v>27429749</v>
      </c>
      <c r="I128" s="109" t="s">
        <v>730</v>
      </c>
      <c r="J128" s="113" t="s">
        <v>56</v>
      </c>
      <c r="K128" s="109" t="s">
        <v>870</v>
      </c>
      <c r="L128" s="109"/>
      <c r="M128" s="114" t="s">
        <v>292</v>
      </c>
      <c r="N128" s="115">
        <v>45748</v>
      </c>
      <c r="O128" s="114" t="s">
        <v>292</v>
      </c>
      <c r="P128" s="73">
        <v>45962</v>
      </c>
      <c r="Q128" s="113" t="s">
        <v>293</v>
      </c>
      <c r="R128" s="113" t="s">
        <v>733</v>
      </c>
      <c r="S128" s="113" t="s">
        <v>293</v>
      </c>
      <c r="T128" s="113" t="s">
        <v>733</v>
      </c>
      <c r="U128" s="113" t="s">
        <v>733</v>
      </c>
      <c r="V128" s="113" t="s">
        <v>827</v>
      </c>
      <c r="W128" s="113" t="s">
        <v>929</v>
      </c>
      <c r="X128" s="3"/>
      <c r="Y128" s="3">
        <v>1</v>
      </c>
      <c r="Z128" s="1">
        <v>43</v>
      </c>
    </row>
    <row r="129" spans="3:25">
      <c r="C129" s="63" t="s">
        <v>0</v>
      </c>
      <c r="D129" s="63" t="s">
        <v>0</v>
      </c>
      <c r="E129" s="110" t="s">
        <v>844</v>
      </c>
      <c r="F129" s="111">
        <v>2672573314</v>
      </c>
      <c r="G129" s="63" t="s">
        <v>536</v>
      </c>
      <c r="H129" s="112">
        <v>21584523</v>
      </c>
      <c r="I129" s="116" t="s">
        <v>725</v>
      </c>
      <c r="J129" s="113" t="s">
        <v>56</v>
      </c>
      <c r="K129" s="109" t="s">
        <v>870</v>
      </c>
      <c r="L129" s="109"/>
      <c r="M129" s="114" t="s">
        <v>292</v>
      </c>
      <c r="N129" s="115">
        <v>45748</v>
      </c>
      <c r="O129" s="114" t="s">
        <v>292</v>
      </c>
      <c r="P129" s="73">
        <v>45962</v>
      </c>
      <c r="Q129" s="113" t="s">
        <v>293</v>
      </c>
      <c r="R129" s="113" t="s">
        <v>733</v>
      </c>
      <c r="S129" s="113" t="s">
        <v>293</v>
      </c>
      <c r="T129" s="113" t="s">
        <v>733</v>
      </c>
      <c r="U129" s="113" t="s">
        <v>733</v>
      </c>
      <c r="V129" s="113" t="s">
        <v>827</v>
      </c>
      <c r="W129" s="113" t="s">
        <v>929</v>
      </c>
      <c r="X129" s="3"/>
      <c r="Y129" s="3">
        <v>1</v>
      </c>
    </row>
    <row r="130" spans="3:25">
      <c r="C130" s="63" t="s">
        <v>0</v>
      </c>
      <c r="D130" s="63" t="s">
        <v>0</v>
      </c>
      <c r="E130" s="110" t="s">
        <v>844</v>
      </c>
      <c r="F130" s="111">
        <v>2672573314</v>
      </c>
      <c r="G130" s="63" t="s">
        <v>537</v>
      </c>
      <c r="H130" s="112">
        <v>24630491</v>
      </c>
      <c r="I130" s="116" t="s">
        <v>725</v>
      </c>
      <c r="J130" s="113" t="s">
        <v>56</v>
      </c>
      <c r="K130" s="109" t="s">
        <v>870</v>
      </c>
      <c r="L130" s="109"/>
      <c r="M130" s="114" t="s">
        <v>292</v>
      </c>
      <c r="N130" s="115">
        <v>45748</v>
      </c>
      <c r="O130" s="114" t="s">
        <v>292</v>
      </c>
      <c r="P130" s="73">
        <v>45962</v>
      </c>
      <c r="Q130" s="113" t="s">
        <v>293</v>
      </c>
      <c r="R130" s="113" t="s">
        <v>733</v>
      </c>
      <c r="S130" s="113" t="s">
        <v>293</v>
      </c>
      <c r="T130" s="113" t="s">
        <v>733</v>
      </c>
      <c r="U130" s="113" t="s">
        <v>733</v>
      </c>
      <c r="V130" s="113" t="s">
        <v>827</v>
      </c>
      <c r="W130" s="113" t="s">
        <v>929</v>
      </c>
      <c r="X130" s="3"/>
      <c r="Y130" s="3">
        <v>1</v>
      </c>
    </row>
    <row r="131" spans="3:25">
      <c r="C131" s="63" t="s">
        <v>0</v>
      </c>
      <c r="D131" s="63" t="s">
        <v>0</v>
      </c>
      <c r="E131" s="110" t="s">
        <v>844</v>
      </c>
      <c r="F131" s="111">
        <v>2672573314</v>
      </c>
      <c r="G131" s="63" t="s">
        <v>540</v>
      </c>
      <c r="H131" s="112">
        <v>21242031</v>
      </c>
      <c r="I131" s="116" t="s">
        <v>725</v>
      </c>
      <c r="J131" s="113" t="s">
        <v>56</v>
      </c>
      <c r="K131" s="109" t="s">
        <v>870</v>
      </c>
      <c r="L131" s="109"/>
      <c r="M131" s="114" t="s">
        <v>292</v>
      </c>
      <c r="N131" s="115">
        <v>45748</v>
      </c>
      <c r="O131" s="114" t="s">
        <v>292</v>
      </c>
      <c r="P131" s="73">
        <v>45962</v>
      </c>
      <c r="Q131" s="113" t="s">
        <v>733</v>
      </c>
      <c r="R131" s="113" t="s">
        <v>733</v>
      </c>
      <c r="S131" s="113" t="s">
        <v>733</v>
      </c>
      <c r="T131" s="113" t="s">
        <v>733</v>
      </c>
      <c r="U131" s="113" t="s">
        <v>733</v>
      </c>
      <c r="V131" s="113" t="s">
        <v>827</v>
      </c>
      <c r="W131" s="158" t="s">
        <v>931</v>
      </c>
      <c r="X131" s="3" t="s">
        <v>932</v>
      </c>
      <c r="Y131" s="3">
        <v>1</v>
      </c>
    </row>
    <row r="132" spans="3:25">
      <c r="C132" s="63" t="s">
        <v>0</v>
      </c>
      <c r="D132" s="63" t="s">
        <v>0</v>
      </c>
      <c r="E132" s="110" t="s">
        <v>844</v>
      </c>
      <c r="F132" s="111">
        <v>2672573314</v>
      </c>
      <c r="G132" s="63" t="s">
        <v>542</v>
      </c>
      <c r="H132" s="112">
        <v>17258128</v>
      </c>
      <c r="I132" s="109" t="s">
        <v>730</v>
      </c>
      <c r="J132" s="113" t="s">
        <v>56</v>
      </c>
      <c r="K132" s="109" t="s">
        <v>870</v>
      </c>
      <c r="L132" s="109"/>
      <c r="M132" s="114" t="s">
        <v>292</v>
      </c>
      <c r="N132" s="115">
        <v>45748</v>
      </c>
      <c r="O132" s="114" t="s">
        <v>292</v>
      </c>
      <c r="P132" s="73">
        <v>45962</v>
      </c>
      <c r="Q132" s="113" t="s">
        <v>293</v>
      </c>
      <c r="R132" s="113" t="s">
        <v>733</v>
      </c>
      <c r="S132" s="113" t="s">
        <v>293</v>
      </c>
      <c r="T132" s="113" t="s">
        <v>733</v>
      </c>
      <c r="U132" s="113" t="s">
        <v>733</v>
      </c>
      <c r="V132" s="113" t="s">
        <v>827</v>
      </c>
      <c r="W132" s="113" t="s">
        <v>929</v>
      </c>
      <c r="X132" s="3"/>
      <c r="Y132" s="3">
        <v>1</v>
      </c>
    </row>
    <row r="133" spans="3:25">
      <c r="C133" s="63" t="s">
        <v>0</v>
      </c>
      <c r="D133" s="63" t="s">
        <v>0</v>
      </c>
      <c r="E133" s="110" t="s">
        <v>844</v>
      </c>
      <c r="F133" s="111">
        <v>2672573314</v>
      </c>
      <c r="G133" s="63" t="s">
        <v>543</v>
      </c>
      <c r="H133" s="112">
        <v>26505710</v>
      </c>
      <c r="I133" s="116" t="s">
        <v>725</v>
      </c>
      <c r="J133" s="113" t="s">
        <v>56</v>
      </c>
      <c r="K133" s="109" t="s">
        <v>870</v>
      </c>
      <c r="L133" s="109"/>
      <c r="M133" s="114" t="s">
        <v>292</v>
      </c>
      <c r="N133" s="115">
        <v>45748</v>
      </c>
      <c r="O133" s="114" t="s">
        <v>292</v>
      </c>
      <c r="P133" s="73">
        <v>45962</v>
      </c>
      <c r="Q133" s="113" t="s">
        <v>293</v>
      </c>
      <c r="R133" s="113" t="s">
        <v>733</v>
      </c>
      <c r="S133" s="113" t="s">
        <v>293</v>
      </c>
      <c r="T133" s="113" t="s">
        <v>733</v>
      </c>
      <c r="U133" s="113" t="s">
        <v>733</v>
      </c>
      <c r="V133" s="113" t="s">
        <v>827</v>
      </c>
      <c r="W133" s="113" t="s">
        <v>929</v>
      </c>
      <c r="X133" s="3"/>
      <c r="Y133" s="3">
        <v>1</v>
      </c>
    </row>
    <row r="134" spans="3:25">
      <c r="C134" s="63" t="s">
        <v>0</v>
      </c>
      <c r="D134" s="63" t="s">
        <v>0</v>
      </c>
      <c r="E134" s="110" t="s">
        <v>844</v>
      </c>
      <c r="F134" s="111">
        <v>2672573314</v>
      </c>
      <c r="G134" s="63" t="s">
        <v>544</v>
      </c>
      <c r="H134" s="112">
        <v>12477987</v>
      </c>
      <c r="I134" s="116" t="s">
        <v>725</v>
      </c>
      <c r="J134" s="113" t="s">
        <v>56</v>
      </c>
      <c r="K134" s="109" t="s">
        <v>870</v>
      </c>
      <c r="L134" s="109"/>
      <c r="M134" s="114" t="s">
        <v>292</v>
      </c>
      <c r="N134" s="115">
        <v>45748</v>
      </c>
      <c r="O134" s="114" t="s">
        <v>292</v>
      </c>
      <c r="P134" s="73">
        <v>45962</v>
      </c>
      <c r="Q134" s="113" t="s">
        <v>293</v>
      </c>
      <c r="R134" s="113" t="s">
        <v>733</v>
      </c>
      <c r="S134" s="113" t="s">
        <v>293</v>
      </c>
      <c r="T134" s="113" t="s">
        <v>733</v>
      </c>
      <c r="U134" s="113" t="s">
        <v>733</v>
      </c>
      <c r="V134" s="113" t="s">
        <v>827</v>
      </c>
      <c r="W134" s="113" t="s">
        <v>929</v>
      </c>
      <c r="X134" s="3"/>
      <c r="Y134" s="3">
        <v>1</v>
      </c>
    </row>
    <row r="135" spans="3:25">
      <c r="C135" s="63" t="s">
        <v>0</v>
      </c>
      <c r="D135" s="63" t="s">
        <v>0</v>
      </c>
      <c r="E135" s="110" t="s">
        <v>844</v>
      </c>
      <c r="F135" s="111">
        <v>2672573314</v>
      </c>
      <c r="G135" s="63" t="s">
        <v>545</v>
      </c>
      <c r="H135" s="112">
        <v>10983025</v>
      </c>
      <c r="I135" s="116" t="s">
        <v>725</v>
      </c>
      <c r="J135" s="113" t="s">
        <v>56</v>
      </c>
      <c r="K135" s="109" t="s">
        <v>870</v>
      </c>
      <c r="L135" s="109"/>
      <c r="M135" s="114" t="s">
        <v>292</v>
      </c>
      <c r="N135" s="115">
        <v>45748</v>
      </c>
      <c r="O135" s="114" t="s">
        <v>292</v>
      </c>
      <c r="P135" s="73">
        <v>45962</v>
      </c>
      <c r="Q135" s="113" t="s">
        <v>293</v>
      </c>
      <c r="R135" s="113" t="s">
        <v>733</v>
      </c>
      <c r="S135" s="113" t="s">
        <v>293</v>
      </c>
      <c r="T135" s="113" t="s">
        <v>733</v>
      </c>
      <c r="U135" s="113" t="s">
        <v>733</v>
      </c>
      <c r="V135" s="113" t="s">
        <v>827</v>
      </c>
      <c r="W135" s="113" t="s">
        <v>929</v>
      </c>
      <c r="X135" s="3"/>
      <c r="Y135" s="3">
        <v>1</v>
      </c>
    </row>
    <row r="136" spans="3:25">
      <c r="C136" s="63" t="s">
        <v>0</v>
      </c>
      <c r="D136" s="63" t="s">
        <v>0</v>
      </c>
      <c r="E136" s="110" t="s">
        <v>844</v>
      </c>
      <c r="F136" s="111">
        <v>2672573314</v>
      </c>
      <c r="G136" s="63" t="s">
        <v>546</v>
      </c>
      <c r="H136" s="112">
        <v>19021731</v>
      </c>
      <c r="I136" s="109" t="s">
        <v>730</v>
      </c>
      <c r="J136" s="113" t="s">
        <v>56</v>
      </c>
      <c r="K136" s="109" t="s">
        <v>870</v>
      </c>
      <c r="L136" s="109"/>
      <c r="M136" s="114" t="s">
        <v>292</v>
      </c>
      <c r="N136" s="115">
        <v>45748</v>
      </c>
      <c r="O136" s="114" t="s">
        <v>292</v>
      </c>
      <c r="P136" s="73">
        <v>45962</v>
      </c>
      <c r="Q136" s="113" t="s">
        <v>293</v>
      </c>
      <c r="R136" s="113" t="s">
        <v>733</v>
      </c>
      <c r="S136" s="113" t="s">
        <v>293</v>
      </c>
      <c r="T136" s="113" t="s">
        <v>733</v>
      </c>
      <c r="U136" s="113" t="s">
        <v>733</v>
      </c>
      <c r="V136" s="113" t="s">
        <v>827</v>
      </c>
      <c r="W136" s="113" t="s">
        <v>929</v>
      </c>
      <c r="X136" s="3"/>
      <c r="Y136" s="3">
        <v>1</v>
      </c>
    </row>
    <row r="137" spans="3:25">
      <c r="C137" s="63" t="s">
        <v>0</v>
      </c>
      <c r="D137" s="63" t="s">
        <v>0</v>
      </c>
      <c r="E137" s="110" t="s">
        <v>844</v>
      </c>
      <c r="F137" s="111">
        <v>2672573314</v>
      </c>
      <c r="G137" s="63" t="s">
        <v>547</v>
      </c>
      <c r="H137" s="112">
        <v>24423848</v>
      </c>
      <c r="I137" s="109" t="s">
        <v>730</v>
      </c>
      <c r="J137" s="113" t="s">
        <v>56</v>
      </c>
      <c r="K137" s="109" t="s">
        <v>870</v>
      </c>
      <c r="L137" s="109"/>
      <c r="M137" s="114" t="s">
        <v>292</v>
      </c>
      <c r="N137" s="115">
        <v>45748</v>
      </c>
      <c r="O137" s="114" t="s">
        <v>292</v>
      </c>
      <c r="P137" s="73">
        <v>45962</v>
      </c>
      <c r="Q137" s="113" t="s">
        <v>293</v>
      </c>
      <c r="R137" s="113" t="s">
        <v>733</v>
      </c>
      <c r="S137" s="113" t="s">
        <v>293</v>
      </c>
      <c r="T137" s="113" t="s">
        <v>733</v>
      </c>
      <c r="U137" s="113" t="s">
        <v>733</v>
      </c>
      <c r="V137" s="113" t="s">
        <v>827</v>
      </c>
      <c r="W137" s="113" t="s">
        <v>929</v>
      </c>
      <c r="X137" s="3"/>
      <c r="Y137" s="3">
        <v>1</v>
      </c>
    </row>
    <row r="138" spans="3:25">
      <c r="C138" s="63" t="s">
        <v>0</v>
      </c>
      <c r="D138" s="63" t="s">
        <v>0</v>
      </c>
      <c r="E138" s="110" t="s">
        <v>844</v>
      </c>
      <c r="F138" s="111">
        <v>2672573314</v>
      </c>
      <c r="G138" s="63" t="s">
        <v>548</v>
      </c>
      <c r="H138" s="112">
        <v>17066007</v>
      </c>
      <c r="I138" s="109" t="s">
        <v>730</v>
      </c>
      <c r="J138" s="113" t="s">
        <v>56</v>
      </c>
      <c r="K138" s="109" t="s">
        <v>870</v>
      </c>
      <c r="L138" s="109"/>
      <c r="M138" s="114" t="s">
        <v>292</v>
      </c>
      <c r="N138" s="115">
        <v>45748</v>
      </c>
      <c r="O138" s="114" t="s">
        <v>292</v>
      </c>
      <c r="P138" s="73">
        <v>45962</v>
      </c>
      <c r="Q138" s="113" t="s">
        <v>293</v>
      </c>
      <c r="R138" s="113" t="s">
        <v>733</v>
      </c>
      <c r="S138" s="113" t="s">
        <v>293</v>
      </c>
      <c r="T138" s="113" t="s">
        <v>733</v>
      </c>
      <c r="U138" s="113" t="s">
        <v>733</v>
      </c>
      <c r="V138" s="113" t="s">
        <v>827</v>
      </c>
      <c r="W138" s="113" t="s">
        <v>929</v>
      </c>
      <c r="X138" s="3"/>
      <c r="Y138" s="3">
        <v>1</v>
      </c>
    </row>
    <row r="139" spans="3:25">
      <c r="C139" s="63" t="s">
        <v>0</v>
      </c>
      <c r="D139" s="63" t="s">
        <v>0</v>
      </c>
      <c r="E139" s="110" t="s">
        <v>844</v>
      </c>
      <c r="F139" s="111">
        <v>2672573314</v>
      </c>
      <c r="G139" s="63" t="s">
        <v>549</v>
      </c>
      <c r="H139" s="112">
        <v>19983654</v>
      </c>
      <c r="I139" s="116" t="s">
        <v>725</v>
      </c>
      <c r="J139" s="113" t="s">
        <v>56</v>
      </c>
      <c r="K139" s="109" t="s">
        <v>870</v>
      </c>
      <c r="L139" s="109"/>
      <c r="M139" s="114" t="s">
        <v>292</v>
      </c>
      <c r="N139" s="115">
        <v>45748</v>
      </c>
      <c r="O139" s="114" t="s">
        <v>292</v>
      </c>
      <c r="P139" s="73">
        <v>45962</v>
      </c>
      <c r="Q139" s="113" t="s">
        <v>293</v>
      </c>
      <c r="R139" s="113" t="s">
        <v>733</v>
      </c>
      <c r="S139" s="113" t="s">
        <v>293</v>
      </c>
      <c r="T139" s="113" t="s">
        <v>733</v>
      </c>
      <c r="U139" s="113" t="s">
        <v>733</v>
      </c>
      <c r="V139" s="113" t="s">
        <v>827</v>
      </c>
      <c r="W139" s="113" t="s">
        <v>929</v>
      </c>
      <c r="X139" s="3"/>
      <c r="Y139" s="3">
        <v>1</v>
      </c>
    </row>
    <row r="140" spans="3:25">
      <c r="C140" s="63" t="s">
        <v>0</v>
      </c>
      <c r="D140" s="63" t="s">
        <v>0</v>
      </c>
      <c r="E140" s="110" t="s">
        <v>844</v>
      </c>
      <c r="F140" s="111">
        <v>2672573314</v>
      </c>
      <c r="G140" s="63" t="s">
        <v>551</v>
      </c>
      <c r="H140" s="112">
        <v>20162683</v>
      </c>
      <c r="I140" s="109" t="s">
        <v>730</v>
      </c>
      <c r="J140" s="113" t="s">
        <v>56</v>
      </c>
      <c r="K140" s="109" t="s">
        <v>870</v>
      </c>
      <c r="L140" s="109"/>
      <c r="M140" s="114" t="s">
        <v>292</v>
      </c>
      <c r="N140" s="115">
        <v>45748</v>
      </c>
      <c r="O140" s="114" t="s">
        <v>292</v>
      </c>
      <c r="P140" s="73">
        <v>45962</v>
      </c>
      <c r="Q140" s="113" t="s">
        <v>293</v>
      </c>
      <c r="R140" s="113" t="s">
        <v>733</v>
      </c>
      <c r="S140" s="113" t="s">
        <v>293</v>
      </c>
      <c r="T140" s="113" t="s">
        <v>733</v>
      </c>
      <c r="U140" s="113" t="s">
        <v>733</v>
      </c>
      <c r="V140" s="113" t="s">
        <v>827</v>
      </c>
      <c r="W140" s="113" t="s">
        <v>929</v>
      </c>
      <c r="X140" s="3"/>
      <c r="Y140" s="3">
        <v>1</v>
      </c>
    </row>
    <row r="141" spans="3:25">
      <c r="C141" s="63" t="s">
        <v>0</v>
      </c>
      <c r="D141" s="63" t="s">
        <v>0</v>
      </c>
      <c r="E141" s="110" t="s">
        <v>844</v>
      </c>
      <c r="F141" s="111">
        <v>2672573314</v>
      </c>
      <c r="G141" s="63" t="s">
        <v>552</v>
      </c>
      <c r="H141" s="112">
        <v>25317710</v>
      </c>
      <c r="I141" s="109" t="s">
        <v>730</v>
      </c>
      <c r="J141" s="113" t="s">
        <v>56</v>
      </c>
      <c r="K141" s="109" t="s">
        <v>870</v>
      </c>
      <c r="L141" s="109"/>
      <c r="M141" s="114" t="s">
        <v>292</v>
      </c>
      <c r="N141" s="115">
        <v>45748</v>
      </c>
      <c r="O141" s="114" t="s">
        <v>292</v>
      </c>
      <c r="P141" s="73">
        <v>45962</v>
      </c>
      <c r="Q141" s="113" t="s">
        <v>293</v>
      </c>
      <c r="R141" s="113" t="s">
        <v>733</v>
      </c>
      <c r="S141" s="113" t="s">
        <v>293</v>
      </c>
      <c r="T141" s="113" t="s">
        <v>733</v>
      </c>
      <c r="U141" s="113" t="s">
        <v>733</v>
      </c>
      <c r="V141" s="113" t="s">
        <v>827</v>
      </c>
      <c r="W141" s="113" t="s">
        <v>929</v>
      </c>
      <c r="X141" s="3"/>
      <c r="Y141" s="3">
        <v>1</v>
      </c>
    </row>
    <row r="142" spans="3:25">
      <c r="C142" s="63" t="s">
        <v>0</v>
      </c>
      <c r="D142" s="63" t="s">
        <v>0</v>
      </c>
      <c r="E142" s="110" t="s">
        <v>844</v>
      </c>
      <c r="F142" s="111">
        <v>2672573314</v>
      </c>
      <c r="G142" s="63" t="s">
        <v>553</v>
      </c>
      <c r="H142" s="112">
        <v>13518832</v>
      </c>
      <c r="I142" s="116" t="s">
        <v>725</v>
      </c>
      <c r="J142" s="113" t="s">
        <v>56</v>
      </c>
      <c r="K142" s="109" t="s">
        <v>870</v>
      </c>
      <c r="L142" s="109"/>
      <c r="M142" s="114" t="s">
        <v>292</v>
      </c>
      <c r="N142" s="115">
        <v>45748</v>
      </c>
      <c r="O142" s="114" t="s">
        <v>292</v>
      </c>
      <c r="P142" s="73">
        <v>45962</v>
      </c>
      <c r="Q142" s="113" t="s">
        <v>293</v>
      </c>
      <c r="R142" s="113" t="s">
        <v>733</v>
      </c>
      <c r="S142" s="113" t="s">
        <v>293</v>
      </c>
      <c r="T142" s="113" t="s">
        <v>733</v>
      </c>
      <c r="U142" s="113" t="s">
        <v>733</v>
      </c>
      <c r="V142" s="113" t="s">
        <v>827</v>
      </c>
      <c r="W142" s="113" t="s">
        <v>929</v>
      </c>
      <c r="X142" s="3"/>
      <c r="Y142" s="3">
        <v>1</v>
      </c>
    </row>
    <row r="143" spans="3:25">
      <c r="C143" s="63" t="s">
        <v>0</v>
      </c>
      <c r="D143" s="63" t="s">
        <v>0</v>
      </c>
      <c r="E143" s="110" t="s">
        <v>844</v>
      </c>
      <c r="F143" s="111">
        <v>2672573314</v>
      </c>
      <c r="G143" s="63" t="s">
        <v>700</v>
      </c>
      <c r="H143" s="112">
        <v>19129032</v>
      </c>
      <c r="I143" s="109" t="s">
        <v>730</v>
      </c>
      <c r="J143" s="113" t="s">
        <v>56</v>
      </c>
      <c r="K143" s="109" t="s">
        <v>870</v>
      </c>
      <c r="L143" s="109"/>
      <c r="M143" s="114" t="s">
        <v>292</v>
      </c>
      <c r="N143" s="115">
        <v>45748</v>
      </c>
      <c r="O143" s="114" t="s">
        <v>292</v>
      </c>
      <c r="P143" s="73">
        <v>45962</v>
      </c>
      <c r="Q143" s="113" t="s">
        <v>293</v>
      </c>
      <c r="R143" s="113" t="s">
        <v>733</v>
      </c>
      <c r="S143" s="113" t="s">
        <v>293</v>
      </c>
      <c r="T143" s="113" t="s">
        <v>733</v>
      </c>
      <c r="U143" s="113" t="s">
        <v>733</v>
      </c>
      <c r="V143" s="113" t="s">
        <v>827</v>
      </c>
      <c r="W143" s="113" t="s">
        <v>929</v>
      </c>
      <c r="X143" s="3"/>
      <c r="Y143" s="3">
        <v>1</v>
      </c>
    </row>
    <row r="144" spans="3:25">
      <c r="C144" s="63" t="s">
        <v>0</v>
      </c>
      <c r="D144" s="63" t="s">
        <v>0</v>
      </c>
      <c r="E144" s="110" t="s">
        <v>844</v>
      </c>
      <c r="F144" s="111">
        <v>2672573314</v>
      </c>
      <c r="G144" s="63" t="s">
        <v>554</v>
      </c>
      <c r="H144" s="112">
        <v>15310284</v>
      </c>
      <c r="I144" s="116" t="s">
        <v>725</v>
      </c>
      <c r="J144" s="113" t="s">
        <v>56</v>
      </c>
      <c r="K144" s="109" t="s">
        <v>870</v>
      </c>
      <c r="L144" s="109"/>
      <c r="M144" s="114" t="s">
        <v>292</v>
      </c>
      <c r="N144" s="115">
        <v>45748</v>
      </c>
      <c r="O144" s="114" t="s">
        <v>292</v>
      </c>
      <c r="P144" s="73">
        <v>45962</v>
      </c>
      <c r="Q144" s="113" t="s">
        <v>293</v>
      </c>
      <c r="R144" s="113" t="s">
        <v>733</v>
      </c>
      <c r="S144" s="113" t="s">
        <v>293</v>
      </c>
      <c r="T144" s="113" t="s">
        <v>733</v>
      </c>
      <c r="U144" s="113" t="s">
        <v>733</v>
      </c>
      <c r="V144" s="113" t="s">
        <v>827</v>
      </c>
      <c r="W144" s="113" t="s">
        <v>929</v>
      </c>
      <c r="X144" s="3"/>
      <c r="Y144" s="3">
        <v>1</v>
      </c>
    </row>
    <row r="145" spans="3:25">
      <c r="C145" s="63" t="s">
        <v>0</v>
      </c>
      <c r="D145" s="63" t="s">
        <v>0</v>
      </c>
      <c r="E145" s="110" t="s">
        <v>844</v>
      </c>
      <c r="F145" s="111">
        <v>2672573314</v>
      </c>
      <c r="G145" s="63" t="s">
        <v>501</v>
      </c>
      <c r="H145" s="112">
        <v>22515360</v>
      </c>
      <c r="I145" s="116" t="s">
        <v>725</v>
      </c>
      <c r="J145" s="113" t="s">
        <v>56</v>
      </c>
      <c r="K145" s="109" t="s">
        <v>870</v>
      </c>
      <c r="L145" s="109"/>
      <c r="M145" s="114" t="s">
        <v>292</v>
      </c>
      <c r="N145" s="115">
        <v>45748</v>
      </c>
      <c r="O145" s="114" t="s">
        <v>292</v>
      </c>
      <c r="P145" s="73">
        <v>45962</v>
      </c>
      <c r="Q145" s="113" t="s">
        <v>293</v>
      </c>
      <c r="R145" s="113" t="s">
        <v>733</v>
      </c>
      <c r="S145" s="113" t="s">
        <v>293</v>
      </c>
      <c r="T145" s="113" t="s">
        <v>733</v>
      </c>
      <c r="U145" s="113" t="s">
        <v>733</v>
      </c>
      <c r="V145" s="113" t="s">
        <v>827</v>
      </c>
      <c r="W145" s="113" t="s">
        <v>929</v>
      </c>
      <c r="X145" s="3"/>
      <c r="Y145" s="3">
        <v>1</v>
      </c>
    </row>
    <row r="146" spans="3:25">
      <c r="C146" s="63" t="s">
        <v>0</v>
      </c>
      <c r="D146" s="63" t="s">
        <v>0</v>
      </c>
      <c r="E146" s="110" t="s">
        <v>844</v>
      </c>
      <c r="F146" s="111">
        <v>2672573314</v>
      </c>
      <c r="G146" s="63" t="s">
        <v>555</v>
      </c>
      <c r="H146" s="53">
        <v>29785845</v>
      </c>
      <c r="I146" s="109" t="s">
        <v>730</v>
      </c>
      <c r="J146" s="113" t="s">
        <v>53</v>
      </c>
      <c r="K146" s="109" t="s">
        <v>870</v>
      </c>
      <c r="L146" s="109"/>
      <c r="M146" s="114" t="s">
        <v>292</v>
      </c>
      <c r="N146" s="115">
        <v>45748</v>
      </c>
      <c r="O146" s="114" t="s">
        <v>292</v>
      </c>
      <c r="P146" s="73">
        <v>45962</v>
      </c>
      <c r="Q146" s="113" t="s">
        <v>293</v>
      </c>
      <c r="R146" s="113" t="s">
        <v>733</v>
      </c>
      <c r="S146" s="113" t="s">
        <v>293</v>
      </c>
      <c r="T146" s="113" t="s">
        <v>733</v>
      </c>
      <c r="U146" s="113" t="s">
        <v>733</v>
      </c>
      <c r="V146" s="113" t="s">
        <v>827</v>
      </c>
      <c r="W146" s="113" t="s">
        <v>929</v>
      </c>
      <c r="X146" s="3"/>
      <c r="Y146" s="3">
        <v>1</v>
      </c>
    </row>
    <row r="147" spans="3:25">
      <c r="C147" s="63" t="s">
        <v>0</v>
      </c>
      <c r="D147" s="63" t="s">
        <v>0</v>
      </c>
      <c r="E147" s="110" t="s">
        <v>844</v>
      </c>
      <c r="F147" s="111">
        <v>2672573314</v>
      </c>
      <c r="G147" s="63" t="s">
        <v>556</v>
      </c>
      <c r="H147" s="53">
        <v>18611964</v>
      </c>
      <c r="I147" s="109" t="s">
        <v>730</v>
      </c>
      <c r="J147" s="113" t="s">
        <v>53</v>
      </c>
      <c r="K147" s="109" t="s">
        <v>870</v>
      </c>
      <c r="L147" s="109"/>
      <c r="M147" s="114" t="s">
        <v>292</v>
      </c>
      <c r="N147" s="115">
        <v>45748</v>
      </c>
      <c r="O147" s="114" t="s">
        <v>292</v>
      </c>
      <c r="P147" s="73">
        <v>45962</v>
      </c>
      <c r="Q147" s="113" t="s">
        <v>293</v>
      </c>
      <c r="R147" s="113" t="s">
        <v>733</v>
      </c>
      <c r="S147" s="113" t="s">
        <v>293</v>
      </c>
      <c r="T147" s="113" t="s">
        <v>733</v>
      </c>
      <c r="U147" s="113" t="s">
        <v>733</v>
      </c>
      <c r="V147" s="113" t="s">
        <v>827</v>
      </c>
      <c r="W147" s="113" t="s">
        <v>929</v>
      </c>
      <c r="X147" s="3"/>
      <c r="Y147" s="3">
        <v>1</v>
      </c>
    </row>
    <row r="148" spans="3:25">
      <c r="C148" s="63" t="s">
        <v>0</v>
      </c>
      <c r="D148" s="63" t="s">
        <v>0</v>
      </c>
      <c r="E148" s="110" t="s">
        <v>844</v>
      </c>
      <c r="F148" s="111">
        <v>2672573314</v>
      </c>
      <c r="G148" s="63" t="s">
        <v>557</v>
      </c>
      <c r="H148" s="53">
        <v>17595772</v>
      </c>
      <c r="I148" s="109" t="s">
        <v>730</v>
      </c>
      <c r="J148" s="113" t="s">
        <v>53</v>
      </c>
      <c r="K148" s="109" t="s">
        <v>870</v>
      </c>
      <c r="L148" s="109"/>
      <c r="M148" s="114" t="s">
        <v>292</v>
      </c>
      <c r="N148" s="115">
        <v>45748</v>
      </c>
      <c r="O148" s="114" t="s">
        <v>292</v>
      </c>
      <c r="P148" s="73">
        <v>45962</v>
      </c>
      <c r="Q148" s="113" t="s">
        <v>293</v>
      </c>
      <c r="R148" s="113" t="s">
        <v>733</v>
      </c>
      <c r="S148" s="113" t="s">
        <v>293</v>
      </c>
      <c r="T148" s="113" t="s">
        <v>733</v>
      </c>
      <c r="U148" s="113" t="s">
        <v>733</v>
      </c>
      <c r="V148" s="113" t="s">
        <v>827</v>
      </c>
      <c r="W148" s="113" t="s">
        <v>929</v>
      </c>
      <c r="X148" s="3"/>
      <c r="Y148" s="3">
        <v>1</v>
      </c>
    </row>
    <row r="149" spans="3:25">
      <c r="C149" s="63" t="s">
        <v>0</v>
      </c>
      <c r="D149" s="63" t="s">
        <v>0</v>
      </c>
      <c r="E149" s="110" t="s">
        <v>844</v>
      </c>
      <c r="F149" s="111">
        <v>2672573314</v>
      </c>
      <c r="G149" s="63" t="s">
        <v>446</v>
      </c>
      <c r="H149" s="53">
        <v>30046821</v>
      </c>
      <c r="I149" s="116" t="s">
        <v>725</v>
      </c>
      <c r="J149" s="113" t="s">
        <v>53</v>
      </c>
      <c r="K149" s="109" t="s">
        <v>870</v>
      </c>
      <c r="L149" s="109"/>
      <c r="M149" s="114" t="s">
        <v>292</v>
      </c>
      <c r="N149" s="115">
        <v>45748</v>
      </c>
      <c r="O149" s="114" t="s">
        <v>292</v>
      </c>
      <c r="P149" s="73">
        <v>45962</v>
      </c>
      <c r="Q149" s="113" t="s">
        <v>293</v>
      </c>
      <c r="R149" s="113" t="s">
        <v>733</v>
      </c>
      <c r="S149" s="113" t="s">
        <v>293</v>
      </c>
      <c r="T149" s="113" t="s">
        <v>733</v>
      </c>
      <c r="U149" s="113" t="s">
        <v>733</v>
      </c>
      <c r="V149" s="113" t="s">
        <v>827</v>
      </c>
      <c r="W149" s="113" t="s">
        <v>929</v>
      </c>
      <c r="X149" s="3"/>
      <c r="Y149" s="3">
        <v>1</v>
      </c>
    </row>
    <row r="150" spans="3:25">
      <c r="C150" s="63" t="s">
        <v>0</v>
      </c>
      <c r="D150" s="63" t="s">
        <v>0</v>
      </c>
      <c r="E150" s="110" t="s">
        <v>844</v>
      </c>
      <c r="F150" s="111">
        <v>2672573314</v>
      </c>
      <c r="G150" s="63" t="s">
        <v>558</v>
      </c>
      <c r="H150" s="53">
        <v>17990552</v>
      </c>
      <c r="I150" s="116" t="s">
        <v>725</v>
      </c>
      <c r="J150" s="113" t="s">
        <v>53</v>
      </c>
      <c r="K150" s="109" t="s">
        <v>870</v>
      </c>
      <c r="L150" s="109"/>
      <c r="M150" s="114" t="s">
        <v>292</v>
      </c>
      <c r="N150" s="115">
        <v>45748</v>
      </c>
      <c r="O150" s="114" t="s">
        <v>292</v>
      </c>
      <c r="P150" s="73">
        <v>45962</v>
      </c>
      <c r="Q150" s="113" t="s">
        <v>293</v>
      </c>
      <c r="R150" s="113" t="s">
        <v>733</v>
      </c>
      <c r="S150" s="113" t="s">
        <v>293</v>
      </c>
      <c r="T150" s="113" t="s">
        <v>733</v>
      </c>
      <c r="U150" s="113" t="s">
        <v>733</v>
      </c>
      <c r="V150" s="113" t="s">
        <v>827</v>
      </c>
      <c r="W150" s="113" t="s">
        <v>929</v>
      </c>
      <c r="X150" s="3"/>
      <c r="Y150" s="3">
        <v>1</v>
      </c>
    </row>
    <row r="151" spans="3:25">
      <c r="C151" s="63" t="s">
        <v>0</v>
      </c>
      <c r="D151" s="63" t="s">
        <v>0</v>
      </c>
      <c r="E151" s="110" t="s">
        <v>844</v>
      </c>
      <c r="F151" s="111">
        <v>2672573314</v>
      </c>
      <c r="G151" s="63" t="s">
        <v>559</v>
      </c>
      <c r="H151" s="53">
        <v>18468285</v>
      </c>
      <c r="I151" s="116" t="s">
        <v>725</v>
      </c>
      <c r="J151" s="113" t="s">
        <v>53</v>
      </c>
      <c r="K151" s="109" t="s">
        <v>870</v>
      </c>
      <c r="L151" s="109"/>
      <c r="M151" s="114" t="s">
        <v>292</v>
      </c>
      <c r="N151" s="115">
        <v>45748</v>
      </c>
      <c r="O151" s="114" t="s">
        <v>292</v>
      </c>
      <c r="P151" s="73">
        <v>45962</v>
      </c>
      <c r="Q151" s="113" t="s">
        <v>293</v>
      </c>
      <c r="R151" s="113" t="s">
        <v>733</v>
      </c>
      <c r="S151" s="113" t="s">
        <v>293</v>
      </c>
      <c r="T151" s="113" t="s">
        <v>733</v>
      </c>
      <c r="U151" s="113" t="s">
        <v>733</v>
      </c>
      <c r="V151" s="113" t="s">
        <v>827</v>
      </c>
      <c r="W151" s="113" t="s">
        <v>929</v>
      </c>
      <c r="X151" s="3"/>
      <c r="Y151" s="3">
        <v>1</v>
      </c>
    </row>
    <row r="152" spans="3:25">
      <c r="C152" s="63" t="s">
        <v>0</v>
      </c>
      <c r="D152" s="63" t="s">
        <v>0</v>
      </c>
      <c r="E152" s="110" t="s">
        <v>844</v>
      </c>
      <c r="F152" s="111">
        <v>2672573314</v>
      </c>
      <c r="G152" s="63" t="s">
        <v>560</v>
      </c>
      <c r="H152" s="53">
        <v>18254802</v>
      </c>
      <c r="I152" s="116" t="s">
        <v>725</v>
      </c>
      <c r="J152" s="113" t="s">
        <v>53</v>
      </c>
      <c r="K152" s="109" t="s">
        <v>870</v>
      </c>
      <c r="L152" s="109"/>
      <c r="M152" s="114" t="s">
        <v>292</v>
      </c>
      <c r="N152" s="115">
        <v>45748</v>
      </c>
      <c r="O152" s="114" t="s">
        <v>292</v>
      </c>
      <c r="P152" s="73">
        <v>45962</v>
      </c>
      <c r="Q152" s="113" t="s">
        <v>293</v>
      </c>
      <c r="R152" s="113" t="s">
        <v>733</v>
      </c>
      <c r="S152" s="113" t="s">
        <v>293</v>
      </c>
      <c r="T152" s="113" t="s">
        <v>733</v>
      </c>
      <c r="U152" s="113" t="s">
        <v>733</v>
      </c>
      <c r="V152" s="113" t="s">
        <v>827</v>
      </c>
      <c r="W152" s="113" t="s">
        <v>929</v>
      </c>
      <c r="X152" s="3"/>
      <c r="Y152" s="3">
        <v>1</v>
      </c>
    </row>
    <row r="153" spans="3:25">
      <c r="C153" s="63" t="s">
        <v>0</v>
      </c>
      <c r="D153" s="63" t="s">
        <v>0</v>
      </c>
      <c r="E153" s="110" t="s">
        <v>844</v>
      </c>
      <c r="F153" s="111">
        <v>2672573314</v>
      </c>
      <c r="G153" s="63" t="s">
        <v>561</v>
      </c>
      <c r="H153" s="53">
        <v>20959115</v>
      </c>
      <c r="I153" s="116" t="s">
        <v>725</v>
      </c>
      <c r="J153" s="113" t="s">
        <v>56</v>
      </c>
      <c r="K153" s="109" t="s">
        <v>870</v>
      </c>
      <c r="L153" s="109"/>
      <c r="M153" s="114" t="s">
        <v>292</v>
      </c>
      <c r="N153" s="115">
        <v>45748</v>
      </c>
      <c r="O153" s="114" t="s">
        <v>292</v>
      </c>
      <c r="P153" s="73">
        <v>45962</v>
      </c>
      <c r="Q153" s="113" t="s">
        <v>293</v>
      </c>
      <c r="R153" s="113" t="s">
        <v>733</v>
      </c>
      <c r="S153" s="113" t="s">
        <v>293</v>
      </c>
      <c r="T153" s="113" t="s">
        <v>733</v>
      </c>
      <c r="U153" s="113" t="s">
        <v>733</v>
      </c>
      <c r="V153" s="113" t="s">
        <v>827</v>
      </c>
      <c r="W153" s="113" t="s">
        <v>929</v>
      </c>
      <c r="X153" s="3"/>
      <c r="Y153" s="3">
        <v>1</v>
      </c>
    </row>
    <row r="154" spans="3:25">
      <c r="C154" s="63" t="s">
        <v>0</v>
      </c>
      <c r="D154" s="63" t="s">
        <v>0</v>
      </c>
      <c r="E154" s="110" t="s">
        <v>844</v>
      </c>
      <c r="F154" s="111">
        <v>2672573314</v>
      </c>
      <c r="G154" s="63" t="s">
        <v>562</v>
      </c>
      <c r="H154" s="53">
        <v>10230740</v>
      </c>
      <c r="I154" s="109" t="s">
        <v>730</v>
      </c>
      <c r="J154" s="113" t="s">
        <v>56</v>
      </c>
      <c r="K154" s="109" t="s">
        <v>870</v>
      </c>
      <c r="L154" s="109"/>
      <c r="M154" s="114" t="s">
        <v>292</v>
      </c>
      <c r="N154" s="115">
        <v>45748</v>
      </c>
      <c r="O154" s="114" t="s">
        <v>292</v>
      </c>
      <c r="P154" s="73">
        <v>45962</v>
      </c>
      <c r="Q154" s="113" t="s">
        <v>293</v>
      </c>
      <c r="R154" s="113" t="s">
        <v>733</v>
      </c>
      <c r="S154" s="113" t="s">
        <v>293</v>
      </c>
      <c r="T154" s="113" t="s">
        <v>733</v>
      </c>
      <c r="U154" s="113" t="s">
        <v>733</v>
      </c>
      <c r="V154" s="113" t="s">
        <v>827</v>
      </c>
      <c r="W154" s="113" t="s">
        <v>929</v>
      </c>
      <c r="X154" s="3"/>
      <c r="Y154" s="3">
        <v>1</v>
      </c>
    </row>
    <row r="155" spans="3:25">
      <c r="C155" s="63" t="s">
        <v>0</v>
      </c>
      <c r="D155" s="63" t="s">
        <v>0</v>
      </c>
      <c r="E155" s="110" t="s">
        <v>844</v>
      </c>
      <c r="F155" s="111">
        <v>2672573314</v>
      </c>
      <c r="G155" s="63" t="s">
        <v>563</v>
      </c>
      <c r="H155" s="53">
        <v>6197994</v>
      </c>
      <c r="I155" s="109" t="s">
        <v>730</v>
      </c>
      <c r="J155" s="113" t="s">
        <v>56</v>
      </c>
      <c r="K155" s="109" t="s">
        <v>870</v>
      </c>
      <c r="L155" s="109"/>
      <c r="M155" s="114" t="s">
        <v>292</v>
      </c>
      <c r="N155" s="115">
        <v>45748</v>
      </c>
      <c r="O155" s="114" t="s">
        <v>292</v>
      </c>
      <c r="P155" s="73">
        <v>45962</v>
      </c>
      <c r="Q155" s="113" t="s">
        <v>293</v>
      </c>
      <c r="R155" s="113" t="s">
        <v>733</v>
      </c>
      <c r="S155" s="113" t="s">
        <v>293</v>
      </c>
      <c r="T155" s="113" t="s">
        <v>733</v>
      </c>
      <c r="U155" s="113" t="s">
        <v>733</v>
      </c>
      <c r="V155" s="113" t="s">
        <v>827</v>
      </c>
      <c r="W155" s="113" t="s">
        <v>929</v>
      </c>
      <c r="X155" s="3"/>
      <c r="Y155" s="3">
        <v>1</v>
      </c>
    </row>
    <row r="156" spans="3:25">
      <c r="C156" s="63" t="s">
        <v>0</v>
      </c>
      <c r="D156" s="63" t="s">
        <v>0</v>
      </c>
      <c r="E156" s="110" t="s">
        <v>844</v>
      </c>
      <c r="F156" s="111">
        <v>2672573314</v>
      </c>
      <c r="G156" s="63" t="s">
        <v>564</v>
      </c>
      <c r="H156" s="53">
        <v>15606713</v>
      </c>
      <c r="I156" s="116" t="s">
        <v>725</v>
      </c>
      <c r="J156" s="113" t="s">
        <v>56</v>
      </c>
      <c r="K156" s="109" t="s">
        <v>870</v>
      </c>
      <c r="L156" s="109"/>
      <c r="M156" s="114" t="s">
        <v>292</v>
      </c>
      <c r="N156" s="115">
        <v>45748</v>
      </c>
      <c r="O156" s="114" t="s">
        <v>292</v>
      </c>
      <c r="P156" s="73">
        <v>45962</v>
      </c>
      <c r="Q156" s="113" t="s">
        <v>293</v>
      </c>
      <c r="R156" s="113" t="s">
        <v>733</v>
      </c>
      <c r="S156" s="113" t="s">
        <v>293</v>
      </c>
      <c r="T156" s="113" t="s">
        <v>733</v>
      </c>
      <c r="U156" s="113" t="s">
        <v>733</v>
      </c>
      <c r="V156" s="113" t="s">
        <v>827</v>
      </c>
      <c r="W156" s="113" t="s">
        <v>929</v>
      </c>
      <c r="X156" s="3"/>
      <c r="Y156" s="3">
        <v>1</v>
      </c>
    </row>
    <row r="157" spans="3:25">
      <c r="C157" s="63" t="s">
        <v>0</v>
      </c>
      <c r="D157" s="63" t="s">
        <v>0</v>
      </c>
      <c r="E157" s="110" t="s">
        <v>844</v>
      </c>
      <c r="F157" s="111">
        <v>2672573314</v>
      </c>
      <c r="G157" s="63" t="s">
        <v>565</v>
      </c>
      <c r="H157" s="53">
        <v>25476329</v>
      </c>
      <c r="I157" s="116" t="s">
        <v>725</v>
      </c>
      <c r="J157" s="113" t="s">
        <v>56</v>
      </c>
      <c r="K157" s="109" t="s">
        <v>870</v>
      </c>
      <c r="L157" s="109"/>
      <c r="M157" s="114" t="s">
        <v>292</v>
      </c>
      <c r="N157" s="115">
        <v>45748</v>
      </c>
      <c r="O157" s="114" t="s">
        <v>292</v>
      </c>
      <c r="P157" s="73">
        <v>45962</v>
      </c>
      <c r="Q157" s="113" t="s">
        <v>293</v>
      </c>
      <c r="R157" s="113" t="s">
        <v>733</v>
      </c>
      <c r="S157" s="113" t="s">
        <v>293</v>
      </c>
      <c r="T157" s="113" t="s">
        <v>733</v>
      </c>
      <c r="U157" s="113" t="s">
        <v>733</v>
      </c>
      <c r="V157" s="113" t="s">
        <v>827</v>
      </c>
      <c r="W157" s="113" t="s">
        <v>929</v>
      </c>
      <c r="X157" s="3"/>
      <c r="Y157" s="3">
        <v>1</v>
      </c>
    </row>
    <row r="158" spans="3:25">
      <c r="C158" s="63" t="s">
        <v>0</v>
      </c>
      <c r="D158" s="63" t="s">
        <v>0</v>
      </c>
      <c r="E158" s="110" t="s">
        <v>844</v>
      </c>
      <c r="F158" s="111">
        <v>2672573314</v>
      </c>
      <c r="G158" s="63" t="s">
        <v>566</v>
      </c>
      <c r="H158" s="53">
        <v>17905449</v>
      </c>
      <c r="I158" s="109" t="s">
        <v>730</v>
      </c>
      <c r="J158" s="113" t="s">
        <v>56</v>
      </c>
      <c r="K158" s="109" t="s">
        <v>870</v>
      </c>
      <c r="L158" s="109"/>
      <c r="M158" s="114" t="s">
        <v>292</v>
      </c>
      <c r="N158" s="115">
        <v>45748</v>
      </c>
      <c r="O158" s="114" t="s">
        <v>292</v>
      </c>
      <c r="P158" s="73">
        <v>45962</v>
      </c>
      <c r="Q158" s="113" t="s">
        <v>293</v>
      </c>
      <c r="R158" s="113" t="s">
        <v>733</v>
      </c>
      <c r="S158" s="113" t="s">
        <v>293</v>
      </c>
      <c r="T158" s="113" t="s">
        <v>733</v>
      </c>
      <c r="U158" s="113" t="s">
        <v>733</v>
      </c>
      <c r="V158" s="113" t="s">
        <v>827</v>
      </c>
      <c r="W158" s="113" t="s">
        <v>929</v>
      </c>
      <c r="X158" s="3"/>
      <c r="Y158" s="3">
        <v>1</v>
      </c>
    </row>
    <row r="159" spans="3:25">
      <c r="C159" s="63" t="s">
        <v>0</v>
      </c>
      <c r="D159" s="63" t="s">
        <v>0</v>
      </c>
      <c r="E159" s="110" t="s">
        <v>844</v>
      </c>
      <c r="F159" s="111">
        <v>2672573314</v>
      </c>
      <c r="G159" s="63" t="s">
        <v>120</v>
      </c>
      <c r="H159" s="112">
        <v>24972191</v>
      </c>
      <c r="I159" s="109" t="s">
        <v>730</v>
      </c>
      <c r="J159" s="113" t="s">
        <v>55</v>
      </c>
      <c r="K159" s="109" t="s">
        <v>897</v>
      </c>
      <c r="L159" s="109" t="s">
        <v>896</v>
      </c>
      <c r="M159" s="114" t="s">
        <v>868</v>
      </c>
      <c r="N159" s="113" t="s">
        <v>733</v>
      </c>
      <c r="O159" s="114" t="s">
        <v>293</v>
      </c>
      <c r="P159" s="68" t="s">
        <v>733</v>
      </c>
      <c r="Q159" s="113" t="s">
        <v>293</v>
      </c>
      <c r="R159" s="113" t="s">
        <v>733</v>
      </c>
      <c r="S159" s="113" t="s">
        <v>293</v>
      </c>
      <c r="T159" s="113" t="s">
        <v>733</v>
      </c>
      <c r="U159" s="113" t="s">
        <v>733</v>
      </c>
      <c r="V159" s="113" t="s">
        <v>827</v>
      </c>
      <c r="W159" s="113" t="s">
        <v>929</v>
      </c>
      <c r="X159" s="3"/>
      <c r="Y159" s="3">
        <v>1</v>
      </c>
    </row>
    <row r="160" spans="3:25">
      <c r="C160" s="63" t="s">
        <v>0</v>
      </c>
      <c r="D160" s="63" t="s">
        <v>0</v>
      </c>
      <c r="E160" s="110" t="s">
        <v>844</v>
      </c>
      <c r="F160" s="111">
        <v>2672573314</v>
      </c>
      <c r="G160" s="63" t="s">
        <v>121</v>
      </c>
      <c r="H160" s="112">
        <v>18422251</v>
      </c>
      <c r="I160" s="109" t="s">
        <v>730</v>
      </c>
      <c r="J160" s="113" t="s">
        <v>55</v>
      </c>
      <c r="K160" s="109" t="s">
        <v>897</v>
      </c>
      <c r="L160" s="109" t="s">
        <v>896</v>
      </c>
      <c r="M160" s="114" t="s">
        <v>868</v>
      </c>
      <c r="N160" s="113" t="s">
        <v>733</v>
      </c>
      <c r="O160" s="114" t="s">
        <v>293</v>
      </c>
      <c r="P160" s="68" t="s">
        <v>733</v>
      </c>
      <c r="Q160" s="113" t="s">
        <v>293</v>
      </c>
      <c r="R160" s="113" t="s">
        <v>733</v>
      </c>
      <c r="S160" s="113" t="s">
        <v>293</v>
      </c>
      <c r="T160" s="113" t="s">
        <v>733</v>
      </c>
      <c r="U160" s="113" t="s">
        <v>733</v>
      </c>
      <c r="V160" s="113" t="s">
        <v>827</v>
      </c>
      <c r="W160" s="113" t="s">
        <v>929</v>
      </c>
      <c r="X160" s="3"/>
      <c r="Y160" s="3">
        <v>1</v>
      </c>
    </row>
    <row r="161" spans="3:25">
      <c r="C161" s="63" t="s">
        <v>0</v>
      </c>
      <c r="D161" s="63" t="s">
        <v>0</v>
      </c>
      <c r="E161" s="110" t="s">
        <v>844</v>
      </c>
      <c r="F161" s="111">
        <v>2672573314</v>
      </c>
      <c r="G161" s="63" t="s">
        <v>122</v>
      </c>
      <c r="H161" s="112">
        <v>14383233</v>
      </c>
      <c r="I161" s="109" t="s">
        <v>730</v>
      </c>
      <c r="J161" s="113" t="s">
        <v>56</v>
      </c>
      <c r="K161" s="109" t="s">
        <v>894</v>
      </c>
      <c r="L161" s="109" t="s">
        <v>895</v>
      </c>
      <c r="M161" s="114" t="s">
        <v>868</v>
      </c>
      <c r="N161" s="113" t="s">
        <v>733</v>
      </c>
      <c r="O161" s="114" t="s">
        <v>292</v>
      </c>
      <c r="P161" s="73">
        <v>45962</v>
      </c>
      <c r="Q161" s="113" t="s">
        <v>293</v>
      </c>
      <c r="R161" s="113" t="s">
        <v>733</v>
      </c>
      <c r="S161" s="113" t="s">
        <v>293</v>
      </c>
      <c r="T161" s="113" t="s">
        <v>733</v>
      </c>
      <c r="U161" s="113" t="s">
        <v>733</v>
      </c>
      <c r="V161" s="113" t="s">
        <v>827</v>
      </c>
      <c r="W161" s="113" t="s">
        <v>929</v>
      </c>
      <c r="X161" s="3"/>
      <c r="Y161" s="3">
        <v>1</v>
      </c>
    </row>
    <row r="162" spans="3:25">
      <c r="C162" s="63" t="s">
        <v>0</v>
      </c>
      <c r="D162" s="63" t="s">
        <v>0</v>
      </c>
      <c r="E162" s="110" t="s">
        <v>844</v>
      </c>
      <c r="F162" s="111">
        <v>2672573314</v>
      </c>
      <c r="G162" s="63" t="s">
        <v>740</v>
      </c>
      <c r="H162" s="112">
        <v>28082113</v>
      </c>
      <c r="I162" s="116" t="s">
        <v>725</v>
      </c>
      <c r="J162" s="113" t="s">
        <v>56</v>
      </c>
      <c r="K162" s="109" t="s">
        <v>894</v>
      </c>
      <c r="L162" s="109" t="s">
        <v>895</v>
      </c>
      <c r="M162" s="114" t="s">
        <v>868</v>
      </c>
      <c r="N162" s="113" t="s">
        <v>733</v>
      </c>
      <c r="O162" s="114" t="s">
        <v>293</v>
      </c>
      <c r="P162" s="68" t="s">
        <v>733</v>
      </c>
      <c r="Q162" s="113" t="s">
        <v>293</v>
      </c>
      <c r="R162" s="113" t="s">
        <v>733</v>
      </c>
      <c r="S162" s="113" t="s">
        <v>293</v>
      </c>
      <c r="T162" s="113" t="s">
        <v>733</v>
      </c>
      <c r="U162" s="113" t="s">
        <v>733</v>
      </c>
      <c r="V162" s="113" t="s">
        <v>827</v>
      </c>
      <c r="W162" s="113" t="s">
        <v>929</v>
      </c>
      <c r="X162" s="3"/>
      <c r="Y162" s="3">
        <v>1</v>
      </c>
    </row>
    <row r="163" spans="3:25">
      <c r="C163" s="63" t="s">
        <v>0</v>
      </c>
      <c r="D163" s="63" t="s">
        <v>0</v>
      </c>
      <c r="E163" s="110" t="s">
        <v>844</v>
      </c>
      <c r="F163" s="111">
        <v>2672573314</v>
      </c>
      <c r="G163" s="63" t="s">
        <v>124</v>
      </c>
      <c r="H163" s="112">
        <v>16104188</v>
      </c>
      <c r="I163" s="116" t="s">
        <v>725</v>
      </c>
      <c r="J163" s="113" t="s">
        <v>56</v>
      </c>
      <c r="K163" s="109" t="s">
        <v>894</v>
      </c>
      <c r="L163" s="109" t="s">
        <v>895</v>
      </c>
      <c r="M163" s="114" t="s">
        <v>868</v>
      </c>
      <c r="N163" s="113" t="s">
        <v>733</v>
      </c>
      <c r="O163" s="114" t="s">
        <v>292</v>
      </c>
      <c r="P163" s="73">
        <v>45962</v>
      </c>
      <c r="Q163" s="113" t="s">
        <v>293</v>
      </c>
      <c r="R163" s="113" t="s">
        <v>733</v>
      </c>
      <c r="S163" s="113" t="s">
        <v>293</v>
      </c>
      <c r="T163" s="113" t="s">
        <v>733</v>
      </c>
      <c r="U163" s="113" t="s">
        <v>733</v>
      </c>
      <c r="V163" s="113" t="s">
        <v>827</v>
      </c>
      <c r="W163" s="113" t="s">
        <v>929</v>
      </c>
      <c r="X163" s="3"/>
      <c r="Y163" s="3">
        <v>1</v>
      </c>
    </row>
    <row r="164" spans="3:25">
      <c r="C164" s="63" t="s">
        <v>0</v>
      </c>
      <c r="D164" s="63" t="s">
        <v>0</v>
      </c>
      <c r="E164" s="110" t="s">
        <v>844</v>
      </c>
      <c r="F164" s="111">
        <v>2672573314</v>
      </c>
      <c r="G164" s="63" t="s">
        <v>125</v>
      </c>
      <c r="H164" s="112">
        <v>26233912</v>
      </c>
      <c r="I164" s="109" t="s">
        <v>730</v>
      </c>
      <c r="J164" s="113" t="s">
        <v>56</v>
      </c>
      <c r="K164" s="109" t="s">
        <v>894</v>
      </c>
      <c r="L164" s="109" t="s">
        <v>895</v>
      </c>
      <c r="M164" s="114" t="s">
        <v>868</v>
      </c>
      <c r="N164" s="113" t="s">
        <v>733</v>
      </c>
      <c r="O164" s="114" t="s">
        <v>292</v>
      </c>
      <c r="P164" s="73">
        <v>45962</v>
      </c>
      <c r="Q164" s="113" t="s">
        <v>293</v>
      </c>
      <c r="R164" s="113" t="s">
        <v>733</v>
      </c>
      <c r="S164" s="113" t="s">
        <v>293</v>
      </c>
      <c r="T164" s="113" t="s">
        <v>733</v>
      </c>
      <c r="U164" s="113" t="s">
        <v>733</v>
      </c>
      <c r="V164" s="113" t="s">
        <v>827</v>
      </c>
      <c r="W164" s="113" t="s">
        <v>929</v>
      </c>
      <c r="X164" s="3"/>
      <c r="Y164" s="3">
        <v>1</v>
      </c>
    </row>
    <row r="165" spans="3:25">
      <c r="C165" s="63" t="s">
        <v>0</v>
      </c>
      <c r="D165" s="63" t="s">
        <v>0</v>
      </c>
      <c r="E165" s="110" t="s">
        <v>844</v>
      </c>
      <c r="F165" s="111">
        <v>2672573314</v>
      </c>
      <c r="G165" s="63" t="s">
        <v>126</v>
      </c>
      <c r="H165" s="112">
        <v>28529130</v>
      </c>
      <c r="I165" s="109" t="s">
        <v>730</v>
      </c>
      <c r="J165" s="113" t="s">
        <v>56</v>
      </c>
      <c r="K165" s="109" t="s">
        <v>894</v>
      </c>
      <c r="L165" s="109" t="s">
        <v>895</v>
      </c>
      <c r="M165" s="114" t="s">
        <v>868</v>
      </c>
      <c r="N165" s="113" t="s">
        <v>733</v>
      </c>
      <c r="O165" s="114" t="s">
        <v>292</v>
      </c>
      <c r="P165" s="73">
        <v>45962</v>
      </c>
      <c r="Q165" s="113" t="s">
        <v>293</v>
      </c>
      <c r="R165" s="113" t="s">
        <v>733</v>
      </c>
      <c r="S165" s="113" t="s">
        <v>293</v>
      </c>
      <c r="T165" s="113" t="s">
        <v>733</v>
      </c>
      <c r="U165" s="113" t="s">
        <v>733</v>
      </c>
      <c r="V165" s="113" t="s">
        <v>827</v>
      </c>
      <c r="W165" s="113" t="s">
        <v>929</v>
      </c>
      <c r="X165" s="3"/>
      <c r="Y165" s="3">
        <v>1</v>
      </c>
    </row>
    <row r="166" spans="3:25">
      <c r="C166" s="63" t="s">
        <v>0</v>
      </c>
      <c r="D166" s="63" t="s">
        <v>0</v>
      </c>
      <c r="E166" s="110" t="s">
        <v>844</v>
      </c>
      <c r="F166" s="111">
        <v>2672573314</v>
      </c>
      <c r="G166" s="63" t="s">
        <v>128</v>
      </c>
      <c r="H166" s="112">
        <v>20700337</v>
      </c>
      <c r="I166" s="109" t="s">
        <v>730</v>
      </c>
      <c r="J166" s="113" t="s">
        <v>56</v>
      </c>
      <c r="K166" s="109" t="s">
        <v>894</v>
      </c>
      <c r="L166" s="109" t="s">
        <v>895</v>
      </c>
      <c r="M166" s="114" t="s">
        <v>868</v>
      </c>
      <c r="N166" s="113" t="s">
        <v>733</v>
      </c>
      <c r="O166" s="114" t="s">
        <v>292</v>
      </c>
      <c r="P166" s="73">
        <v>45962</v>
      </c>
      <c r="Q166" s="113" t="s">
        <v>293</v>
      </c>
      <c r="R166" s="113" t="s">
        <v>733</v>
      </c>
      <c r="S166" s="113" t="s">
        <v>293</v>
      </c>
      <c r="T166" s="113" t="s">
        <v>733</v>
      </c>
      <c r="U166" s="113" t="s">
        <v>733</v>
      </c>
      <c r="V166" s="113" t="s">
        <v>827</v>
      </c>
      <c r="W166" s="113" t="s">
        <v>929</v>
      </c>
      <c r="X166" s="3"/>
      <c r="Y166" s="3">
        <v>1</v>
      </c>
    </row>
    <row r="167" spans="3:25">
      <c r="C167" s="63" t="s">
        <v>0</v>
      </c>
      <c r="D167" s="63" t="s">
        <v>0</v>
      </c>
      <c r="E167" s="110" t="s">
        <v>844</v>
      </c>
      <c r="F167" s="111">
        <v>2672573314</v>
      </c>
      <c r="G167" s="63" t="s">
        <v>129</v>
      </c>
      <c r="H167" s="112">
        <v>19667127</v>
      </c>
      <c r="I167" s="116" t="s">
        <v>725</v>
      </c>
      <c r="J167" s="113" t="s">
        <v>56</v>
      </c>
      <c r="K167" s="109" t="s">
        <v>894</v>
      </c>
      <c r="L167" s="109" t="s">
        <v>895</v>
      </c>
      <c r="M167" s="114" t="s">
        <v>868</v>
      </c>
      <c r="N167" s="113" t="s">
        <v>733</v>
      </c>
      <c r="O167" s="114" t="s">
        <v>292</v>
      </c>
      <c r="P167" s="73">
        <v>45962</v>
      </c>
      <c r="Q167" s="113" t="s">
        <v>293</v>
      </c>
      <c r="R167" s="113" t="s">
        <v>733</v>
      </c>
      <c r="S167" s="113" t="s">
        <v>293</v>
      </c>
      <c r="T167" s="113" t="s">
        <v>733</v>
      </c>
      <c r="U167" s="113" t="s">
        <v>733</v>
      </c>
      <c r="V167" s="113" t="s">
        <v>827</v>
      </c>
      <c r="W167" s="113" t="s">
        <v>929</v>
      </c>
      <c r="X167" s="3"/>
      <c r="Y167" s="3">
        <v>1</v>
      </c>
    </row>
    <row r="168" spans="3:25">
      <c r="C168" s="63" t="s">
        <v>0</v>
      </c>
      <c r="D168" s="63" t="s">
        <v>0</v>
      </c>
      <c r="E168" s="110" t="s">
        <v>844</v>
      </c>
      <c r="F168" s="111">
        <v>2672573314</v>
      </c>
      <c r="G168" s="63" t="s">
        <v>130</v>
      </c>
      <c r="H168" s="112">
        <v>24710684</v>
      </c>
      <c r="I168" s="109" t="s">
        <v>730</v>
      </c>
      <c r="J168" s="113" t="s">
        <v>56</v>
      </c>
      <c r="K168" s="109" t="s">
        <v>894</v>
      </c>
      <c r="L168" s="109" t="s">
        <v>895</v>
      </c>
      <c r="M168" s="114" t="s">
        <v>868</v>
      </c>
      <c r="N168" s="113" t="s">
        <v>733</v>
      </c>
      <c r="O168" s="114" t="s">
        <v>292</v>
      </c>
      <c r="P168" s="73">
        <v>45962</v>
      </c>
      <c r="Q168" s="113" t="s">
        <v>293</v>
      </c>
      <c r="R168" s="113" t="s">
        <v>733</v>
      </c>
      <c r="S168" s="113" t="s">
        <v>293</v>
      </c>
      <c r="T168" s="113" t="s">
        <v>733</v>
      </c>
      <c r="U168" s="113" t="s">
        <v>733</v>
      </c>
      <c r="V168" s="113" t="s">
        <v>827</v>
      </c>
      <c r="W168" s="113" t="s">
        <v>929</v>
      </c>
      <c r="X168" s="3"/>
      <c r="Y168" s="3">
        <v>1</v>
      </c>
    </row>
    <row r="169" spans="3:25">
      <c r="C169" s="63" t="s">
        <v>0</v>
      </c>
      <c r="D169" s="63" t="s">
        <v>0</v>
      </c>
      <c r="E169" s="110" t="s">
        <v>844</v>
      </c>
      <c r="F169" s="111">
        <v>2672573314</v>
      </c>
      <c r="G169" s="63" t="s">
        <v>131</v>
      </c>
      <c r="H169" s="112">
        <v>27084198</v>
      </c>
      <c r="I169" s="116" t="s">
        <v>725</v>
      </c>
      <c r="J169" s="113" t="s">
        <v>56</v>
      </c>
      <c r="K169" s="109" t="s">
        <v>894</v>
      </c>
      <c r="L169" s="109" t="s">
        <v>895</v>
      </c>
      <c r="M169" s="114" t="s">
        <v>868</v>
      </c>
      <c r="N169" s="113" t="s">
        <v>733</v>
      </c>
      <c r="O169" s="114" t="s">
        <v>292</v>
      </c>
      <c r="P169" s="73">
        <v>45962</v>
      </c>
      <c r="Q169" s="113" t="s">
        <v>293</v>
      </c>
      <c r="R169" s="113" t="s">
        <v>733</v>
      </c>
      <c r="S169" s="113" t="s">
        <v>293</v>
      </c>
      <c r="T169" s="113" t="s">
        <v>733</v>
      </c>
      <c r="U169" s="113" t="s">
        <v>733</v>
      </c>
      <c r="V169" s="113" t="s">
        <v>827</v>
      </c>
      <c r="W169" s="113" t="s">
        <v>929</v>
      </c>
      <c r="X169" s="3"/>
      <c r="Y169" s="3">
        <v>1</v>
      </c>
    </row>
    <row r="170" spans="3:25">
      <c r="C170" s="63" t="s">
        <v>0</v>
      </c>
      <c r="D170" s="63" t="s">
        <v>0</v>
      </c>
      <c r="E170" s="110" t="s">
        <v>844</v>
      </c>
      <c r="F170" s="111">
        <v>2672573314</v>
      </c>
      <c r="G170" s="63" t="s">
        <v>658</v>
      </c>
      <c r="H170" s="112">
        <v>19621336</v>
      </c>
      <c r="I170" s="116" t="s">
        <v>725</v>
      </c>
      <c r="J170" s="113" t="s">
        <v>56</v>
      </c>
      <c r="K170" s="109" t="s">
        <v>894</v>
      </c>
      <c r="L170" s="109" t="s">
        <v>895</v>
      </c>
      <c r="M170" s="114" t="s">
        <v>868</v>
      </c>
      <c r="N170" s="113" t="s">
        <v>733</v>
      </c>
      <c r="O170" s="114" t="s">
        <v>292</v>
      </c>
      <c r="P170" s="73">
        <v>45992</v>
      </c>
      <c r="Q170" s="113" t="s">
        <v>293</v>
      </c>
      <c r="R170" s="113" t="s">
        <v>733</v>
      </c>
      <c r="S170" s="113" t="s">
        <v>293</v>
      </c>
      <c r="T170" s="113" t="s">
        <v>733</v>
      </c>
      <c r="U170" s="113" t="s">
        <v>733</v>
      </c>
      <c r="V170" s="113" t="s">
        <v>827</v>
      </c>
      <c r="W170" s="113" t="s">
        <v>929</v>
      </c>
      <c r="X170" s="3"/>
      <c r="Y170" s="3">
        <v>1</v>
      </c>
    </row>
    <row r="171" spans="3:25">
      <c r="C171" s="63" t="s">
        <v>0</v>
      </c>
      <c r="D171" s="63" t="s">
        <v>0</v>
      </c>
      <c r="E171" s="110" t="s">
        <v>844</v>
      </c>
      <c r="F171" s="111">
        <v>2672573314</v>
      </c>
      <c r="G171" s="63" t="s">
        <v>133</v>
      </c>
      <c r="H171" s="112">
        <v>15496280</v>
      </c>
      <c r="I171" s="109" t="s">
        <v>730</v>
      </c>
      <c r="J171" s="113" t="s">
        <v>56</v>
      </c>
      <c r="K171" s="109" t="s">
        <v>894</v>
      </c>
      <c r="L171" s="109" t="s">
        <v>895</v>
      </c>
      <c r="M171" s="114" t="s">
        <v>868</v>
      </c>
      <c r="N171" s="113" t="s">
        <v>733</v>
      </c>
      <c r="O171" s="114" t="s">
        <v>292</v>
      </c>
      <c r="P171" s="73">
        <v>45962</v>
      </c>
      <c r="Q171" s="113" t="s">
        <v>293</v>
      </c>
      <c r="R171" s="113" t="s">
        <v>733</v>
      </c>
      <c r="S171" s="113" t="s">
        <v>293</v>
      </c>
      <c r="T171" s="113" t="s">
        <v>733</v>
      </c>
      <c r="U171" s="113" t="s">
        <v>733</v>
      </c>
      <c r="V171" s="113" t="s">
        <v>827</v>
      </c>
      <c r="W171" s="113" t="s">
        <v>929</v>
      </c>
      <c r="X171" s="3"/>
      <c r="Y171" s="3">
        <v>1</v>
      </c>
    </row>
    <row r="172" spans="3:25">
      <c r="C172" s="63" t="s">
        <v>0</v>
      </c>
      <c r="D172" s="63" t="s">
        <v>0</v>
      </c>
      <c r="E172" s="110" t="s">
        <v>844</v>
      </c>
      <c r="F172" s="111">
        <v>2672573314</v>
      </c>
      <c r="G172" s="63" t="s">
        <v>134</v>
      </c>
      <c r="H172" s="112">
        <v>24859431</v>
      </c>
      <c r="I172" s="116" t="s">
        <v>725</v>
      </c>
      <c r="J172" s="113" t="s">
        <v>56</v>
      </c>
      <c r="K172" s="109" t="s">
        <v>894</v>
      </c>
      <c r="L172" s="109" t="s">
        <v>895</v>
      </c>
      <c r="M172" s="114" t="s">
        <v>868</v>
      </c>
      <c r="N172" s="113" t="s">
        <v>733</v>
      </c>
      <c r="O172" s="114" t="s">
        <v>292</v>
      </c>
      <c r="P172" s="73">
        <v>45962</v>
      </c>
      <c r="Q172" s="113" t="s">
        <v>293</v>
      </c>
      <c r="R172" s="113" t="s">
        <v>733</v>
      </c>
      <c r="S172" s="113" t="s">
        <v>293</v>
      </c>
      <c r="T172" s="113" t="s">
        <v>733</v>
      </c>
      <c r="U172" s="113" t="s">
        <v>733</v>
      </c>
      <c r="V172" s="113" t="s">
        <v>827</v>
      </c>
      <c r="W172" s="113" t="s">
        <v>929</v>
      </c>
      <c r="X172" s="3"/>
      <c r="Y172" s="3">
        <v>1</v>
      </c>
    </row>
    <row r="173" spans="3:25">
      <c r="C173" s="63" t="s">
        <v>0</v>
      </c>
      <c r="D173" s="63" t="s">
        <v>0</v>
      </c>
      <c r="E173" s="110" t="s">
        <v>844</v>
      </c>
      <c r="F173" s="111">
        <v>2672573314</v>
      </c>
      <c r="G173" s="63" t="s">
        <v>135</v>
      </c>
      <c r="H173" s="112">
        <v>12753168</v>
      </c>
      <c r="I173" s="109" t="s">
        <v>730</v>
      </c>
      <c r="J173" s="113" t="s">
        <v>56</v>
      </c>
      <c r="K173" s="109" t="s">
        <v>894</v>
      </c>
      <c r="L173" s="109" t="s">
        <v>895</v>
      </c>
      <c r="M173" s="114" t="s">
        <v>868</v>
      </c>
      <c r="N173" s="113" t="s">
        <v>733</v>
      </c>
      <c r="O173" s="114" t="s">
        <v>292</v>
      </c>
      <c r="P173" s="73">
        <v>45962</v>
      </c>
      <c r="Q173" s="113" t="s">
        <v>293</v>
      </c>
      <c r="R173" s="113" t="s">
        <v>733</v>
      </c>
      <c r="S173" s="113" t="s">
        <v>293</v>
      </c>
      <c r="T173" s="113" t="s">
        <v>733</v>
      </c>
      <c r="U173" s="113" t="s">
        <v>733</v>
      </c>
      <c r="V173" s="113" t="s">
        <v>827</v>
      </c>
      <c r="W173" s="113" t="s">
        <v>929</v>
      </c>
      <c r="X173" s="3"/>
      <c r="Y173" s="3">
        <v>1</v>
      </c>
    </row>
    <row r="174" spans="3:25">
      <c r="C174" s="63" t="s">
        <v>0</v>
      </c>
      <c r="D174" s="63" t="s">
        <v>0</v>
      </c>
      <c r="E174" s="110" t="s">
        <v>844</v>
      </c>
      <c r="F174" s="111">
        <v>2672573314</v>
      </c>
      <c r="G174" s="63" t="s">
        <v>136</v>
      </c>
      <c r="H174" s="112">
        <v>19666658</v>
      </c>
      <c r="I174" s="116" t="s">
        <v>725</v>
      </c>
      <c r="J174" s="113" t="s">
        <v>56</v>
      </c>
      <c r="K174" s="109" t="s">
        <v>894</v>
      </c>
      <c r="L174" s="109" t="s">
        <v>895</v>
      </c>
      <c r="M174" s="114" t="s">
        <v>868</v>
      </c>
      <c r="N174" s="113" t="s">
        <v>733</v>
      </c>
      <c r="O174" s="114" t="s">
        <v>292</v>
      </c>
      <c r="P174" s="73">
        <v>45962</v>
      </c>
      <c r="Q174" s="113" t="s">
        <v>293</v>
      </c>
      <c r="R174" s="113" t="s">
        <v>733</v>
      </c>
      <c r="S174" s="113" t="s">
        <v>293</v>
      </c>
      <c r="T174" s="113" t="s">
        <v>733</v>
      </c>
      <c r="U174" s="113" t="s">
        <v>733</v>
      </c>
      <c r="V174" s="113" t="s">
        <v>827</v>
      </c>
      <c r="W174" s="113" t="s">
        <v>929</v>
      </c>
      <c r="X174" s="3"/>
      <c r="Y174" s="3">
        <v>1</v>
      </c>
    </row>
    <row r="175" spans="3:25">
      <c r="C175" s="63" t="s">
        <v>0</v>
      </c>
      <c r="D175" s="63" t="s">
        <v>0</v>
      </c>
      <c r="E175" s="110" t="s">
        <v>844</v>
      </c>
      <c r="F175" s="111">
        <v>2672573314</v>
      </c>
      <c r="G175" s="63" t="s">
        <v>504</v>
      </c>
      <c r="H175" s="112">
        <v>15653907</v>
      </c>
      <c r="I175" s="109" t="s">
        <v>730</v>
      </c>
      <c r="J175" s="113" t="s">
        <v>56</v>
      </c>
      <c r="K175" s="109" t="s">
        <v>898</v>
      </c>
      <c r="L175" s="109" t="s">
        <v>893</v>
      </c>
      <c r="M175" s="114" t="s">
        <v>868</v>
      </c>
      <c r="N175" s="113" t="s">
        <v>733</v>
      </c>
      <c r="O175" s="114" t="s">
        <v>293</v>
      </c>
      <c r="P175" s="68" t="s">
        <v>733</v>
      </c>
      <c r="Q175" s="113" t="s">
        <v>293</v>
      </c>
      <c r="R175" s="113" t="s">
        <v>733</v>
      </c>
      <c r="S175" s="113" t="s">
        <v>293</v>
      </c>
      <c r="T175" s="113" t="s">
        <v>733</v>
      </c>
      <c r="U175" s="113" t="s">
        <v>733</v>
      </c>
      <c r="V175" s="113" t="s">
        <v>827</v>
      </c>
      <c r="W175" s="113" t="s">
        <v>929</v>
      </c>
      <c r="X175" s="3"/>
      <c r="Y175" s="3">
        <v>1</v>
      </c>
    </row>
    <row r="176" spans="3:25">
      <c r="C176" s="63" t="s">
        <v>0</v>
      </c>
      <c r="D176" s="63" t="s">
        <v>0</v>
      </c>
      <c r="E176" s="110" t="s">
        <v>844</v>
      </c>
      <c r="F176" s="111">
        <v>2672573314</v>
      </c>
      <c r="G176" s="63" t="s">
        <v>745</v>
      </c>
      <c r="H176" s="112">
        <v>83028013</v>
      </c>
      <c r="I176" s="109" t="s">
        <v>706</v>
      </c>
      <c r="J176" s="113" t="s">
        <v>414</v>
      </c>
      <c r="K176" s="109" t="s">
        <v>870</v>
      </c>
      <c r="L176" s="109"/>
      <c r="M176" s="114" t="s">
        <v>868</v>
      </c>
      <c r="N176" s="113" t="s">
        <v>733</v>
      </c>
      <c r="O176" s="114" t="s">
        <v>293</v>
      </c>
      <c r="P176" s="68" t="s">
        <v>733</v>
      </c>
      <c r="Q176" s="113" t="s">
        <v>293</v>
      </c>
      <c r="R176" s="113" t="s">
        <v>733</v>
      </c>
      <c r="S176" s="113" t="s">
        <v>293</v>
      </c>
      <c r="T176" s="113" t="s">
        <v>733</v>
      </c>
      <c r="U176" s="113" t="s">
        <v>733</v>
      </c>
      <c r="V176" s="113" t="s">
        <v>827</v>
      </c>
      <c r="W176" s="113" t="s">
        <v>929</v>
      </c>
      <c r="X176" s="3"/>
      <c r="Y176" s="3">
        <v>1</v>
      </c>
    </row>
    <row r="177" spans="3:25">
      <c r="C177" s="63" t="s">
        <v>0</v>
      </c>
      <c r="D177" s="63" t="s">
        <v>0</v>
      </c>
      <c r="E177" s="110" t="s">
        <v>844</v>
      </c>
      <c r="F177" s="111">
        <v>2672573314</v>
      </c>
      <c r="G177" s="63" t="s">
        <v>746</v>
      </c>
      <c r="H177" s="112">
        <v>14024246</v>
      </c>
      <c r="I177" s="109" t="s">
        <v>706</v>
      </c>
      <c r="J177" s="113" t="s">
        <v>727</v>
      </c>
      <c r="K177" s="109" t="s">
        <v>900</v>
      </c>
      <c r="L177" s="109" t="s">
        <v>901</v>
      </c>
      <c r="M177" s="114" t="s">
        <v>868</v>
      </c>
      <c r="N177" s="113" t="s">
        <v>733</v>
      </c>
      <c r="O177" s="114" t="s">
        <v>293</v>
      </c>
      <c r="P177" s="68" t="s">
        <v>733</v>
      </c>
      <c r="Q177" s="113" t="s">
        <v>293</v>
      </c>
      <c r="R177" s="113" t="s">
        <v>733</v>
      </c>
      <c r="S177" s="113" t="s">
        <v>293</v>
      </c>
      <c r="T177" s="113" t="s">
        <v>733</v>
      </c>
      <c r="U177" s="113" t="s">
        <v>733</v>
      </c>
      <c r="V177" s="113" t="s">
        <v>827</v>
      </c>
      <c r="W177" s="113" t="s">
        <v>929</v>
      </c>
      <c r="X177" s="3"/>
      <c r="Y177" s="3">
        <v>1</v>
      </c>
    </row>
    <row r="178" spans="3:25">
      <c r="C178" s="63" t="s">
        <v>0</v>
      </c>
      <c r="D178" s="63" t="s">
        <v>0</v>
      </c>
      <c r="E178" s="110" t="s">
        <v>844</v>
      </c>
      <c r="F178" s="111">
        <v>2672573314</v>
      </c>
      <c r="G178" s="63" t="s">
        <v>747</v>
      </c>
      <c r="H178" s="112">
        <v>19667981</v>
      </c>
      <c r="I178" s="109" t="s">
        <v>706</v>
      </c>
      <c r="J178" s="113" t="s">
        <v>405</v>
      </c>
      <c r="K178" s="109" t="s">
        <v>900</v>
      </c>
      <c r="L178" s="109" t="s">
        <v>901</v>
      </c>
      <c r="M178" s="114" t="s">
        <v>868</v>
      </c>
      <c r="N178" s="113" t="s">
        <v>733</v>
      </c>
      <c r="O178" s="114" t="s">
        <v>293</v>
      </c>
      <c r="P178" s="68" t="s">
        <v>733</v>
      </c>
      <c r="Q178" s="113" t="s">
        <v>293</v>
      </c>
      <c r="R178" s="113" t="s">
        <v>733</v>
      </c>
      <c r="S178" s="113" t="s">
        <v>293</v>
      </c>
      <c r="T178" s="113" t="s">
        <v>733</v>
      </c>
      <c r="U178" s="113" t="s">
        <v>733</v>
      </c>
      <c r="V178" s="113" t="s">
        <v>827</v>
      </c>
      <c r="W178" s="113" t="s">
        <v>929</v>
      </c>
      <c r="X178" s="3"/>
      <c r="Y178" s="3">
        <v>1</v>
      </c>
    </row>
    <row r="179" spans="3:25">
      <c r="C179" s="63" t="s">
        <v>0</v>
      </c>
      <c r="D179" s="63" t="s">
        <v>0</v>
      </c>
      <c r="E179" s="110" t="s">
        <v>844</v>
      </c>
      <c r="F179" s="111">
        <v>2672573314</v>
      </c>
      <c r="G179" s="63" t="s">
        <v>748</v>
      </c>
      <c r="H179" s="112">
        <v>26011552</v>
      </c>
      <c r="I179" s="109" t="s">
        <v>706</v>
      </c>
      <c r="J179" s="113" t="s">
        <v>750</v>
      </c>
      <c r="K179" s="109" t="s">
        <v>900</v>
      </c>
      <c r="L179" s="109" t="s">
        <v>901</v>
      </c>
      <c r="M179" s="114" t="s">
        <v>868</v>
      </c>
      <c r="N179" s="113" t="s">
        <v>733</v>
      </c>
      <c r="O179" s="114" t="s">
        <v>293</v>
      </c>
      <c r="P179" s="68" t="s">
        <v>733</v>
      </c>
      <c r="Q179" s="113" t="s">
        <v>293</v>
      </c>
      <c r="R179" s="113" t="s">
        <v>733</v>
      </c>
      <c r="S179" s="113" t="s">
        <v>293</v>
      </c>
      <c r="T179" s="113" t="s">
        <v>733</v>
      </c>
      <c r="U179" s="113" t="s">
        <v>733</v>
      </c>
      <c r="V179" s="113" t="s">
        <v>827</v>
      </c>
      <c r="W179" s="113" t="s">
        <v>929</v>
      </c>
      <c r="X179" s="3"/>
      <c r="Y179" s="3">
        <v>1</v>
      </c>
    </row>
    <row r="180" spans="3:25">
      <c r="C180" s="63" t="s">
        <v>0</v>
      </c>
      <c r="D180" s="63" t="s">
        <v>0</v>
      </c>
      <c r="E180" s="110" t="s">
        <v>844</v>
      </c>
      <c r="F180" s="111">
        <v>2672573314</v>
      </c>
      <c r="G180" s="63" t="s">
        <v>749</v>
      </c>
      <c r="H180" s="112">
        <v>27548134</v>
      </c>
      <c r="I180" s="109" t="s">
        <v>706</v>
      </c>
      <c r="J180" s="113" t="s">
        <v>750</v>
      </c>
      <c r="K180" s="109" t="s">
        <v>870</v>
      </c>
      <c r="L180" s="109"/>
      <c r="M180" s="114" t="s">
        <v>868</v>
      </c>
      <c r="N180" s="113" t="s">
        <v>733</v>
      </c>
      <c r="O180" s="114" t="s">
        <v>293</v>
      </c>
      <c r="P180" s="68" t="s">
        <v>733</v>
      </c>
      <c r="Q180" s="113" t="s">
        <v>293</v>
      </c>
      <c r="R180" s="113" t="s">
        <v>733</v>
      </c>
      <c r="S180" s="113" t="s">
        <v>293</v>
      </c>
      <c r="T180" s="113" t="s">
        <v>733</v>
      </c>
      <c r="U180" s="113" t="s">
        <v>733</v>
      </c>
      <c r="V180" s="113" t="s">
        <v>827</v>
      </c>
      <c r="W180" s="113" t="s">
        <v>929</v>
      </c>
      <c r="X180" s="3"/>
      <c r="Y180" s="3">
        <v>1</v>
      </c>
    </row>
    <row r="181" spans="3:25">
      <c r="C181" s="63" t="s">
        <v>0</v>
      </c>
      <c r="D181" s="63" t="s">
        <v>0</v>
      </c>
      <c r="E181" s="110" t="s">
        <v>844</v>
      </c>
      <c r="F181" s="111">
        <v>2672573314</v>
      </c>
      <c r="G181" s="63" t="s">
        <v>508</v>
      </c>
      <c r="H181" s="112">
        <v>16447676</v>
      </c>
      <c r="I181" s="116" t="s">
        <v>725</v>
      </c>
      <c r="J181" s="113" t="s">
        <v>56</v>
      </c>
      <c r="K181" s="109" t="s">
        <v>898</v>
      </c>
      <c r="L181" s="109" t="s">
        <v>893</v>
      </c>
      <c r="M181" s="114" t="s">
        <v>868</v>
      </c>
      <c r="N181" s="113" t="s">
        <v>733</v>
      </c>
      <c r="O181" s="114" t="s">
        <v>292</v>
      </c>
      <c r="P181" s="73">
        <v>45962</v>
      </c>
      <c r="Q181" s="113" t="s">
        <v>293</v>
      </c>
      <c r="R181" s="113" t="s">
        <v>733</v>
      </c>
      <c r="S181" s="113" t="s">
        <v>293</v>
      </c>
      <c r="T181" s="113" t="s">
        <v>733</v>
      </c>
      <c r="U181" s="113" t="s">
        <v>733</v>
      </c>
      <c r="V181" s="113" t="s">
        <v>827</v>
      </c>
      <c r="W181" s="113" t="s">
        <v>929</v>
      </c>
      <c r="X181" s="3"/>
      <c r="Y181" s="3">
        <v>1</v>
      </c>
    </row>
    <row r="182" spans="3:25">
      <c r="C182" s="63" t="s">
        <v>0</v>
      </c>
      <c r="D182" s="63" t="s">
        <v>0</v>
      </c>
      <c r="E182" s="110" t="s">
        <v>844</v>
      </c>
      <c r="F182" s="111">
        <v>2672573314</v>
      </c>
      <c r="G182" s="63" t="s">
        <v>751</v>
      </c>
      <c r="H182" s="112">
        <v>18085675</v>
      </c>
      <c r="I182" s="116" t="s">
        <v>410</v>
      </c>
      <c r="J182" s="113" t="s">
        <v>752</v>
      </c>
      <c r="K182" s="109" t="s">
        <v>870</v>
      </c>
      <c r="L182" s="109"/>
      <c r="M182" s="114" t="s">
        <v>868</v>
      </c>
      <c r="N182" s="113" t="s">
        <v>733</v>
      </c>
      <c r="O182" s="114" t="s">
        <v>293</v>
      </c>
      <c r="P182" s="68" t="s">
        <v>733</v>
      </c>
      <c r="Q182" s="113" t="s">
        <v>293</v>
      </c>
      <c r="R182" s="113" t="s">
        <v>733</v>
      </c>
      <c r="S182" s="113" t="s">
        <v>293</v>
      </c>
      <c r="T182" s="113" t="s">
        <v>733</v>
      </c>
      <c r="U182" s="113" t="s">
        <v>733</v>
      </c>
      <c r="V182" s="113" t="s">
        <v>827</v>
      </c>
      <c r="W182" s="113" t="s">
        <v>929</v>
      </c>
      <c r="X182" s="3"/>
      <c r="Y182" s="3">
        <v>1</v>
      </c>
    </row>
    <row r="183" spans="3:25">
      <c r="C183" s="63" t="s">
        <v>0</v>
      </c>
      <c r="D183" s="63" t="s">
        <v>0</v>
      </c>
      <c r="E183" s="110" t="s">
        <v>844</v>
      </c>
      <c r="F183" s="111">
        <v>2672573314</v>
      </c>
      <c r="G183" s="63" t="s">
        <v>753</v>
      </c>
      <c r="H183" s="112">
        <v>27550821</v>
      </c>
      <c r="I183" s="116" t="s">
        <v>410</v>
      </c>
      <c r="J183" s="113" t="s">
        <v>755</v>
      </c>
      <c r="K183" s="109" t="s">
        <v>870</v>
      </c>
      <c r="L183" s="109"/>
      <c r="M183" s="114" t="s">
        <v>868</v>
      </c>
      <c r="N183" s="113" t="s">
        <v>733</v>
      </c>
      <c r="O183" s="114" t="s">
        <v>293</v>
      </c>
      <c r="P183" s="68" t="s">
        <v>733</v>
      </c>
      <c r="Q183" s="113" t="s">
        <v>293</v>
      </c>
      <c r="R183" s="113" t="s">
        <v>733</v>
      </c>
      <c r="S183" s="113" t="s">
        <v>293</v>
      </c>
      <c r="T183" s="113" t="s">
        <v>733</v>
      </c>
      <c r="U183" s="113" t="s">
        <v>733</v>
      </c>
      <c r="V183" s="113" t="s">
        <v>827</v>
      </c>
      <c r="W183" s="113" t="s">
        <v>929</v>
      </c>
      <c r="X183" s="3"/>
      <c r="Y183" s="3">
        <v>1</v>
      </c>
    </row>
    <row r="184" spans="3:25" s="70" customFormat="1">
      <c r="C184" s="63" t="s">
        <v>0</v>
      </c>
      <c r="D184" s="63" t="s">
        <v>0</v>
      </c>
      <c r="E184" s="110" t="s">
        <v>844</v>
      </c>
      <c r="F184" s="111">
        <v>2672573314</v>
      </c>
      <c r="G184" s="63" t="s">
        <v>756</v>
      </c>
      <c r="H184" s="112">
        <v>20731312</v>
      </c>
      <c r="I184" s="116" t="s">
        <v>410</v>
      </c>
      <c r="J184" s="113" t="s">
        <v>727</v>
      </c>
      <c r="K184" s="109" t="s">
        <v>870</v>
      </c>
      <c r="L184" s="109"/>
      <c r="M184" s="114" t="s">
        <v>868</v>
      </c>
      <c r="N184" s="113" t="s">
        <v>733</v>
      </c>
      <c r="O184" s="114" t="s">
        <v>293</v>
      </c>
      <c r="P184" s="68" t="s">
        <v>733</v>
      </c>
      <c r="Q184" s="113" t="s">
        <v>293</v>
      </c>
      <c r="R184" s="113" t="s">
        <v>733</v>
      </c>
      <c r="S184" s="113" t="s">
        <v>293</v>
      </c>
      <c r="T184" s="113" t="s">
        <v>733</v>
      </c>
      <c r="U184" s="113" t="s">
        <v>733</v>
      </c>
      <c r="V184" s="113" t="s">
        <v>827</v>
      </c>
      <c r="W184" s="113" t="s">
        <v>929</v>
      </c>
      <c r="X184" s="3"/>
      <c r="Y184" s="3">
        <v>1</v>
      </c>
    </row>
    <row r="185" spans="3:25" s="70" customFormat="1">
      <c r="C185" s="63" t="s">
        <v>0</v>
      </c>
      <c r="D185" s="63" t="s">
        <v>0</v>
      </c>
      <c r="E185" s="110" t="s">
        <v>844</v>
      </c>
      <c r="F185" s="111">
        <v>2672573314</v>
      </c>
      <c r="G185" s="63" t="s">
        <v>757</v>
      </c>
      <c r="H185" s="112">
        <v>24554800</v>
      </c>
      <c r="I185" s="116" t="s">
        <v>410</v>
      </c>
      <c r="J185" s="113" t="s">
        <v>727</v>
      </c>
      <c r="K185" s="109" t="s">
        <v>870</v>
      </c>
      <c r="L185" s="109"/>
      <c r="M185" s="114" t="s">
        <v>868</v>
      </c>
      <c r="N185" s="113" t="s">
        <v>733</v>
      </c>
      <c r="O185" s="114" t="s">
        <v>293</v>
      </c>
      <c r="P185" s="68" t="s">
        <v>733</v>
      </c>
      <c r="Q185" s="113" t="s">
        <v>293</v>
      </c>
      <c r="R185" s="113" t="s">
        <v>733</v>
      </c>
      <c r="S185" s="113" t="s">
        <v>293</v>
      </c>
      <c r="T185" s="113" t="s">
        <v>733</v>
      </c>
      <c r="U185" s="113" t="s">
        <v>733</v>
      </c>
      <c r="V185" s="113" t="s">
        <v>827</v>
      </c>
      <c r="W185" s="113" t="s">
        <v>929</v>
      </c>
      <c r="X185" s="3"/>
      <c r="Y185" s="3">
        <v>1</v>
      </c>
    </row>
    <row r="186" spans="3:25" s="70" customFormat="1">
      <c r="C186" s="63" t="s">
        <v>0</v>
      </c>
      <c r="D186" s="63" t="s">
        <v>0</v>
      </c>
      <c r="E186" s="110" t="s">
        <v>844</v>
      </c>
      <c r="F186" s="111">
        <v>2672573314</v>
      </c>
      <c r="G186" s="63" t="s">
        <v>762</v>
      </c>
      <c r="H186" s="53">
        <v>18361073</v>
      </c>
      <c r="I186" s="116" t="s">
        <v>729</v>
      </c>
      <c r="J186" s="113" t="s">
        <v>763</v>
      </c>
      <c r="K186" s="109" t="s">
        <v>870</v>
      </c>
      <c r="L186" s="109"/>
      <c r="M186" s="114" t="s">
        <v>868</v>
      </c>
      <c r="N186" s="113" t="s">
        <v>733</v>
      </c>
      <c r="O186" s="114" t="s">
        <v>293</v>
      </c>
      <c r="P186" s="68" t="s">
        <v>733</v>
      </c>
      <c r="Q186" s="113" t="s">
        <v>293</v>
      </c>
      <c r="R186" s="113" t="s">
        <v>733</v>
      </c>
      <c r="S186" s="113" t="s">
        <v>293</v>
      </c>
      <c r="T186" s="113" t="s">
        <v>733</v>
      </c>
      <c r="U186" s="113" t="s">
        <v>733</v>
      </c>
      <c r="V186" s="113" t="s">
        <v>827</v>
      </c>
      <c r="W186" s="113" t="s">
        <v>929</v>
      </c>
      <c r="X186" s="68"/>
      <c r="Y186" s="3">
        <v>1</v>
      </c>
    </row>
    <row r="187" spans="3:25" s="70" customFormat="1">
      <c r="C187" s="63" t="s">
        <v>0</v>
      </c>
      <c r="D187" s="63" t="s">
        <v>0</v>
      </c>
      <c r="E187" s="110" t="s">
        <v>844</v>
      </c>
      <c r="F187" s="111">
        <v>2672573314</v>
      </c>
      <c r="G187" s="63" t="s">
        <v>764</v>
      </c>
      <c r="H187" s="53">
        <v>21213718</v>
      </c>
      <c r="I187" s="116" t="s">
        <v>729</v>
      </c>
      <c r="J187" s="113" t="s">
        <v>763</v>
      </c>
      <c r="K187" s="109" t="s">
        <v>870</v>
      </c>
      <c r="L187" s="109"/>
      <c r="M187" s="114" t="s">
        <v>868</v>
      </c>
      <c r="N187" s="113" t="s">
        <v>733</v>
      </c>
      <c r="O187" s="114" t="s">
        <v>293</v>
      </c>
      <c r="P187" s="68" t="s">
        <v>733</v>
      </c>
      <c r="Q187" s="113" t="s">
        <v>293</v>
      </c>
      <c r="R187" s="113" t="s">
        <v>733</v>
      </c>
      <c r="S187" s="113" t="s">
        <v>293</v>
      </c>
      <c r="T187" s="113" t="s">
        <v>733</v>
      </c>
      <c r="U187" s="113" t="s">
        <v>733</v>
      </c>
      <c r="V187" s="113" t="s">
        <v>827</v>
      </c>
      <c r="W187" s="113" t="s">
        <v>929</v>
      </c>
      <c r="X187" s="68"/>
      <c r="Y187" s="3">
        <v>1</v>
      </c>
    </row>
    <row r="188" spans="3:25" s="70" customFormat="1">
      <c r="C188" s="63" t="s">
        <v>0</v>
      </c>
      <c r="D188" s="63" t="s">
        <v>0</v>
      </c>
      <c r="E188" s="110" t="s">
        <v>844</v>
      </c>
      <c r="F188" s="111">
        <v>2672573314</v>
      </c>
      <c r="G188" s="63" t="s">
        <v>766</v>
      </c>
      <c r="H188" s="53">
        <v>22013739</v>
      </c>
      <c r="I188" s="116" t="s">
        <v>729</v>
      </c>
      <c r="J188" s="113" t="s">
        <v>763</v>
      </c>
      <c r="K188" s="109" t="s">
        <v>870</v>
      </c>
      <c r="L188" s="109"/>
      <c r="M188" s="114" t="s">
        <v>868</v>
      </c>
      <c r="N188" s="113" t="s">
        <v>733</v>
      </c>
      <c r="O188" s="114" t="s">
        <v>293</v>
      </c>
      <c r="P188" s="68" t="s">
        <v>733</v>
      </c>
      <c r="Q188" s="113" t="s">
        <v>293</v>
      </c>
      <c r="R188" s="113" t="s">
        <v>733</v>
      </c>
      <c r="S188" s="113" t="s">
        <v>293</v>
      </c>
      <c r="T188" s="113" t="s">
        <v>733</v>
      </c>
      <c r="U188" s="113" t="s">
        <v>733</v>
      </c>
      <c r="V188" s="113" t="s">
        <v>827</v>
      </c>
      <c r="W188" s="113" t="s">
        <v>929</v>
      </c>
      <c r="X188" s="68"/>
      <c r="Y188" s="3">
        <v>1</v>
      </c>
    </row>
    <row r="189" spans="3:25" s="70" customFormat="1">
      <c r="C189" s="63" t="s">
        <v>0</v>
      </c>
      <c r="D189" s="63" t="s">
        <v>0</v>
      </c>
      <c r="E189" s="110" t="s">
        <v>844</v>
      </c>
      <c r="F189" s="111">
        <v>2672573314</v>
      </c>
      <c r="G189" s="63" t="s">
        <v>767</v>
      </c>
      <c r="H189" s="53">
        <v>25754316</v>
      </c>
      <c r="I189" s="116" t="s">
        <v>729</v>
      </c>
      <c r="J189" s="113" t="s">
        <v>763</v>
      </c>
      <c r="K189" s="109" t="s">
        <v>870</v>
      </c>
      <c r="L189" s="109"/>
      <c r="M189" s="114" t="s">
        <v>868</v>
      </c>
      <c r="N189" s="113" t="s">
        <v>733</v>
      </c>
      <c r="O189" s="114" t="s">
        <v>293</v>
      </c>
      <c r="P189" s="68" t="s">
        <v>733</v>
      </c>
      <c r="Q189" s="113" t="s">
        <v>293</v>
      </c>
      <c r="R189" s="113" t="s">
        <v>733</v>
      </c>
      <c r="S189" s="113" t="s">
        <v>293</v>
      </c>
      <c r="T189" s="113" t="s">
        <v>733</v>
      </c>
      <c r="U189" s="113" t="s">
        <v>733</v>
      </c>
      <c r="V189" s="113" t="s">
        <v>827</v>
      </c>
      <c r="W189" s="113" t="s">
        <v>929</v>
      </c>
      <c r="X189" s="68"/>
      <c r="Y189" s="3">
        <v>1</v>
      </c>
    </row>
    <row r="190" spans="3:25" s="70" customFormat="1">
      <c r="C190" s="63" t="s">
        <v>0</v>
      </c>
      <c r="D190" s="63" t="s">
        <v>0</v>
      </c>
      <c r="E190" s="110" t="s">
        <v>844</v>
      </c>
      <c r="F190" s="111">
        <v>2672573314</v>
      </c>
      <c r="G190" s="63" t="s">
        <v>768</v>
      </c>
      <c r="H190" s="53">
        <v>26011786</v>
      </c>
      <c r="I190" s="116" t="s">
        <v>729</v>
      </c>
      <c r="J190" s="113" t="s">
        <v>763</v>
      </c>
      <c r="K190" s="109" t="s">
        <v>870</v>
      </c>
      <c r="L190" s="109"/>
      <c r="M190" s="114" t="s">
        <v>868</v>
      </c>
      <c r="N190" s="113" t="s">
        <v>733</v>
      </c>
      <c r="O190" s="114" t="s">
        <v>293</v>
      </c>
      <c r="P190" s="68" t="s">
        <v>733</v>
      </c>
      <c r="Q190" s="113" t="s">
        <v>293</v>
      </c>
      <c r="R190" s="113" t="s">
        <v>733</v>
      </c>
      <c r="S190" s="113" t="s">
        <v>293</v>
      </c>
      <c r="T190" s="113" t="s">
        <v>733</v>
      </c>
      <c r="U190" s="113" t="s">
        <v>733</v>
      </c>
      <c r="V190" s="113" t="s">
        <v>827</v>
      </c>
      <c r="W190" s="113" t="s">
        <v>929</v>
      </c>
      <c r="X190" s="68"/>
      <c r="Y190" s="3">
        <v>1</v>
      </c>
    </row>
    <row r="191" spans="3:25" s="70" customFormat="1">
      <c r="C191" s="63" t="s">
        <v>0</v>
      </c>
      <c r="D191" s="63" t="s">
        <v>0</v>
      </c>
      <c r="E191" s="110" t="s">
        <v>844</v>
      </c>
      <c r="F191" s="111">
        <v>2672573314</v>
      </c>
      <c r="G191" s="63" t="s">
        <v>769</v>
      </c>
      <c r="H191" s="53">
        <v>26392093</v>
      </c>
      <c r="I191" s="116" t="s">
        <v>729</v>
      </c>
      <c r="J191" s="113" t="s">
        <v>763</v>
      </c>
      <c r="K191" s="109" t="s">
        <v>870</v>
      </c>
      <c r="L191" s="109"/>
      <c r="M191" s="114" t="s">
        <v>868</v>
      </c>
      <c r="N191" s="113" t="s">
        <v>733</v>
      </c>
      <c r="O191" s="114" t="s">
        <v>293</v>
      </c>
      <c r="P191" s="68" t="s">
        <v>733</v>
      </c>
      <c r="Q191" s="113" t="s">
        <v>293</v>
      </c>
      <c r="R191" s="113" t="s">
        <v>733</v>
      </c>
      <c r="S191" s="113" t="s">
        <v>293</v>
      </c>
      <c r="T191" s="113" t="s">
        <v>733</v>
      </c>
      <c r="U191" s="113" t="s">
        <v>733</v>
      </c>
      <c r="V191" s="113" t="s">
        <v>827</v>
      </c>
      <c r="W191" s="113" t="s">
        <v>929</v>
      </c>
      <c r="X191" s="68"/>
      <c r="Y191" s="3">
        <v>1</v>
      </c>
    </row>
    <row r="192" spans="3:25" s="70" customFormat="1">
      <c r="C192" s="63" t="s">
        <v>0</v>
      </c>
      <c r="D192" s="63" t="s">
        <v>0</v>
      </c>
      <c r="E192" s="110" t="s">
        <v>844</v>
      </c>
      <c r="F192" s="111">
        <v>2672573314</v>
      </c>
      <c r="G192" s="63" t="s">
        <v>770</v>
      </c>
      <c r="H192" s="53">
        <v>30430837</v>
      </c>
      <c r="I192" s="116" t="s">
        <v>729</v>
      </c>
      <c r="J192" s="113" t="s">
        <v>763</v>
      </c>
      <c r="K192" s="109" t="s">
        <v>870</v>
      </c>
      <c r="L192" s="109"/>
      <c r="M192" s="114" t="s">
        <v>868</v>
      </c>
      <c r="N192" s="113" t="s">
        <v>733</v>
      </c>
      <c r="O192" s="114" t="s">
        <v>293</v>
      </c>
      <c r="P192" s="68" t="s">
        <v>733</v>
      </c>
      <c r="Q192" s="113" t="s">
        <v>293</v>
      </c>
      <c r="R192" s="113" t="s">
        <v>733</v>
      </c>
      <c r="S192" s="113" t="s">
        <v>293</v>
      </c>
      <c r="T192" s="113" t="s">
        <v>733</v>
      </c>
      <c r="U192" s="113" t="s">
        <v>733</v>
      </c>
      <c r="V192" s="113" t="s">
        <v>827</v>
      </c>
      <c r="W192" s="113" t="s">
        <v>929</v>
      </c>
      <c r="X192" s="68"/>
      <c r="Y192" s="3">
        <v>1</v>
      </c>
    </row>
    <row r="193" spans="3:25" s="70" customFormat="1">
      <c r="C193" s="63" t="s">
        <v>0</v>
      </c>
      <c r="D193" s="63" t="s">
        <v>0</v>
      </c>
      <c r="E193" s="110" t="s">
        <v>844</v>
      </c>
      <c r="F193" s="111">
        <v>2672573314</v>
      </c>
      <c r="G193" s="63" t="s">
        <v>771</v>
      </c>
      <c r="H193" s="53">
        <v>30585620</v>
      </c>
      <c r="I193" s="116" t="s">
        <v>729</v>
      </c>
      <c r="J193" s="113" t="s">
        <v>763</v>
      </c>
      <c r="K193" s="109" t="s">
        <v>870</v>
      </c>
      <c r="L193" s="109"/>
      <c r="M193" s="114" t="s">
        <v>868</v>
      </c>
      <c r="N193" s="113" t="s">
        <v>733</v>
      </c>
      <c r="O193" s="114" t="s">
        <v>293</v>
      </c>
      <c r="P193" s="68" t="s">
        <v>733</v>
      </c>
      <c r="Q193" s="113" t="s">
        <v>293</v>
      </c>
      <c r="R193" s="113" t="s">
        <v>733</v>
      </c>
      <c r="S193" s="113" t="s">
        <v>293</v>
      </c>
      <c r="T193" s="113" t="s">
        <v>733</v>
      </c>
      <c r="U193" s="113" t="s">
        <v>733</v>
      </c>
      <c r="V193" s="113" t="s">
        <v>827</v>
      </c>
      <c r="W193" s="113" t="s">
        <v>929</v>
      </c>
      <c r="X193" s="68"/>
      <c r="Y193" s="3">
        <v>1</v>
      </c>
    </row>
    <row r="194" spans="3:25" s="70" customFormat="1">
      <c r="C194" s="63" t="s">
        <v>0</v>
      </c>
      <c r="D194" s="63" t="s">
        <v>0</v>
      </c>
      <c r="E194" s="110" t="s">
        <v>844</v>
      </c>
      <c r="F194" s="111">
        <v>2672573314</v>
      </c>
      <c r="G194" s="63" t="s">
        <v>775</v>
      </c>
      <c r="H194" s="53">
        <v>14465104</v>
      </c>
      <c r="I194" s="116" t="s">
        <v>729</v>
      </c>
      <c r="J194" s="113" t="s">
        <v>55</v>
      </c>
      <c r="K194" s="109" t="s">
        <v>870</v>
      </c>
      <c r="L194" s="109"/>
      <c r="M194" s="114" t="s">
        <v>868</v>
      </c>
      <c r="N194" s="113" t="s">
        <v>733</v>
      </c>
      <c r="O194" s="114" t="s">
        <v>293</v>
      </c>
      <c r="P194" s="68" t="s">
        <v>733</v>
      </c>
      <c r="Q194" s="113" t="s">
        <v>293</v>
      </c>
      <c r="R194" s="113" t="s">
        <v>733</v>
      </c>
      <c r="S194" s="113" t="s">
        <v>293</v>
      </c>
      <c r="T194" s="113" t="s">
        <v>733</v>
      </c>
      <c r="U194" s="113" t="s">
        <v>733</v>
      </c>
      <c r="V194" s="113" t="s">
        <v>827</v>
      </c>
      <c r="W194" s="113" t="s">
        <v>929</v>
      </c>
      <c r="X194" s="68"/>
      <c r="Y194" s="3">
        <v>1</v>
      </c>
    </row>
    <row r="195" spans="3:25" s="70" customFormat="1">
      <c r="C195" s="63" t="s">
        <v>0</v>
      </c>
      <c r="D195" s="63" t="s">
        <v>0</v>
      </c>
      <c r="E195" s="110" t="s">
        <v>844</v>
      </c>
      <c r="F195" s="111">
        <v>2672573314</v>
      </c>
      <c r="G195" s="63" t="s">
        <v>778</v>
      </c>
      <c r="H195" s="53">
        <v>16446854</v>
      </c>
      <c r="I195" s="116" t="s">
        <v>729</v>
      </c>
      <c r="J195" s="113" t="s">
        <v>55</v>
      </c>
      <c r="K195" s="109" t="s">
        <v>870</v>
      </c>
      <c r="L195" s="109"/>
      <c r="M195" s="114" t="s">
        <v>868</v>
      </c>
      <c r="N195" s="113" t="s">
        <v>733</v>
      </c>
      <c r="O195" s="114" t="s">
        <v>293</v>
      </c>
      <c r="P195" s="68" t="s">
        <v>733</v>
      </c>
      <c r="Q195" s="113" t="s">
        <v>293</v>
      </c>
      <c r="R195" s="113" t="s">
        <v>733</v>
      </c>
      <c r="S195" s="113" t="s">
        <v>293</v>
      </c>
      <c r="T195" s="113" t="s">
        <v>733</v>
      </c>
      <c r="U195" s="113" t="s">
        <v>733</v>
      </c>
      <c r="V195" s="113" t="s">
        <v>827</v>
      </c>
      <c r="W195" s="113" t="s">
        <v>929</v>
      </c>
      <c r="X195" s="68"/>
      <c r="Y195" s="3">
        <v>1</v>
      </c>
    </row>
    <row r="196" spans="3:25" s="70" customFormat="1">
      <c r="C196" s="63" t="s">
        <v>0</v>
      </c>
      <c r="D196" s="63" t="s">
        <v>0</v>
      </c>
      <c r="E196" s="110" t="s">
        <v>844</v>
      </c>
      <c r="F196" s="111">
        <v>2672573314</v>
      </c>
      <c r="G196" s="63" t="s">
        <v>780</v>
      </c>
      <c r="H196" s="53">
        <v>16775155</v>
      </c>
      <c r="I196" s="116" t="s">
        <v>729</v>
      </c>
      <c r="J196" s="113" t="s">
        <v>55</v>
      </c>
      <c r="K196" s="109" t="s">
        <v>870</v>
      </c>
      <c r="L196" s="109"/>
      <c r="M196" s="114" t="s">
        <v>868</v>
      </c>
      <c r="N196" s="113" t="s">
        <v>733</v>
      </c>
      <c r="O196" s="114" t="s">
        <v>293</v>
      </c>
      <c r="P196" s="68" t="s">
        <v>733</v>
      </c>
      <c r="Q196" s="113" t="s">
        <v>293</v>
      </c>
      <c r="R196" s="113" t="s">
        <v>733</v>
      </c>
      <c r="S196" s="113" t="s">
        <v>293</v>
      </c>
      <c r="T196" s="113" t="s">
        <v>733</v>
      </c>
      <c r="U196" s="113" t="s">
        <v>733</v>
      </c>
      <c r="V196" s="113" t="s">
        <v>827</v>
      </c>
      <c r="W196" s="113" t="s">
        <v>929</v>
      </c>
      <c r="X196" s="68"/>
      <c r="Y196" s="3">
        <v>1</v>
      </c>
    </row>
    <row r="197" spans="3:25" s="70" customFormat="1">
      <c r="C197" s="63" t="s">
        <v>0</v>
      </c>
      <c r="D197" s="63" t="s">
        <v>0</v>
      </c>
      <c r="E197" s="110" t="s">
        <v>844</v>
      </c>
      <c r="F197" s="111">
        <v>2672573314</v>
      </c>
      <c r="G197" s="63" t="s">
        <v>781</v>
      </c>
      <c r="H197" s="53">
        <v>17329551</v>
      </c>
      <c r="I197" s="116" t="s">
        <v>729</v>
      </c>
      <c r="J197" s="113" t="s">
        <v>55</v>
      </c>
      <c r="K197" s="109" t="s">
        <v>870</v>
      </c>
      <c r="L197" s="109"/>
      <c r="M197" s="114" t="s">
        <v>868</v>
      </c>
      <c r="N197" s="113" t="s">
        <v>733</v>
      </c>
      <c r="O197" s="114" t="s">
        <v>293</v>
      </c>
      <c r="P197" s="68" t="s">
        <v>733</v>
      </c>
      <c r="Q197" s="113" t="s">
        <v>293</v>
      </c>
      <c r="R197" s="113" t="s">
        <v>733</v>
      </c>
      <c r="S197" s="113" t="s">
        <v>293</v>
      </c>
      <c r="T197" s="113" t="s">
        <v>733</v>
      </c>
      <c r="U197" s="113" t="s">
        <v>733</v>
      </c>
      <c r="V197" s="113" t="s">
        <v>827</v>
      </c>
      <c r="W197" s="113" t="s">
        <v>929</v>
      </c>
      <c r="X197" s="68"/>
      <c r="Y197" s="3">
        <v>1</v>
      </c>
    </row>
    <row r="198" spans="3:25" s="70" customFormat="1">
      <c r="C198" s="63" t="s">
        <v>0</v>
      </c>
      <c r="D198" s="63" t="s">
        <v>0</v>
      </c>
      <c r="E198" s="110" t="s">
        <v>844</v>
      </c>
      <c r="F198" s="111">
        <v>2672573314</v>
      </c>
      <c r="G198" s="63" t="s">
        <v>786</v>
      </c>
      <c r="H198" s="53">
        <v>19991100</v>
      </c>
      <c r="I198" s="116" t="s">
        <v>729</v>
      </c>
      <c r="J198" s="113" t="s">
        <v>55</v>
      </c>
      <c r="K198" s="109" t="s">
        <v>870</v>
      </c>
      <c r="L198" s="109"/>
      <c r="M198" s="114" t="s">
        <v>868</v>
      </c>
      <c r="N198" s="113" t="s">
        <v>733</v>
      </c>
      <c r="O198" s="114" t="s">
        <v>293</v>
      </c>
      <c r="P198" s="68" t="s">
        <v>733</v>
      </c>
      <c r="Q198" s="113" t="s">
        <v>293</v>
      </c>
      <c r="R198" s="113" t="s">
        <v>733</v>
      </c>
      <c r="S198" s="113" t="s">
        <v>293</v>
      </c>
      <c r="T198" s="113" t="s">
        <v>733</v>
      </c>
      <c r="U198" s="113" t="s">
        <v>733</v>
      </c>
      <c r="V198" s="113" t="s">
        <v>827</v>
      </c>
      <c r="W198" s="113" t="s">
        <v>929</v>
      </c>
      <c r="X198" s="68"/>
      <c r="Y198" s="3">
        <v>1</v>
      </c>
    </row>
    <row r="199" spans="3:25" s="70" customFormat="1">
      <c r="C199" s="63" t="s">
        <v>0</v>
      </c>
      <c r="D199" s="63" t="s">
        <v>0</v>
      </c>
      <c r="E199" s="110" t="s">
        <v>844</v>
      </c>
      <c r="F199" s="111">
        <v>2672573314</v>
      </c>
      <c r="G199" s="63" t="s">
        <v>793</v>
      </c>
      <c r="H199" s="112">
        <v>24108282</v>
      </c>
      <c r="I199" s="116" t="s">
        <v>729</v>
      </c>
      <c r="J199" s="113" t="s">
        <v>55</v>
      </c>
      <c r="K199" s="109" t="s">
        <v>870</v>
      </c>
      <c r="L199" s="109"/>
      <c r="M199" s="114" t="s">
        <v>868</v>
      </c>
      <c r="N199" s="113" t="s">
        <v>733</v>
      </c>
      <c r="O199" s="114" t="s">
        <v>293</v>
      </c>
      <c r="P199" s="68" t="s">
        <v>733</v>
      </c>
      <c r="Q199" s="113" t="s">
        <v>293</v>
      </c>
      <c r="R199" s="113" t="s">
        <v>733</v>
      </c>
      <c r="S199" s="113" t="s">
        <v>293</v>
      </c>
      <c r="T199" s="113" t="s">
        <v>733</v>
      </c>
      <c r="U199" s="113" t="s">
        <v>733</v>
      </c>
      <c r="V199" s="113" t="s">
        <v>827</v>
      </c>
      <c r="W199" s="113" t="s">
        <v>929</v>
      </c>
      <c r="X199" s="68"/>
      <c r="Y199" s="3">
        <v>1</v>
      </c>
    </row>
    <row r="200" spans="3:25" s="70" customFormat="1">
      <c r="C200" s="63" t="s">
        <v>0</v>
      </c>
      <c r="D200" s="63" t="s">
        <v>0</v>
      </c>
      <c r="E200" s="110" t="s">
        <v>844</v>
      </c>
      <c r="F200" s="111">
        <v>2672573314</v>
      </c>
      <c r="G200" s="63" t="s">
        <v>794</v>
      </c>
      <c r="H200" s="112">
        <v>24495294</v>
      </c>
      <c r="I200" s="116" t="s">
        <v>729</v>
      </c>
      <c r="J200" s="113" t="s">
        <v>55</v>
      </c>
      <c r="K200" s="109" t="s">
        <v>870</v>
      </c>
      <c r="L200" s="109"/>
      <c r="M200" s="114" t="s">
        <v>868</v>
      </c>
      <c r="N200" s="113" t="s">
        <v>733</v>
      </c>
      <c r="O200" s="114" t="s">
        <v>293</v>
      </c>
      <c r="P200" s="68" t="s">
        <v>733</v>
      </c>
      <c r="Q200" s="113" t="s">
        <v>293</v>
      </c>
      <c r="R200" s="113" t="s">
        <v>733</v>
      </c>
      <c r="S200" s="113" t="s">
        <v>293</v>
      </c>
      <c r="T200" s="113" t="s">
        <v>733</v>
      </c>
      <c r="U200" s="113" t="s">
        <v>733</v>
      </c>
      <c r="V200" s="113" t="s">
        <v>827</v>
      </c>
      <c r="W200" s="113" t="s">
        <v>929</v>
      </c>
      <c r="X200" s="68"/>
      <c r="Y200" s="3">
        <v>1</v>
      </c>
    </row>
    <row r="201" spans="3:25" s="70" customFormat="1">
      <c r="C201" s="63" t="s">
        <v>0</v>
      </c>
      <c r="D201" s="63" t="s">
        <v>0</v>
      </c>
      <c r="E201" s="110" t="s">
        <v>844</v>
      </c>
      <c r="F201" s="111">
        <v>2672573314</v>
      </c>
      <c r="G201" s="63" t="s">
        <v>799</v>
      </c>
      <c r="H201" s="112">
        <v>27064119</v>
      </c>
      <c r="I201" s="116" t="s">
        <v>729</v>
      </c>
      <c r="J201" s="113" t="s">
        <v>55</v>
      </c>
      <c r="K201" s="109" t="s">
        <v>870</v>
      </c>
      <c r="L201" s="109"/>
      <c r="M201" s="114" t="s">
        <v>868</v>
      </c>
      <c r="N201" s="113" t="s">
        <v>733</v>
      </c>
      <c r="O201" s="114" t="s">
        <v>293</v>
      </c>
      <c r="P201" s="68" t="s">
        <v>733</v>
      </c>
      <c r="Q201" s="113" t="s">
        <v>293</v>
      </c>
      <c r="R201" s="113" t="s">
        <v>733</v>
      </c>
      <c r="S201" s="113" t="s">
        <v>293</v>
      </c>
      <c r="T201" s="113" t="s">
        <v>733</v>
      </c>
      <c r="U201" s="113" t="s">
        <v>733</v>
      </c>
      <c r="V201" s="113" t="s">
        <v>827</v>
      </c>
      <c r="W201" s="113" t="s">
        <v>929</v>
      </c>
      <c r="X201" s="68"/>
      <c r="Y201" s="3">
        <v>1</v>
      </c>
    </row>
    <row r="202" spans="3:25" s="70" customFormat="1">
      <c r="C202" s="63" t="s">
        <v>0</v>
      </c>
      <c r="D202" s="63" t="s">
        <v>0</v>
      </c>
      <c r="E202" s="110" t="s">
        <v>844</v>
      </c>
      <c r="F202" s="111">
        <v>2672573314</v>
      </c>
      <c r="G202" s="63" t="s">
        <v>801</v>
      </c>
      <c r="H202" s="112">
        <v>28035923</v>
      </c>
      <c r="I202" s="116" t="s">
        <v>729</v>
      </c>
      <c r="J202" s="113" t="s">
        <v>55</v>
      </c>
      <c r="K202" s="109" t="s">
        <v>870</v>
      </c>
      <c r="L202" s="109"/>
      <c r="M202" s="114" t="s">
        <v>868</v>
      </c>
      <c r="N202" s="113" t="s">
        <v>733</v>
      </c>
      <c r="O202" s="114" t="s">
        <v>293</v>
      </c>
      <c r="P202" s="68" t="s">
        <v>733</v>
      </c>
      <c r="Q202" s="113" t="s">
        <v>293</v>
      </c>
      <c r="R202" s="113" t="s">
        <v>733</v>
      </c>
      <c r="S202" s="113" t="s">
        <v>293</v>
      </c>
      <c r="T202" s="113" t="s">
        <v>733</v>
      </c>
      <c r="U202" s="113" t="s">
        <v>733</v>
      </c>
      <c r="V202" s="113" t="s">
        <v>827</v>
      </c>
      <c r="W202" s="113" t="s">
        <v>929</v>
      </c>
      <c r="X202" s="68"/>
      <c r="Y202" s="3">
        <v>1</v>
      </c>
    </row>
    <row r="203" spans="3:25" s="70" customFormat="1">
      <c r="C203" s="63" t="s">
        <v>0</v>
      </c>
      <c r="D203" s="63" t="s">
        <v>0</v>
      </c>
      <c r="E203" s="110" t="s">
        <v>844</v>
      </c>
      <c r="F203" s="111">
        <v>2672573314</v>
      </c>
      <c r="G203" s="63" t="s">
        <v>802</v>
      </c>
      <c r="H203" s="112">
        <v>28465754</v>
      </c>
      <c r="I203" s="116" t="s">
        <v>729</v>
      </c>
      <c r="J203" s="113" t="s">
        <v>55</v>
      </c>
      <c r="K203" s="109" t="s">
        <v>870</v>
      </c>
      <c r="L203" s="109"/>
      <c r="M203" s="114" t="s">
        <v>868</v>
      </c>
      <c r="N203" s="113" t="s">
        <v>733</v>
      </c>
      <c r="O203" s="114" t="s">
        <v>293</v>
      </c>
      <c r="P203" s="68" t="s">
        <v>733</v>
      </c>
      <c r="Q203" s="113" t="s">
        <v>293</v>
      </c>
      <c r="R203" s="113" t="s">
        <v>733</v>
      </c>
      <c r="S203" s="113" t="s">
        <v>293</v>
      </c>
      <c r="T203" s="113" t="s">
        <v>733</v>
      </c>
      <c r="U203" s="113" t="s">
        <v>733</v>
      </c>
      <c r="V203" s="113" t="s">
        <v>827</v>
      </c>
      <c r="W203" s="113" t="s">
        <v>929</v>
      </c>
      <c r="X203" s="68"/>
      <c r="Y203" s="3">
        <v>1</v>
      </c>
    </row>
    <row r="204" spans="3:25" s="70" customFormat="1">
      <c r="C204" s="63" t="s">
        <v>0</v>
      </c>
      <c r="D204" s="63" t="s">
        <v>0</v>
      </c>
      <c r="E204" s="110" t="s">
        <v>844</v>
      </c>
      <c r="F204" s="111">
        <v>2672573314</v>
      </c>
      <c r="G204" s="63" t="s">
        <v>804</v>
      </c>
      <c r="H204" s="112">
        <v>28714979</v>
      </c>
      <c r="I204" s="116" t="s">
        <v>729</v>
      </c>
      <c r="J204" s="113" t="s">
        <v>55</v>
      </c>
      <c r="K204" s="109" t="s">
        <v>870</v>
      </c>
      <c r="L204" s="109"/>
      <c r="M204" s="114" t="s">
        <v>868</v>
      </c>
      <c r="N204" s="113" t="s">
        <v>733</v>
      </c>
      <c r="O204" s="114" t="s">
        <v>293</v>
      </c>
      <c r="P204" s="68" t="s">
        <v>733</v>
      </c>
      <c r="Q204" s="113" t="s">
        <v>293</v>
      </c>
      <c r="R204" s="113" t="s">
        <v>733</v>
      </c>
      <c r="S204" s="113" t="s">
        <v>293</v>
      </c>
      <c r="T204" s="113" t="s">
        <v>733</v>
      </c>
      <c r="U204" s="113" t="s">
        <v>733</v>
      </c>
      <c r="V204" s="113" t="s">
        <v>827</v>
      </c>
      <c r="W204" s="113" t="s">
        <v>929</v>
      </c>
      <c r="X204" s="68"/>
      <c r="Y204" s="3">
        <v>1</v>
      </c>
    </row>
    <row r="205" spans="3:25" s="70" customFormat="1">
      <c r="C205" s="63" t="s">
        <v>0</v>
      </c>
      <c r="D205" s="63" t="s">
        <v>0</v>
      </c>
      <c r="E205" s="110" t="s">
        <v>844</v>
      </c>
      <c r="F205" s="111">
        <v>2672573314</v>
      </c>
      <c r="G205" s="63" t="s">
        <v>805</v>
      </c>
      <c r="H205" s="112">
        <v>29769765</v>
      </c>
      <c r="I205" s="116" t="s">
        <v>729</v>
      </c>
      <c r="J205" s="113" t="s">
        <v>55</v>
      </c>
      <c r="K205" s="109" t="s">
        <v>870</v>
      </c>
      <c r="L205" s="109"/>
      <c r="M205" s="114" t="s">
        <v>868</v>
      </c>
      <c r="N205" s="113" t="s">
        <v>733</v>
      </c>
      <c r="O205" s="114" t="s">
        <v>293</v>
      </c>
      <c r="P205" s="68" t="s">
        <v>733</v>
      </c>
      <c r="Q205" s="113" t="s">
        <v>293</v>
      </c>
      <c r="R205" s="113" t="s">
        <v>733</v>
      </c>
      <c r="S205" s="113" t="s">
        <v>293</v>
      </c>
      <c r="T205" s="113" t="s">
        <v>733</v>
      </c>
      <c r="U205" s="113" t="s">
        <v>733</v>
      </c>
      <c r="V205" s="113" t="s">
        <v>827</v>
      </c>
      <c r="W205" s="113" t="s">
        <v>929</v>
      </c>
      <c r="X205" s="68"/>
      <c r="Y205" s="3">
        <v>1</v>
      </c>
    </row>
    <row r="206" spans="3:25" s="70" customFormat="1">
      <c r="C206" s="63" t="s">
        <v>0</v>
      </c>
      <c r="D206" s="63" t="s">
        <v>0</v>
      </c>
      <c r="E206" s="110" t="s">
        <v>844</v>
      </c>
      <c r="F206" s="111">
        <v>2672573314</v>
      </c>
      <c r="G206" s="63" t="s">
        <v>806</v>
      </c>
      <c r="H206" s="112">
        <v>29821051</v>
      </c>
      <c r="I206" s="116" t="s">
        <v>729</v>
      </c>
      <c r="J206" s="113" t="s">
        <v>55</v>
      </c>
      <c r="K206" s="109" t="s">
        <v>870</v>
      </c>
      <c r="L206" s="109"/>
      <c r="M206" s="114" t="s">
        <v>868</v>
      </c>
      <c r="N206" s="113" t="s">
        <v>733</v>
      </c>
      <c r="O206" s="114" t="s">
        <v>293</v>
      </c>
      <c r="P206" s="68" t="s">
        <v>733</v>
      </c>
      <c r="Q206" s="113" t="s">
        <v>293</v>
      </c>
      <c r="R206" s="113" t="s">
        <v>733</v>
      </c>
      <c r="S206" s="113" t="s">
        <v>293</v>
      </c>
      <c r="T206" s="113" t="s">
        <v>733</v>
      </c>
      <c r="U206" s="113" t="s">
        <v>733</v>
      </c>
      <c r="V206" s="113" t="s">
        <v>827</v>
      </c>
      <c r="W206" s="113" t="s">
        <v>929</v>
      </c>
      <c r="X206" s="68"/>
      <c r="Y206" s="3">
        <v>1</v>
      </c>
    </row>
    <row r="207" spans="3:25">
      <c r="C207" s="63" t="s">
        <v>0</v>
      </c>
      <c r="D207" s="63" t="s">
        <v>0</v>
      </c>
      <c r="E207" s="110" t="s">
        <v>844</v>
      </c>
      <c r="F207" s="111">
        <v>2672573314</v>
      </c>
      <c r="G207" s="63" t="s">
        <v>811</v>
      </c>
      <c r="H207" s="112">
        <v>32401451</v>
      </c>
      <c r="I207" s="116" t="s">
        <v>729</v>
      </c>
      <c r="J207" s="113" t="s">
        <v>55</v>
      </c>
      <c r="K207" s="109" t="s">
        <v>870</v>
      </c>
      <c r="L207" s="109"/>
      <c r="M207" s="114" t="s">
        <v>868</v>
      </c>
      <c r="N207" s="113" t="s">
        <v>733</v>
      </c>
      <c r="O207" s="114" t="s">
        <v>293</v>
      </c>
      <c r="P207" s="68" t="s">
        <v>733</v>
      </c>
      <c r="Q207" s="113" t="s">
        <v>293</v>
      </c>
      <c r="R207" s="113" t="s">
        <v>733</v>
      </c>
      <c r="S207" s="113" t="s">
        <v>293</v>
      </c>
      <c r="T207" s="113" t="s">
        <v>733</v>
      </c>
      <c r="U207" s="113" t="s">
        <v>733</v>
      </c>
      <c r="V207" s="113" t="s">
        <v>827</v>
      </c>
      <c r="W207" s="113" t="s">
        <v>929</v>
      </c>
      <c r="X207" s="68"/>
      <c r="Y207" s="3">
        <v>1</v>
      </c>
    </row>
    <row r="208" spans="3:25">
      <c r="C208" s="63" t="s">
        <v>0</v>
      </c>
      <c r="D208" s="63" t="s">
        <v>0</v>
      </c>
      <c r="E208" s="110" t="s">
        <v>844</v>
      </c>
      <c r="F208" s="111">
        <v>2672573314</v>
      </c>
      <c r="G208" s="63" t="s">
        <v>812</v>
      </c>
      <c r="H208" s="112">
        <v>11360425</v>
      </c>
      <c r="I208" s="116" t="s">
        <v>725</v>
      </c>
      <c r="J208" s="109" t="s">
        <v>727</v>
      </c>
      <c r="K208" s="109" t="s">
        <v>870</v>
      </c>
      <c r="L208" s="109"/>
      <c r="M208" s="114" t="s">
        <v>868</v>
      </c>
      <c r="N208" s="113" t="s">
        <v>733</v>
      </c>
      <c r="O208" s="114" t="s">
        <v>293</v>
      </c>
      <c r="P208" s="68" t="s">
        <v>733</v>
      </c>
      <c r="Q208" s="113" t="s">
        <v>293</v>
      </c>
      <c r="R208" s="113" t="s">
        <v>733</v>
      </c>
      <c r="S208" s="113" t="s">
        <v>293</v>
      </c>
      <c r="T208" s="113" t="s">
        <v>733</v>
      </c>
      <c r="U208" s="113" t="s">
        <v>733</v>
      </c>
      <c r="V208" s="113" t="s">
        <v>827</v>
      </c>
      <c r="W208" s="113" t="s">
        <v>929</v>
      </c>
      <c r="X208" s="68"/>
      <c r="Y208" s="3">
        <v>1</v>
      </c>
    </row>
    <row r="209" spans="2:25">
      <c r="C209" s="63" t="s">
        <v>531</v>
      </c>
      <c r="D209" s="63" t="s">
        <v>531</v>
      </c>
      <c r="E209" s="110" t="s">
        <v>844</v>
      </c>
      <c r="F209" s="111">
        <v>2672573314</v>
      </c>
      <c r="G209" s="63" t="s">
        <v>842</v>
      </c>
      <c r="H209" s="112">
        <v>19920612</v>
      </c>
      <c r="I209" s="116" t="s">
        <v>706</v>
      </c>
      <c r="J209" s="109" t="s">
        <v>53</v>
      </c>
      <c r="K209" s="109" t="s">
        <v>900</v>
      </c>
      <c r="L209" s="109" t="s">
        <v>901</v>
      </c>
      <c r="M209" s="114" t="s">
        <v>868</v>
      </c>
      <c r="N209" s="113" t="s">
        <v>733</v>
      </c>
      <c r="O209" s="114" t="s">
        <v>293</v>
      </c>
      <c r="P209" s="68" t="s">
        <v>733</v>
      </c>
      <c r="Q209" s="113" t="s">
        <v>293</v>
      </c>
      <c r="R209" s="113" t="s">
        <v>733</v>
      </c>
      <c r="S209" s="113" t="s">
        <v>293</v>
      </c>
      <c r="T209" s="113" t="s">
        <v>733</v>
      </c>
      <c r="U209" s="113" t="s">
        <v>733</v>
      </c>
      <c r="V209" s="113" t="s">
        <v>827</v>
      </c>
      <c r="W209" s="113" t="s">
        <v>929</v>
      </c>
      <c r="X209" s="68"/>
      <c r="Y209" s="3">
        <v>1</v>
      </c>
    </row>
    <row r="210" spans="2:25">
      <c r="C210" s="63" t="s">
        <v>531</v>
      </c>
      <c r="D210" s="63" t="s">
        <v>531</v>
      </c>
      <c r="E210" s="110" t="s">
        <v>844</v>
      </c>
      <c r="F210" s="111">
        <v>2672573314</v>
      </c>
      <c r="G210" s="63" t="s">
        <v>505</v>
      </c>
      <c r="H210" s="112">
        <v>11197770</v>
      </c>
      <c r="I210" s="116" t="s">
        <v>410</v>
      </c>
      <c r="J210" s="113" t="s">
        <v>56</v>
      </c>
      <c r="K210" s="109" t="s">
        <v>898</v>
      </c>
      <c r="L210" s="109" t="s">
        <v>893</v>
      </c>
      <c r="M210" s="114" t="s">
        <v>292</v>
      </c>
      <c r="N210" s="115">
        <v>45748</v>
      </c>
      <c r="O210" s="114" t="s">
        <v>292</v>
      </c>
      <c r="P210" s="73">
        <v>45962</v>
      </c>
      <c r="Q210" s="113" t="s">
        <v>293</v>
      </c>
      <c r="R210" s="113" t="s">
        <v>733</v>
      </c>
      <c r="S210" s="113" t="s">
        <v>293</v>
      </c>
      <c r="T210" s="113" t="s">
        <v>733</v>
      </c>
      <c r="U210" s="113" t="s">
        <v>733</v>
      </c>
      <c r="V210" s="113" t="s">
        <v>827</v>
      </c>
      <c r="W210" s="113" t="s">
        <v>929</v>
      </c>
      <c r="X210" s="3"/>
      <c r="Y210" s="3">
        <v>1</v>
      </c>
    </row>
    <row r="211" spans="2:25">
      <c r="C211" s="63" t="s">
        <v>531</v>
      </c>
      <c r="D211" s="63" t="s">
        <v>531</v>
      </c>
      <c r="E211" s="110" t="s">
        <v>844</v>
      </c>
      <c r="F211" s="111">
        <v>2672573314</v>
      </c>
      <c r="G211" s="63" t="s">
        <v>506</v>
      </c>
      <c r="H211" s="112">
        <v>17899815</v>
      </c>
      <c r="I211" s="109" t="s">
        <v>730</v>
      </c>
      <c r="J211" s="113" t="s">
        <v>56</v>
      </c>
      <c r="K211" s="109" t="s">
        <v>898</v>
      </c>
      <c r="L211" s="109" t="s">
        <v>893</v>
      </c>
      <c r="M211" s="114" t="s">
        <v>292</v>
      </c>
      <c r="N211" s="115">
        <v>45748</v>
      </c>
      <c r="O211" s="114" t="s">
        <v>292</v>
      </c>
      <c r="P211" s="73">
        <v>45962</v>
      </c>
      <c r="Q211" s="113" t="s">
        <v>293</v>
      </c>
      <c r="R211" s="113" t="s">
        <v>733</v>
      </c>
      <c r="S211" s="113" t="s">
        <v>293</v>
      </c>
      <c r="T211" s="113" t="s">
        <v>733</v>
      </c>
      <c r="U211" s="113" t="s">
        <v>733</v>
      </c>
      <c r="V211" s="113" t="s">
        <v>827</v>
      </c>
      <c r="W211" s="113" t="s">
        <v>929</v>
      </c>
      <c r="X211" s="3"/>
      <c r="Y211" s="3">
        <v>1</v>
      </c>
    </row>
    <row r="212" spans="2:25">
      <c r="C212" s="63" t="s">
        <v>531</v>
      </c>
      <c r="D212" s="63" t="s">
        <v>531</v>
      </c>
      <c r="E212" s="110" t="s">
        <v>844</v>
      </c>
      <c r="F212" s="111">
        <v>2672573314</v>
      </c>
      <c r="G212" s="63" t="s">
        <v>507</v>
      </c>
      <c r="H212" s="112">
        <v>27393998</v>
      </c>
      <c r="I212" s="116" t="s">
        <v>725</v>
      </c>
      <c r="J212" s="113" t="s">
        <v>56</v>
      </c>
      <c r="K212" s="109" t="s">
        <v>898</v>
      </c>
      <c r="L212" s="109" t="s">
        <v>893</v>
      </c>
      <c r="M212" s="114" t="s">
        <v>292</v>
      </c>
      <c r="N212" s="115">
        <v>45748</v>
      </c>
      <c r="O212" s="114" t="s">
        <v>292</v>
      </c>
      <c r="P212" s="73">
        <v>45962</v>
      </c>
      <c r="Q212" s="113" t="s">
        <v>293</v>
      </c>
      <c r="R212" s="113" t="s">
        <v>733</v>
      </c>
      <c r="S212" s="113" t="s">
        <v>293</v>
      </c>
      <c r="T212" s="113" t="s">
        <v>733</v>
      </c>
      <c r="U212" s="113" t="s">
        <v>733</v>
      </c>
      <c r="V212" s="113" t="s">
        <v>827</v>
      </c>
      <c r="W212" s="113" t="s">
        <v>929</v>
      </c>
      <c r="X212" s="3"/>
      <c r="Y212" s="3">
        <v>1</v>
      </c>
    </row>
    <row r="213" spans="2:25">
      <c r="C213" s="63" t="s">
        <v>531</v>
      </c>
      <c r="D213" s="63" t="s">
        <v>531</v>
      </c>
      <c r="E213" s="110" t="s">
        <v>844</v>
      </c>
      <c r="F213" s="111">
        <v>2672573314</v>
      </c>
      <c r="G213" s="63" t="s">
        <v>502</v>
      </c>
      <c r="H213" s="112">
        <v>17811795</v>
      </c>
      <c r="I213" s="109" t="s">
        <v>730</v>
      </c>
      <c r="J213" s="113" t="s">
        <v>53</v>
      </c>
      <c r="K213" s="109" t="s">
        <v>899</v>
      </c>
      <c r="L213" s="109" t="s">
        <v>910</v>
      </c>
      <c r="M213" s="114" t="s">
        <v>868</v>
      </c>
      <c r="N213" s="113" t="s">
        <v>733</v>
      </c>
      <c r="O213" s="114" t="s">
        <v>293</v>
      </c>
      <c r="P213" s="68" t="s">
        <v>733</v>
      </c>
      <c r="Q213" s="113" t="s">
        <v>293</v>
      </c>
      <c r="R213" s="113" t="s">
        <v>733</v>
      </c>
      <c r="S213" s="113" t="s">
        <v>293</v>
      </c>
      <c r="T213" s="113" t="s">
        <v>733</v>
      </c>
      <c r="U213" s="113" t="s">
        <v>733</v>
      </c>
      <c r="V213" s="113" t="s">
        <v>827</v>
      </c>
      <c r="W213" s="113" t="s">
        <v>929</v>
      </c>
      <c r="X213" s="3"/>
      <c r="Y213" s="3">
        <v>1</v>
      </c>
    </row>
    <row r="214" spans="2:25">
      <c r="C214" s="63" t="s">
        <v>531</v>
      </c>
      <c r="D214" s="63" t="s">
        <v>531</v>
      </c>
      <c r="E214" s="110" t="s">
        <v>844</v>
      </c>
      <c r="F214" s="111">
        <v>2672573314</v>
      </c>
      <c r="G214" s="63" t="s">
        <v>503</v>
      </c>
      <c r="H214" s="112">
        <v>14379748</v>
      </c>
      <c r="I214" s="116" t="s">
        <v>725</v>
      </c>
      <c r="J214" s="113" t="s">
        <v>53</v>
      </c>
      <c r="K214" s="109" t="s">
        <v>899</v>
      </c>
      <c r="L214" s="109" t="s">
        <v>910</v>
      </c>
      <c r="M214" s="114" t="s">
        <v>868</v>
      </c>
      <c r="N214" s="113" t="s">
        <v>733</v>
      </c>
      <c r="O214" s="114" t="s">
        <v>293</v>
      </c>
      <c r="P214" s="68" t="s">
        <v>733</v>
      </c>
      <c r="Q214" s="113" t="s">
        <v>293</v>
      </c>
      <c r="R214" s="113" t="s">
        <v>733</v>
      </c>
      <c r="S214" s="113" t="s">
        <v>293</v>
      </c>
      <c r="T214" s="113" t="s">
        <v>733</v>
      </c>
      <c r="U214" s="113" t="s">
        <v>733</v>
      </c>
      <c r="V214" s="113" t="s">
        <v>827</v>
      </c>
      <c r="W214" s="113" t="s">
        <v>929</v>
      </c>
      <c r="X214" s="3"/>
      <c r="Y214" s="3">
        <v>1</v>
      </c>
    </row>
    <row r="215" spans="2:25" s="70" customFormat="1">
      <c r="C215" s="63" t="s">
        <v>531</v>
      </c>
      <c r="D215" s="63" t="s">
        <v>531</v>
      </c>
      <c r="E215" s="110" t="s">
        <v>844</v>
      </c>
      <c r="F215" s="111">
        <v>2672573314</v>
      </c>
      <c r="G215" s="63" t="s">
        <v>660</v>
      </c>
      <c r="H215" s="112">
        <v>24303318</v>
      </c>
      <c r="I215" s="109" t="s">
        <v>730</v>
      </c>
      <c r="J215" s="113" t="s">
        <v>56</v>
      </c>
      <c r="K215" s="109" t="s">
        <v>870</v>
      </c>
      <c r="L215" s="109"/>
      <c r="M215" s="114" t="s">
        <v>868</v>
      </c>
      <c r="N215" s="113" t="s">
        <v>733</v>
      </c>
      <c r="O215" s="114" t="s">
        <v>292</v>
      </c>
      <c r="P215" s="73">
        <v>45962</v>
      </c>
      <c r="Q215" s="113" t="s">
        <v>293</v>
      </c>
      <c r="R215" s="113" t="s">
        <v>733</v>
      </c>
      <c r="S215" s="113" t="s">
        <v>293</v>
      </c>
      <c r="T215" s="113" t="s">
        <v>733</v>
      </c>
      <c r="U215" s="113" t="s">
        <v>733</v>
      </c>
      <c r="V215" s="113" t="s">
        <v>827</v>
      </c>
      <c r="W215" s="113" t="s">
        <v>929</v>
      </c>
      <c r="X215" s="3"/>
      <c r="Y215" s="3">
        <v>1</v>
      </c>
    </row>
    <row r="216" spans="2:25" s="70" customFormat="1">
      <c r="C216" s="63" t="s">
        <v>531</v>
      </c>
      <c r="D216" s="63" t="s">
        <v>531</v>
      </c>
      <c r="E216" s="110" t="s">
        <v>844</v>
      </c>
      <c r="F216" s="111">
        <v>2672573314</v>
      </c>
      <c r="G216" s="63" t="s">
        <v>661</v>
      </c>
      <c r="H216" s="112">
        <v>19890608</v>
      </c>
      <c r="I216" s="116" t="s">
        <v>725</v>
      </c>
      <c r="J216" s="113" t="s">
        <v>56</v>
      </c>
      <c r="K216" s="109" t="s">
        <v>870</v>
      </c>
      <c r="L216" s="109"/>
      <c r="M216" s="114" t="s">
        <v>868</v>
      </c>
      <c r="N216" s="113" t="s">
        <v>733</v>
      </c>
      <c r="O216" s="114" t="s">
        <v>292</v>
      </c>
      <c r="P216" s="73">
        <v>45962</v>
      </c>
      <c r="Q216" s="113" t="s">
        <v>293</v>
      </c>
      <c r="R216" s="113" t="s">
        <v>733</v>
      </c>
      <c r="S216" s="113" t="s">
        <v>293</v>
      </c>
      <c r="T216" s="113" t="s">
        <v>733</v>
      </c>
      <c r="U216" s="113" t="s">
        <v>733</v>
      </c>
      <c r="V216" s="113" t="s">
        <v>827</v>
      </c>
      <c r="W216" s="113" t="s">
        <v>929</v>
      </c>
      <c r="X216" s="3"/>
      <c r="Y216" s="3">
        <v>1</v>
      </c>
    </row>
    <row r="217" spans="2:25" s="70" customFormat="1">
      <c r="C217" s="63" t="s">
        <v>531</v>
      </c>
      <c r="D217" s="63" t="s">
        <v>531</v>
      </c>
      <c r="E217" s="110" t="s">
        <v>844</v>
      </c>
      <c r="F217" s="111">
        <v>2672573314</v>
      </c>
      <c r="G217" s="63" t="s">
        <v>662</v>
      </c>
      <c r="H217" s="112">
        <v>24304448</v>
      </c>
      <c r="I217" s="116" t="s">
        <v>725</v>
      </c>
      <c r="J217" s="113" t="s">
        <v>56</v>
      </c>
      <c r="K217" s="109" t="s">
        <v>870</v>
      </c>
      <c r="L217" s="109"/>
      <c r="M217" s="114" t="s">
        <v>868</v>
      </c>
      <c r="N217" s="113" t="s">
        <v>733</v>
      </c>
      <c r="O217" s="114" t="s">
        <v>292</v>
      </c>
      <c r="P217" s="73">
        <v>45962</v>
      </c>
      <c r="Q217" s="113" t="s">
        <v>293</v>
      </c>
      <c r="R217" s="113" t="s">
        <v>733</v>
      </c>
      <c r="S217" s="113" t="s">
        <v>293</v>
      </c>
      <c r="T217" s="113" t="s">
        <v>733</v>
      </c>
      <c r="U217" s="113" t="s">
        <v>733</v>
      </c>
      <c r="V217" s="113" t="s">
        <v>827</v>
      </c>
      <c r="W217" s="113" t="s">
        <v>929</v>
      </c>
      <c r="X217" s="3"/>
      <c r="Y217" s="3">
        <v>1</v>
      </c>
    </row>
    <row r="218" spans="2:25">
      <c r="B218" s="70"/>
      <c r="C218" s="63" t="s">
        <v>531</v>
      </c>
      <c r="D218" s="63" t="s">
        <v>531</v>
      </c>
      <c r="E218" s="110" t="s">
        <v>844</v>
      </c>
      <c r="F218" s="111">
        <v>2672573314</v>
      </c>
      <c r="G218" s="63" t="s">
        <v>796</v>
      </c>
      <c r="H218" s="112">
        <v>24914114</v>
      </c>
      <c r="I218" s="116" t="s">
        <v>729</v>
      </c>
      <c r="J218" s="113" t="s">
        <v>55</v>
      </c>
      <c r="K218" s="109" t="s">
        <v>870</v>
      </c>
      <c r="L218" s="109"/>
      <c r="M218" s="114" t="s">
        <v>868</v>
      </c>
      <c r="N218" s="113" t="s">
        <v>733</v>
      </c>
      <c r="O218" s="114" t="s">
        <v>293</v>
      </c>
      <c r="P218" s="68" t="s">
        <v>733</v>
      </c>
      <c r="Q218" s="113" t="s">
        <v>293</v>
      </c>
      <c r="R218" s="113" t="s">
        <v>733</v>
      </c>
      <c r="S218" s="113" t="s">
        <v>293</v>
      </c>
      <c r="T218" s="113" t="s">
        <v>733</v>
      </c>
      <c r="U218" s="113" t="s">
        <v>733</v>
      </c>
      <c r="V218" s="113" t="s">
        <v>827</v>
      </c>
      <c r="W218" s="113" t="s">
        <v>929</v>
      </c>
      <c r="X218" s="68"/>
      <c r="Y218" s="3">
        <v>1</v>
      </c>
    </row>
    <row r="219" spans="2:25">
      <c r="C219" s="63" t="s">
        <v>531</v>
      </c>
      <c r="D219" s="63" t="s">
        <v>531</v>
      </c>
      <c r="E219" s="110" t="s">
        <v>844</v>
      </c>
      <c r="F219" s="111">
        <v>2672573314</v>
      </c>
      <c r="G219" s="63" t="s">
        <v>809</v>
      </c>
      <c r="H219" s="112">
        <v>30584938</v>
      </c>
      <c r="I219" s="116" t="s">
        <v>729</v>
      </c>
      <c r="J219" s="113" t="s">
        <v>55</v>
      </c>
      <c r="K219" s="109" t="s">
        <v>870</v>
      </c>
      <c r="L219" s="109"/>
      <c r="M219" s="114" t="s">
        <v>868</v>
      </c>
      <c r="N219" s="113" t="s">
        <v>733</v>
      </c>
      <c r="O219" s="114" t="s">
        <v>293</v>
      </c>
      <c r="P219" s="68" t="s">
        <v>733</v>
      </c>
      <c r="Q219" s="113" t="s">
        <v>293</v>
      </c>
      <c r="R219" s="113" t="s">
        <v>733</v>
      </c>
      <c r="S219" s="113" t="s">
        <v>293</v>
      </c>
      <c r="T219" s="113" t="s">
        <v>733</v>
      </c>
      <c r="U219" s="113" t="s">
        <v>733</v>
      </c>
      <c r="V219" s="113" t="s">
        <v>827</v>
      </c>
      <c r="W219" s="113" t="s">
        <v>929</v>
      </c>
      <c r="X219" s="68"/>
      <c r="Y219" s="3">
        <v>1</v>
      </c>
    </row>
    <row r="220" spans="2:25">
      <c r="C220" s="63" t="s">
        <v>531</v>
      </c>
      <c r="D220" s="63" t="s">
        <v>531</v>
      </c>
      <c r="E220" s="110" t="s">
        <v>844</v>
      </c>
      <c r="F220" s="111">
        <v>2672573314</v>
      </c>
      <c r="G220" s="63" t="s">
        <v>819</v>
      </c>
      <c r="H220" s="112">
        <v>27850492</v>
      </c>
      <c r="I220" s="116" t="s">
        <v>730</v>
      </c>
      <c r="J220" s="109" t="s">
        <v>727</v>
      </c>
      <c r="K220" s="109" t="s">
        <v>870</v>
      </c>
      <c r="L220" s="109"/>
      <c r="M220" s="114" t="s">
        <v>868</v>
      </c>
      <c r="N220" s="113" t="s">
        <v>733</v>
      </c>
      <c r="O220" s="114" t="s">
        <v>293</v>
      </c>
      <c r="P220" s="68" t="s">
        <v>733</v>
      </c>
      <c r="Q220" s="113" t="s">
        <v>293</v>
      </c>
      <c r="R220" s="113" t="s">
        <v>733</v>
      </c>
      <c r="S220" s="113" t="s">
        <v>293</v>
      </c>
      <c r="T220" s="113" t="s">
        <v>733</v>
      </c>
      <c r="U220" s="113" t="s">
        <v>733</v>
      </c>
      <c r="V220" s="113" t="s">
        <v>827</v>
      </c>
      <c r="W220" s="113" t="s">
        <v>929</v>
      </c>
      <c r="X220" s="68"/>
      <c r="Y220" s="3">
        <v>1</v>
      </c>
    </row>
    <row r="221" spans="2:25">
      <c r="C221" s="63" t="s">
        <v>27</v>
      </c>
      <c r="D221" s="63" t="s">
        <v>27</v>
      </c>
      <c r="E221" s="110" t="s">
        <v>844</v>
      </c>
      <c r="F221" s="111">
        <v>2672573314</v>
      </c>
      <c r="G221" s="63" t="s">
        <v>701</v>
      </c>
      <c r="H221" s="112">
        <v>13075335</v>
      </c>
      <c r="I221" s="116" t="s">
        <v>706</v>
      </c>
      <c r="J221" s="113" t="s">
        <v>56</v>
      </c>
      <c r="K221" s="109" t="s">
        <v>900</v>
      </c>
      <c r="L221" s="109" t="s">
        <v>901</v>
      </c>
      <c r="M221" s="114" t="s">
        <v>868</v>
      </c>
      <c r="N221" s="113" t="s">
        <v>733</v>
      </c>
      <c r="O221" s="114" t="s">
        <v>293</v>
      </c>
      <c r="P221" s="68" t="s">
        <v>733</v>
      </c>
      <c r="Q221" s="113" t="s">
        <v>293</v>
      </c>
      <c r="R221" s="113" t="s">
        <v>733</v>
      </c>
      <c r="S221" s="113" t="s">
        <v>293</v>
      </c>
      <c r="T221" s="113" t="s">
        <v>733</v>
      </c>
      <c r="U221" s="113" t="s">
        <v>733</v>
      </c>
      <c r="V221" s="113" t="s">
        <v>827</v>
      </c>
      <c r="W221" s="113" t="s">
        <v>929</v>
      </c>
      <c r="X221" s="3"/>
      <c r="Y221" s="3">
        <v>1</v>
      </c>
    </row>
    <row r="222" spans="2:25">
      <c r="C222" s="63" t="s">
        <v>27</v>
      </c>
      <c r="D222" s="63" t="s">
        <v>27</v>
      </c>
      <c r="E222" s="110" t="s">
        <v>844</v>
      </c>
      <c r="F222" s="111">
        <v>2672573314</v>
      </c>
      <c r="G222" s="63" t="s">
        <v>702</v>
      </c>
      <c r="H222" s="112">
        <v>13576767</v>
      </c>
      <c r="I222" s="116" t="s">
        <v>706</v>
      </c>
      <c r="J222" s="113" t="s">
        <v>56</v>
      </c>
      <c r="K222" s="109" t="s">
        <v>900</v>
      </c>
      <c r="L222" s="109" t="s">
        <v>901</v>
      </c>
      <c r="M222" s="114" t="s">
        <v>868</v>
      </c>
      <c r="N222" s="113" t="s">
        <v>733</v>
      </c>
      <c r="O222" s="114" t="s">
        <v>293</v>
      </c>
      <c r="P222" s="68" t="s">
        <v>733</v>
      </c>
      <c r="Q222" s="113" t="s">
        <v>293</v>
      </c>
      <c r="R222" s="113" t="s">
        <v>733</v>
      </c>
      <c r="S222" s="113" t="s">
        <v>293</v>
      </c>
      <c r="T222" s="113" t="s">
        <v>733</v>
      </c>
      <c r="U222" s="113" t="s">
        <v>733</v>
      </c>
      <c r="V222" s="113" t="s">
        <v>827</v>
      </c>
      <c r="W222" s="113" t="s">
        <v>929</v>
      </c>
      <c r="X222" s="3"/>
      <c r="Y222" s="3">
        <v>1</v>
      </c>
    </row>
    <row r="223" spans="2:25">
      <c r="C223" s="63" t="s">
        <v>27</v>
      </c>
      <c r="D223" s="63" t="s">
        <v>27</v>
      </c>
      <c r="E223" s="110" t="s">
        <v>844</v>
      </c>
      <c r="F223" s="111">
        <v>2672573314</v>
      </c>
      <c r="G223" s="63" t="s">
        <v>703</v>
      </c>
      <c r="H223" s="112">
        <v>24895569</v>
      </c>
      <c r="I223" s="116" t="s">
        <v>729</v>
      </c>
      <c r="J223" s="113" t="s">
        <v>56</v>
      </c>
      <c r="K223" s="109" t="s">
        <v>905</v>
      </c>
      <c r="L223" s="109" t="s">
        <v>906</v>
      </c>
      <c r="M223" s="114" t="s">
        <v>868</v>
      </c>
      <c r="N223" s="113" t="s">
        <v>733</v>
      </c>
      <c r="O223" s="114" t="s">
        <v>293</v>
      </c>
      <c r="P223" s="68" t="s">
        <v>733</v>
      </c>
      <c r="Q223" s="113" t="s">
        <v>293</v>
      </c>
      <c r="R223" s="113" t="s">
        <v>733</v>
      </c>
      <c r="S223" s="113" t="s">
        <v>293</v>
      </c>
      <c r="T223" s="113" t="s">
        <v>733</v>
      </c>
      <c r="U223" s="113" t="s">
        <v>733</v>
      </c>
      <c r="V223" s="113" t="s">
        <v>827</v>
      </c>
      <c r="W223" s="113" t="s">
        <v>929</v>
      </c>
      <c r="X223" s="3"/>
      <c r="Y223" s="3">
        <v>1</v>
      </c>
    </row>
    <row r="224" spans="2:25">
      <c r="C224" s="63" t="s">
        <v>27</v>
      </c>
      <c r="D224" s="63" t="s">
        <v>27</v>
      </c>
      <c r="E224" s="110" t="s">
        <v>844</v>
      </c>
      <c r="F224" s="111">
        <v>2672573314</v>
      </c>
      <c r="G224" s="63" t="s">
        <v>493</v>
      </c>
      <c r="H224" s="112">
        <v>20606065</v>
      </c>
      <c r="I224" s="109" t="s">
        <v>730</v>
      </c>
      <c r="J224" s="113" t="s">
        <v>414</v>
      </c>
      <c r="K224" s="109" t="s">
        <v>883</v>
      </c>
      <c r="L224" s="109" t="s">
        <v>884</v>
      </c>
      <c r="M224" s="114" t="s">
        <v>292</v>
      </c>
      <c r="N224" s="115">
        <v>45748</v>
      </c>
      <c r="O224" s="114" t="s">
        <v>292</v>
      </c>
      <c r="P224" s="73">
        <v>45962</v>
      </c>
      <c r="Q224" s="113" t="s">
        <v>293</v>
      </c>
      <c r="R224" s="113" t="s">
        <v>733</v>
      </c>
      <c r="S224" s="113" t="s">
        <v>293</v>
      </c>
      <c r="T224" s="113" t="s">
        <v>733</v>
      </c>
      <c r="U224" s="113" t="s">
        <v>733</v>
      </c>
      <c r="V224" s="113" t="s">
        <v>827</v>
      </c>
      <c r="W224" s="113" t="s">
        <v>929</v>
      </c>
      <c r="X224" s="3"/>
      <c r="Y224" s="3">
        <v>1</v>
      </c>
    </row>
    <row r="225" spans="1:25">
      <c r="C225" s="63" t="s">
        <v>27</v>
      </c>
      <c r="D225" s="63" t="s">
        <v>27</v>
      </c>
      <c r="E225" s="110" t="s">
        <v>844</v>
      </c>
      <c r="F225" s="111">
        <v>2672573314</v>
      </c>
      <c r="G225" s="63" t="s">
        <v>641</v>
      </c>
      <c r="H225" s="112">
        <v>16106452</v>
      </c>
      <c r="I225" s="109" t="s">
        <v>730</v>
      </c>
      <c r="J225" s="113" t="s">
        <v>56</v>
      </c>
      <c r="K225" s="109" t="s">
        <v>702</v>
      </c>
      <c r="L225" s="109" t="s">
        <v>904</v>
      </c>
      <c r="M225" s="114" t="s">
        <v>868</v>
      </c>
      <c r="N225" s="113" t="s">
        <v>733</v>
      </c>
      <c r="O225" s="114" t="s">
        <v>292</v>
      </c>
      <c r="P225" s="73">
        <v>45962</v>
      </c>
      <c r="Q225" s="113" t="s">
        <v>293</v>
      </c>
      <c r="R225" s="113" t="s">
        <v>733</v>
      </c>
      <c r="S225" s="113" t="s">
        <v>293</v>
      </c>
      <c r="T225" s="113" t="s">
        <v>733</v>
      </c>
      <c r="U225" s="113" t="s">
        <v>733</v>
      </c>
      <c r="V225" s="113" t="s">
        <v>827</v>
      </c>
      <c r="W225" s="113" t="s">
        <v>929</v>
      </c>
      <c r="X225" s="3"/>
      <c r="Y225" s="3">
        <v>1</v>
      </c>
    </row>
    <row r="226" spans="1:25">
      <c r="C226" s="63" t="s">
        <v>27</v>
      </c>
      <c r="D226" s="63" t="s">
        <v>27</v>
      </c>
      <c r="E226" s="110" t="s">
        <v>844</v>
      </c>
      <c r="F226" s="111">
        <v>2672573314</v>
      </c>
      <c r="G226" s="63" t="s">
        <v>494</v>
      </c>
      <c r="H226" s="112">
        <v>32010998</v>
      </c>
      <c r="I226" s="116" t="s">
        <v>725</v>
      </c>
      <c r="J226" s="113" t="s">
        <v>414</v>
      </c>
      <c r="K226" s="109" t="s">
        <v>905</v>
      </c>
      <c r="L226" s="109" t="s">
        <v>906</v>
      </c>
      <c r="M226" s="114" t="s">
        <v>868</v>
      </c>
      <c r="N226" s="113" t="s">
        <v>733</v>
      </c>
      <c r="O226" s="114" t="s">
        <v>292</v>
      </c>
      <c r="P226" s="73">
        <v>45962</v>
      </c>
      <c r="Q226" s="113" t="s">
        <v>293</v>
      </c>
      <c r="R226" s="113" t="s">
        <v>733</v>
      </c>
      <c r="S226" s="113" t="s">
        <v>293</v>
      </c>
      <c r="T226" s="113" t="s">
        <v>733</v>
      </c>
      <c r="U226" s="113" t="s">
        <v>733</v>
      </c>
      <c r="V226" s="113" t="s">
        <v>827</v>
      </c>
      <c r="W226" s="113" t="s">
        <v>929</v>
      </c>
      <c r="X226" s="3"/>
      <c r="Y226" s="3">
        <v>1</v>
      </c>
    </row>
    <row r="227" spans="1:25">
      <c r="A227" s="58"/>
      <c r="B227" s="58"/>
      <c r="C227" s="63" t="s">
        <v>27</v>
      </c>
      <c r="D227" s="63" t="s">
        <v>27</v>
      </c>
      <c r="E227" s="110" t="s">
        <v>844</v>
      </c>
      <c r="F227" s="111">
        <v>2672573314</v>
      </c>
      <c r="G227" s="63" t="s">
        <v>568</v>
      </c>
      <c r="H227" s="112">
        <v>14301139</v>
      </c>
      <c r="I227" s="109" t="s">
        <v>730</v>
      </c>
      <c r="J227" s="113" t="s">
        <v>53</v>
      </c>
      <c r="K227" s="109" t="s">
        <v>899</v>
      </c>
      <c r="L227" s="109" t="s">
        <v>910</v>
      </c>
      <c r="M227" s="114" t="s">
        <v>868</v>
      </c>
      <c r="N227" s="113" t="s">
        <v>733</v>
      </c>
      <c r="O227" s="114" t="s">
        <v>292</v>
      </c>
      <c r="P227" s="73">
        <v>45962</v>
      </c>
      <c r="Q227" s="113" t="s">
        <v>293</v>
      </c>
      <c r="R227" s="113" t="s">
        <v>733</v>
      </c>
      <c r="S227" s="113" t="s">
        <v>293</v>
      </c>
      <c r="T227" s="113" t="s">
        <v>733</v>
      </c>
      <c r="U227" s="113" t="s">
        <v>733</v>
      </c>
      <c r="V227" s="113" t="s">
        <v>827</v>
      </c>
      <c r="W227" s="113" t="s">
        <v>929</v>
      </c>
      <c r="X227" s="3"/>
      <c r="Y227" s="3">
        <v>1</v>
      </c>
    </row>
    <row r="228" spans="1:25">
      <c r="C228" s="63" t="s">
        <v>27</v>
      </c>
      <c r="D228" s="63" t="s">
        <v>27</v>
      </c>
      <c r="E228" s="110" t="s">
        <v>844</v>
      </c>
      <c r="F228" s="111">
        <v>2672573314</v>
      </c>
      <c r="G228" s="63" t="s">
        <v>569</v>
      </c>
      <c r="H228" s="112">
        <v>19257168</v>
      </c>
      <c r="I228" s="116" t="s">
        <v>725</v>
      </c>
      <c r="J228" s="113" t="s">
        <v>53</v>
      </c>
      <c r="K228" s="109" t="s">
        <v>899</v>
      </c>
      <c r="L228" s="109" t="s">
        <v>910</v>
      </c>
      <c r="M228" s="114" t="s">
        <v>868</v>
      </c>
      <c r="N228" s="113" t="s">
        <v>733</v>
      </c>
      <c r="O228" s="114" t="s">
        <v>292</v>
      </c>
      <c r="P228" s="73">
        <v>45962</v>
      </c>
      <c r="Q228" s="113" t="s">
        <v>293</v>
      </c>
      <c r="R228" s="113" t="s">
        <v>733</v>
      </c>
      <c r="S228" s="113" t="s">
        <v>293</v>
      </c>
      <c r="T228" s="113" t="s">
        <v>733</v>
      </c>
      <c r="U228" s="113" t="s">
        <v>733</v>
      </c>
      <c r="V228" s="113" t="s">
        <v>827</v>
      </c>
      <c r="W228" s="113" t="s">
        <v>929</v>
      </c>
      <c r="X228" s="68"/>
      <c r="Y228" s="3">
        <v>1</v>
      </c>
    </row>
    <row r="229" spans="1:25">
      <c r="C229" s="63" t="s">
        <v>27</v>
      </c>
      <c r="D229" s="63" t="s">
        <v>27</v>
      </c>
      <c r="E229" s="110" t="s">
        <v>844</v>
      </c>
      <c r="F229" s="111">
        <v>2672573314</v>
      </c>
      <c r="G229" s="63" t="s">
        <v>570</v>
      </c>
      <c r="H229" s="112">
        <v>10525882</v>
      </c>
      <c r="I229" s="109" t="s">
        <v>730</v>
      </c>
      <c r="J229" s="113" t="s">
        <v>414</v>
      </c>
      <c r="K229" s="109" t="s">
        <v>883</v>
      </c>
      <c r="L229" s="109" t="s">
        <v>884</v>
      </c>
      <c r="M229" s="114" t="s">
        <v>868</v>
      </c>
      <c r="N229" s="113" t="s">
        <v>733</v>
      </c>
      <c r="O229" s="114" t="s">
        <v>292</v>
      </c>
      <c r="P229" s="73">
        <v>45962</v>
      </c>
      <c r="Q229" s="113" t="s">
        <v>293</v>
      </c>
      <c r="R229" s="113" t="s">
        <v>733</v>
      </c>
      <c r="S229" s="113" t="s">
        <v>293</v>
      </c>
      <c r="T229" s="113" t="s">
        <v>733</v>
      </c>
      <c r="U229" s="113" t="s">
        <v>733</v>
      </c>
      <c r="V229" s="113" t="s">
        <v>827</v>
      </c>
      <c r="W229" s="113" t="s">
        <v>929</v>
      </c>
      <c r="X229" s="3"/>
      <c r="Y229" s="3">
        <v>1</v>
      </c>
    </row>
    <row r="230" spans="1:25">
      <c r="C230" s="63" t="s">
        <v>27</v>
      </c>
      <c r="D230" s="63" t="s">
        <v>27</v>
      </c>
      <c r="E230" s="110" t="s">
        <v>844</v>
      </c>
      <c r="F230" s="111">
        <v>2672573314</v>
      </c>
      <c r="G230" s="63" t="s">
        <v>571</v>
      </c>
      <c r="H230" s="112">
        <v>28754101</v>
      </c>
      <c r="I230" s="109" t="s">
        <v>730</v>
      </c>
      <c r="J230" s="113" t="s">
        <v>414</v>
      </c>
      <c r="K230" s="109" t="s">
        <v>883</v>
      </c>
      <c r="L230" s="109" t="s">
        <v>884</v>
      </c>
      <c r="M230" s="114" t="s">
        <v>868</v>
      </c>
      <c r="N230" s="113" t="s">
        <v>733</v>
      </c>
      <c r="O230" s="114" t="s">
        <v>292</v>
      </c>
      <c r="P230" s="73">
        <v>45962</v>
      </c>
      <c r="Q230" s="113" t="s">
        <v>293</v>
      </c>
      <c r="R230" s="113" t="s">
        <v>733</v>
      </c>
      <c r="S230" s="113" t="s">
        <v>293</v>
      </c>
      <c r="T230" s="113" t="s">
        <v>733</v>
      </c>
      <c r="U230" s="113" t="s">
        <v>733</v>
      </c>
      <c r="V230" s="113" t="s">
        <v>827</v>
      </c>
      <c r="W230" s="113" t="s">
        <v>929</v>
      </c>
      <c r="X230" s="68"/>
      <c r="Y230" s="3">
        <v>1</v>
      </c>
    </row>
    <row r="231" spans="1:25">
      <c r="C231" s="63" t="s">
        <v>27</v>
      </c>
      <c r="D231" s="63" t="s">
        <v>27</v>
      </c>
      <c r="E231" s="110" t="s">
        <v>844</v>
      </c>
      <c r="F231" s="111">
        <v>2672573314</v>
      </c>
      <c r="G231" s="63" t="s">
        <v>572</v>
      </c>
      <c r="H231" s="112">
        <v>30158012</v>
      </c>
      <c r="I231" s="116" t="s">
        <v>725</v>
      </c>
      <c r="J231" s="113" t="s">
        <v>414</v>
      </c>
      <c r="K231" s="109" t="s">
        <v>883</v>
      </c>
      <c r="L231" s="109" t="s">
        <v>884</v>
      </c>
      <c r="M231" s="114" t="s">
        <v>868</v>
      </c>
      <c r="N231" s="113" t="s">
        <v>733</v>
      </c>
      <c r="O231" s="114" t="s">
        <v>292</v>
      </c>
      <c r="P231" s="73">
        <v>45962</v>
      </c>
      <c r="Q231" s="113" t="s">
        <v>293</v>
      </c>
      <c r="R231" s="113" t="s">
        <v>733</v>
      </c>
      <c r="S231" s="113" t="s">
        <v>293</v>
      </c>
      <c r="T231" s="113" t="s">
        <v>733</v>
      </c>
      <c r="U231" s="113" t="s">
        <v>733</v>
      </c>
      <c r="V231" s="113" t="s">
        <v>827</v>
      </c>
      <c r="W231" s="113" t="s">
        <v>929</v>
      </c>
      <c r="X231" s="3"/>
      <c r="Y231" s="3">
        <v>1</v>
      </c>
    </row>
    <row r="232" spans="1:25">
      <c r="C232" s="63" t="s">
        <v>27</v>
      </c>
      <c r="D232" s="63" t="s">
        <v>27</v>
      </c>
      <c r="E232" s="110" t="s">
        <v>844</v>
      </c>
      <c r="F232" s="111">
        <v>2672573314</v>
      </c>
      <c r="G232" s="63" t="s">
        <v>573</v>
      </c>
      <c r="H232" s="112">
        <v>6306724</v>
      </c>
      <c r="I232" s="116" t="s">
        <v>725</v>
      </c>
      <c r="J232" s="113" t="s">
        <v>414</v>
      </c>
      <c r="K232" s="109" t="s">
        <v>883</v>
      </c>
      <c r="L232" s="109" t="s">
        <v>884</v>
      </c>
      <c r="M232" s="114" t="s">
        <v>868</v>
      </c>
      <c r="N232" s="113" t="s">
        <v>733</v>
      </c>
      <c r="O232" s="114" t="s">
        <v>292</v>
      </c>
      <c r="P232" s="73">
        <v>45962</v>
      </c>
      <c r="Q232" s="113" t="s">
        <v>293</v>
      </c>
      <c r="R232" s="113" t="s">
        <v>733</v>
      </c>
      <c r="S232" s="113" t="s">
        <v>293</v>
      </c>
      <c r="T232" s="113" t="s">
        <v>733</v>
      </c>
      <c r="U232" s="113" t="s">
        <v>733</v>
      </c>
      <c r="V232" s="113" t="s">
        <v>827</v>
      </c>
      <c r="W232" s="113" t="s">
        <v>929</v>
      </c>
      <c r="X232" s="3"/>
      <c r="Y232" s="3">
        <v>1</v>
      </c>
    </row>
    <row r="233" spans="1:25">
      <c r="C233" s="63" t="s">
        <v>27</v>
      </c>
      <c r="D233" s="63" t="s">
        <v>27</v>
      </c>
      <c r="E233" s="110" t="s">
        <v>844</v>
      </c>
      <c r="F233" s="111">
        <v>2672573314</v>
      </c>
      <c r="G233" s="63" t="s">
        <v>139</v>
      </c>
      <c r="H233" s="53">
        <v>15701445</v>
      </c>
      <c r="I233" s="109" t="s">
        <v>730</v>
      </c>
      <c r="J233" s="113" t="s">
        <v>56</v>
      </c>
      <c r="K233" s="109" t="s">
        <v>905</v>
      </c>
      <c r="L233" s="109" t="s">
        <v>906</v>
      </c>
      <c r="M233" s="114" t="s">
        <v>868</v>
      </c>
      <c r="N233" s="113" t="s">
        <v>733</v>
      </c>
      <c r="O233" s="114" t="s">
        <v>292</v>
      </c>
      <c r="P233" s="73">
        <v>45962</v>
      </c>
      <c r="Q233" s="113" t="s">
        <v>293</v>
      </c>
      <c r="R233" s="113" t="s">
        <v>733</v>
      </c>
      <c r="S233" s="113" t="s">
        <v>293</v>
      </c>
      <c r="T233" s="113" t="s">
        <v>733</v>
      </c>
      <c r="U233" s="113" t="s">
        <v>733</v>
      </c>
      <c r="V233" s="113" t="s">
        <v>827</v>
      </c>
      <c r="W233" s="113" t="s">
        <v>929</v>
      </c>
      <c r="X233" s="3"/>
      <c r="Y233" s="3">
        <v>1</v>
      </c>
    </row>
    <row r="234" spans="1:25">
      <c r="C234" s="63" t="s">
        <v>27</v>
      </c>
      <c r="D234" s="63" t="s">
        <v>27</v>
      </c>
      <c r="E234" s="110" t="s">
        <v>844</v>
      </c>
      <c r="F234" s="111">
        <v>2672573314</v>
      </c>
      <c r="G234" s="63" t="s">
        <v>142</v>
      </c>
      <c r="H234" s="53">
        <v>12417655</v>
      </c>
      <c r="I234" s="116" t="s">
        <v>725</v>
      </c>
      <c r="J234" s="113" t="s">
        <v>56</v>
      </c>
      <c r="K234" s="109" t="s">
        <v>883</v>
      </c>
      <c r="L234" s="109" t="s">
        <v>884</v>
      </c>
      <c r="M234" s="114" t="s">
        <v>868</v>
      </c>
      <c r="N234" s="113" t="s">
        <v>733</v>
      </c>
      <c r="O234" s="114" t="s">
        <v>293</v>
      </c>
      <c r="P234" s="68" t="s">
        <v>733</v>
      </c>
      <c r="Q234" s="113" t="s">
        <v>293</v>
      </c>
      <c r="R234" s="113" t="s">
        <v>733</v>
      </c>
      <c r="S234" s="113" t="s">
        <v>293</v>
      </c>
      <c r="T234" s="113" t="s">
        <v>733</v>
      </c>
      <c r="U234" s="113" t="s">
        <v>733</v>
      </c>
      <c r="V234" s="113" t="s">
        <v>827</v>
      </c>
      <c r="W234" s="113" t="s">
        <v>929</v>
      </c>
      <c r="X234" s="3"/>
      <c r="Y234" s="3">
        <v>1</v>
      </c>
    </row>
    <row r="235" spans="1:25">
      <c r="C235" s="63" t="s">
        <v>27</v>
      </c>
      <c r="D235" s="63" t="s">
        <v>27</v>
      </c>
      <c r="E235" s="110" t="s">
        <v>844</v>
      </c>
      <c r="F235" s="111">
        <v>2672573314</v>
      </c>
      <c r="G235" s="63" t="s">
        <v>143</v>
      </c>
      <c r="H235" s="53">
        <v>19424950</v>
      </c>
      <c r="I235" s="109" t="s">
        <v>730</v>
      </c>
      <c r="J235" s="113" t="s">
        <v>56</v>
      </c>
      <c r="K235" s="109" t="s">
        <v>905</v>
      </c>
      <c r="L235" s="109" t="s">
        <v>906</v>
      </c>
      <c r="M235" s="114" t="s">
        <v>868</v>
      </c>
      <c r="N235" s="113" t="s">
        <v>733</v>
      </c>
      <c r="O235" s="114" t="s">
        <v>292</v>
      </c>
      <c r="P235" s="73">
        <v>45962</v>
      </c>
      <c r="Q235" s="113" t="s">
        <v>293</v>
      </c>
      <c r="R235" s="113" t="s">
        <v>733</v>
      </c>
      <c r="S235" s="113" t="s">
        <v>293</v>
      </c>
      <c r="T235" s="113" t="s">
        <v>733</v>
      </c>
      <c r="U235" s="113" t="s">
        <v>733</v>
      </c>
      <c r="V235" s="113" t="s">
        <v>827</v>
      </c>
      <c r="W235" s="113" t="s">
        <v>929</v>
      </c>
      <c r="X235" s="3"/>
      <c r="Y235" s="3">
        <v>1</v>
      </c>
    </row>
    <row r="236" spans="1:25">
      <c r="C236" s="63" t="s">
        <v>27</v>
      </c>
      <c r="D236" s="63" t="s">
        <v>27</v>
      </c>
      <c r="E236" s="110" t="s">
        <v>844</v>
      </c>
      <c r="F236" s="111">
        <v>2672573314</v>
      </c>
      <c r="G236" s="63" t="s">
        <v>704</v>
      </c>
      <c r="H236" s="53">
        <v>19223552</v>
      </c>
      <c r="I236" s="109" t="s">
        <v>730</v>
      </c>
      <c r="J236" s="113" t="s">
        <v>56</v>
      </c>
      <c r="K236" s="109" t="s">
        <v>905</v>
      </c>
      <c r="L236" s="109" t="s">
        <v>906</v>
      </c>
      <c r="M236" s="114" t="s">
        <v>868</v>
      </c>
      <c r="N236" s="113" t="s">
        <v>733</v>
      </c>
      <c r="O236" s="114" t="s">
        <v>292</v>
      </c>
      <c r="P236" s="73">
        <v>45962</v>
      </c>
      <c r="Q236" s="113" t="s">
        <v>293</v>
      </c>
      <c r="R236" s="113" t="s">
        <v>733</v>
      </c>
      <c r="S236" s="113" t="s">
        <v>293</v>
      </c>
      <c r="T236" s="113" t="s">
        <v>733</v>
      </c>
      <c r="U236" s="113" t="s">
        <v>733</v>
      </c>
      <c r="V236" s="113" t="s">
        <v>827</v>
      </c>
      <c r="W236" s="113" t="s">
        <v>929</v>
      </c>
      <c r="X236" s="3"/>
      <c r="Y236" s="3">
        <v>1</v>
      </c>
    </row>
    <row r="237" spans="1:25">
      <c r="C237" s="63" t="s">
        <v>27</v>
      </c>
      <c r="D237" s="63" t="s">
        <v>27</v>
      </c>
      <c r="E237" s="110" t="s">
        <v>844</v>
      </c>
      <c r="F237" s="111">
        <v>2672573314</v>
      </c>
      <c r="G237" s="63" t="s">
        <v>145</v>
      </c>
      <c r="H237" s="53">
        <v>20629532</v>
      </c>
      <c r="I237" s="109" t="s">
        <v>730</v>
      </c>
      <c r="J237" s="113" t="s">
        <v>56</v>
      </c>
      <c r="K237" s="109" t="s">
        <v>905</v>
      </c>
      <c r="L237" s="109" t="s">
        <v>906</v>
      </c>
      <c r="M237" s="114" t="s">
        <v>868</v>
      </c>
      <c r="N237" s="113" t="s">
        <v>733</v>
      </c>
      <c r="O237" s="114" t="s">
        <v>292</v>
      </c>
      <c r="P237" s="73">
        <v>45962</v>
      </c>
      <c r="Q237" s="113" t="s">
        <v>293</v>
      </c>
      <c r="R237" s="113" t="s">
        <v>733</v>
      </c>
      <c r="S237" s="113" t="s">
        <v>293</v>
      </c>
      <c r="T237" s="113" t="s">
        <v>733</v>
      </c>
      <c r="U237" s="113" t="s">
        <v>733</v>
      </c>
      <c r="V237" s="113" t="s">
        <v>827</v>
      </c>
      <c r="W237" s="113" t="s">
        <v>929</v>
      </c>
      <c r="X237" s="3"/>
      <c r="Y237" s="3">
        <v>1</v>
      </c>
    </row>
    <row r="238" spans="1:25">
      <c r="C238" s="63" t="s">
        <v>27</v>
      </c>
      <c r="D238" s="63" t="s">
        <v>27</v>
      </c>
      <c r="E238" s="110" t="s">
        <v>844</v>
      </c>
      <c r="F238" s="111">
        <v>2672573314</v>
      </c>
      <c r="G238" s="63" t="s">
        <v>146</v>
      </c>
      <c r="H238" s="53">
        <v>27039004</v>
      </c>
      <c r="I238" s="116" t="s">
        <v>725</v>
      </c>
      <c r="J238" s="113" t="s">
        <v>55</v>
      </c>
      <c r="K238" s="109" t="s">
        <v>905</v>
      </c>
      <c r="L238" s="109" t="s">
        <v>906</v>
      </c>
      <c r="M238" s="114" t="s">
        <v>868</v>
      </c>
      <c r="N238" s="113" t="s">
        <v>733</v>
      </c>
      <c r="O238" s="114" t="s">
        <v>292</v>
      </c>
      <c r="P238" s="73">
        <v>45962</v>
      </c>
      <c r="Q238" s="113" t="s">
        <v>293</v>
      </c>
      <c r="R238" s="113" t="s">
        <v>733</v>
      </c>
      <c r="S238" s="113" t="s">
        <v>293</v>
      </c>
      <c r="T238" s="113" t="s">
        <v>733</v>
      </c>
      <c r="U238" s="113" t="s">
        <v>733</v>
      </c>
      <c r="V238" s="113" t="s">
        <v>827</v>
      </c>
      <c r="W238" s="113" t="s">
        <v>929</v>
      </c>
      <c r="X238" s="3"/>
      <c r="Y238" s="3">
        <v>1</v>
      </c>
    </row>
    <row r="239" spans="1:25">
      <c r="C239" s="63" t="s">
        <v>27</v>
      </c>
      <c r="D239" s="63" t="s">
        <v>27</v>
      </c>
      <c r="E239" s="110" t="s">
        <v>844</v>
      </c>
      <c r="F239" s="111">
        <v>2672573314</v>
      </c>
      <c r="G239" s="63" t="s">
        <v>152</v>
      </c>
      <c r="H239" s="112">
        <v>16509925</v>
      </c>
      <c r="I239" s="109" t="s">
        <v>730</v>
      </c>
      <c r="J239" s="113" t="s">
        <v>56</v>
      </c>
      <c r="K239" s="109" t="s">
        <v>702</v>
      </c>
      <c r="L239" s="109" t="s">
        <v>904</v>
      </c>
      <c r="M239" s="114" t="s">
        <v>868</v>
      </c>
      <c r="N239" s="113" t="s">
        <v>733</v>
      </c>
      <c r="O239" s="114" t="s">
        <v>292</v>
      </c>
      <c r="P239" s="73">
        <v>45962</v>
      </c>
      <c r="Q239" s="113" t="s">
        <v>293</v>
      </c>
      <c r="R239" s="113" t="s">
        <v>733</v>
      </c>
      <c r="S239" s="113" t="s">
        <v>293</v>
      </c>
      <c r="T239" s="113" t="s">
        <v>733</v>
      </c>
      <c r="U239" s="113" t="s">
        <v>733</v>
      </c>
      <c r="V239" s="113" t="s">
        <v>827</v>
      </c>
      <c r="W239" s="113" t="s">
        <v>929</v>
      </c>
      <c r="X239" s="3"/>
      <c r="Y239" s="3">
        <v>1</v>
      </c>
    </row>
    <row r="240" spans="1:25">
      <c r="C240" s="63" t="s">
        <v>27</v>
      </c>
      <c r="D240" s="63" t="s">
        <v>27</v>
      </c>
      <c r="E240" s="110" t="s">
        <v>844</v>
      </c>
      <c r="F240" s="111">
        <v>2672573314</v>
      </c>
      <c r="G240" s="63" t="s">
        <v>574</v>
      </c>
      <c r="H240" s="112">
        <v>21195076</v>
      </c>
      <c r="I240" s="109" t="s">
        <v>730</v>
      </c>
      <c r="J240" s="113" t="s">
        <v>56</v>
      </c>
      <c r="K240" s="109" t="s">
        <v>702</v>
      </c>
      <c r="L240" s="109" t="s">
        <v>904</v>
      </c>
      <c r="M240" s="114" t="s">
        <v>868</v>
      </c>
      <c r="N240" s="113" t="s">
        <v>733</v>
      </c>
      <c r="O240" s="114" t="s">
        <v>293</v>
      </c>
      <c r="P240" s="68" t="s">
        <v>733</v>
      </c>
      <c r="Q240" s="113" t="s">
        <v>293</v>
      </c>
      <c r="R240" s="113" t="s">
        <v>733</v>
      </c>
      <c r="S240" s="113" t="s">
        <v>293</v>
      </c>
      <c r="T240" s="113" t="s">
        <v>733</v>
      </c>
      <c r="U240" s="113" t="s">
        <v>733</v>
      </c>
      <c r="V240" s="113" t="s">
        <v>827</v>
      </c>
      <c r="W240" s="113" t="s">
        <v>929</v>
      </c>
      <c r="X240" s="3"/>
      <c r="Y240" s="3">
        <v>1</v>
      </c>
    </row>
    <row r="241" spans="3:25">
      <c r="C241" s="63" t="s">
        <v>27</v>
      </c>
      <c r="D241" s="63" t="s">
        <v>27</v>
      </c>
      <c r="E241" s="110" t="s">
        <v>844</v>
      </c>
      <c r="F241" s="111">
        <v>2672573314</v>
      </c>
      <c r="G241" s="63" t="s">
        <v>575</v>
      </c>
      <c r="H241" s="112">
        <v>28338494</v>
      </c>
      <c r="I241" s="109" t="s">
        <v>730</v>
      </c>
      <c r="J241" s="113" t="s">
        <v>56</v>
      </c>
      <c r="K241" s="109" t="s">
        <v>905</v>
      </c>
      <c r="L241" s="109" t="s">
        <v>906</v>
      </c>
      <c r="M241" s="114" t="s">
        <v>868</v>
      </c>
      <c r="N241" s="113" t="s">
        <v>733</v>
      </c>
      <c r="O241" s="114" t="s">
        <v>292</v>
      </c>
      <c r="P241" s="73">
        <v>45962</v>
      </c>
      <c r="Q241" s="113" t="s">
        <v>293</v>
      </c>
      <c r="R241" s="113" t="s">
        <v>733</v>
      </c>
      <c r="S241" s="113" t="s">
        <v>293</v>
      </c>
      <c r="T241" s="113" t="s">
        <v>733</v>
      </c>
      <c r="U241" s="113" t="s">
        <v>733</v>
      </c>
      <c r="V241" s="113" t="s">
        <v>827</v>
      </c>
      <c r="W241" s="113" t="s">
        <v>929</v>
      </c>
      <c r="X241" s="3"/>
      <c r="Y241" s="3">
        <v>1</v>
      </c>
    </row>
    <row r="242" spans="3:25">
      <c r="C242" s="63" t="s">
        <v>27</v>
      </c>
      <c r="D242" s="63" t="s">
        <v>27</v>
      </c>
      <c r="E242" s="110" t="s">
        <v>844</v>
      </c>
      <c r="F242" s="111">
        <v>2672573314</v>
      </c>
      <c r="G242" s="63" t="s">
        <v>576</v>
      </c>
      <c r="H242" s="112">
        <v>18554085</v>
      </c>
      <c r="I242" s="109" t="s">
        <v>730</v>
      </c>
      <c r="J242" s="113" t="s">
        <v>56</v>
      </c>
      <c r="K242" s="109" t="s">
        <v>905</v>
      </c>
      <c r="L242" s="109" t="s">
        <v>906</v>
      </c>
      <c r="M242" s="114" t="s">
        <v>868</v>
      </c>
      <c r="N242" s="113" t="s">
        <v>733</v>
      </c>
      <c r="O242" s="114" t="s">
        <v>292</v>
      </c>
      <c r="P242" s="73">
        <v>45962</v>
      </c>
      <c r="Q242" s="113" t="s">
        <v>293</v>
      </c>
      <c r="R242" s="113" t="s">
        <v>733</v>
      </c>
      <c r="S242" s="113" t="s">
        <v>293</v>
      </c>
      <c r="T242" s="113" t="s">
        <v>733</v>
      </c>
      <c r="U242" s="113" t="s">
        <v>733</v>
      </c>
      <c r="V242" s="113" t="s">
        <v>827</v>
      </c>
      <c r="W242" s="113" t="s">
        <v>929</v>
      </c>
      <c r="X242" s="3"/>
      <c r="Y242" s="3">
        <v>1</v>
      </c>
    </row>
    <row r="243" spans="3:25">
      <c r="C243" s="63" t="s">
        <v>27</v>
      </c>
      <c r="D243" s="63" t="s">
        <v>27</v>
      </c>
      <c r="E243" s="110" t="s">
        <v>844</v>
      </c>
      <c r="F243" s="111">
        <v>2672573314</v>
      </c>
      <c r="G243" s="63" t="s">
        <v>156</v>
      </c>
      <c r="H243" s="112">
        <v>15587040</v>
      </c>
      <c r="I243" s="109" t="s">
        <v>730</v>
      </c>
      <c r="J243" s="113" t="s">
        <v>56</v>
      </c>
      <c r="K243" s="109" t="s">
        <v>702</v>
      </c>
      <c r="L243" s="109" t="s">
        <v>904</v>
      </c>
      <c r="M243" s="114" t="s">
        <v>868</v>
      </c>
      <c r="N243" s="113" t="s">
        <v>733</v>
      </c>
      <c r="O243" s="114" t="s">
        <v>292</v>
      </c>
      <c r="P243" s="73">
        <v>45962</v>
      </c>
      <c r="Q243" s="113" t="s">
        <v>293</v>
      </c>
      <c r="R243" s="113" t="s">
        <v>733</v>
      </c>
      <c r="S243" s="113" t="s">
        <v>293</v>
      </c>
      <c r="T243" s="113" t="s">
        <v>733</v>
      </c>
      <c r="U243" s="113" t="s">
        <v>733</v>
      </c>
      <c r="V243" s="113" t="s">
        <v>827</v>
      </c>
      <c r="W243" s="113" t="s">
        <v>929</v>
      </c>
      <c r="X243" s="3"/>
      <c r="Y243" s="3">
        <v>1</v>
      </c>
    </row>
    <row r="244" spans="3:25">
      <c r="C244" s="63" t="s">
        <v>27</v>
      </c>
      <c r="D244" s="63" t="s">
        <v>27</v>
      </c>
      <c r="E244" s="110" t="s">
        <v>844</v>
      </c>
      <c r="F244" s="111">
        <v>2672573314</v>
      </c>
      <c r="G244" s="63" t="s">
        <v>157</v>
      </c>
      <c r="H244" s="112">
        <v>20127698</v>
      </c>
      <c r="I244" s="116" t="s">
        <v>725</v>
      </c>
      <c r="J244" s="113" t="s">
        <v>56</v>
      </c>
      <c r="K244" s="109" t="s">
        <v>702</v>
      </c>
      <c r="L244" s="109" t="s">
        <v>904</v>
      </c>
      <c r="M244" s="114" t="s">
        <v>868</v>
      </c>
      <c r="N244" s="113" t="s">
        <v>733</v>
      </c>
      <c r="O244" s="114" t="s">
        <v>292</v>
      </c>
      <c r="P244" s="73">
        <v>45962</v>
      </c>
      <c r="Q244" s="113" t="s">
        <v>293</v>
      </c>
      <c r="R244" s="113" t="s">
        <v>733</v>
      </c>
      <c r="S244" s="113" t="s">
        <v>293</v>
      </c>
      <c r="T244" s="113" t="s">
        <v>733</v>
      </c>
      <c r="U244" s="113" t="s">
        <v>733</v>
      </c>
      <c r="V244" s="113" t="s">
        <v>827</v>
      </c>
      <c r="W244" s="113" t="s">
        <v>929</v>
      </c>
      <c r="X244" s="82"/>
      <c r="Y244" s="3">
        <v>1</v>
      </c>
    </row>
    <row r="245" spans="3:25">
      <c r="C245" s="63" t="s">
        <v>27</v>
      </c>
      <c r="D245" s="63" t="s">
        <v>27</v>
      </c>
      <c r="E245" s="110" t="s">
        <v>844</v>
      </c>
      <c r="F245" s="111">
        <v>2672573314</v>
      </c>
      <c r="G245" s="63" t="s">
        <v>158</v>
      </c>
      <c r="H245" s="112">
        <v>18270472</v>
      </c>
      <c r="I245" s="116" t="s">
        <v>725</v>
      </c>
      <c r="J245" s="113" t="s">
        <v>56</v>
      </c>
      <c r="K245" s="109" t="s">
        <v>702</v>
      </c>
      <c r="L245" s="109" t="s">
        <v>904</v>
      </c>
      <c r="M245" s="114" t="s">
        <v>868</v>
      </c>
      <c r="N245" s="113" t="s">
        <v>733</v>
      </c>
      <c r="O245" s="114" t="s">
        <v>292</v>
      </c>
      <c r="P245" s="73">
        <v>45962</v>
      </c>
      <c r="Q245" s="113" t="s">
        <v>293</v>
      </c>
      <c r="R245" s="113" t="s">
        <v>733</v>
      </c>
      <c r="S245" s="113" t="s">
        <v>293</v>
      </c>
      <c r="T245" s="113" t="s">
        <v>733</v>
      </c>
      <c r="U245" s="113" t="s">
        <v>733</v>
      </c>
      <c r="V245" s="113" t="s">
        <v>827</v>
      </c>
      <c r="W245" s="113" t="s">
        <v>929</v>
      </c>
      <c r="X245" s="3"/>
      <c r="Y245" s="3">
        <v>1</v>
      </c>
    </row>
    <row r="246" spans="3:25">
      <c r="C246" s="63" t="s">
        <v>27</v>
      </c>
      <c r="D246" s="63" t="s">
        <v>27</v>
      </c>
      <c r="E246" s="110" t="s">
        <v>844</v>
      </c>
      <c r="F246" s="111">
        <v>2672573314</v>
      </c>
      <c r="G246" s="63" t="s">
        <v>159</v>
      </c>
      <c r="H246" s="112">
        <v>17152866</v>
      </c>
      <c r="I246" s="116" t="s">
        <v>725</v>
      </c>
      <c r="J246" s="113" t="s">
        <v>56</v>
      </c>
      <c r="K246" s="109" t="s">
        <v>702</v>
      </c>
      <c r="L246" s="109" t="s">
        <v>904</v>
      </c>
      <c r="M246" s="114" t="s">
        <v>868</v>
      </c>
      <c r="N246" s="113" t="s">
        <v>733</v>
      </c>
      <c r="O246" s="114" t="s">
        <v>292</v>
      </c>
      <c r="P246" s="73">
        <v>45962</v>
      </c>
      <c r="Q246" s="113" t="s">
        <v>293</v>
      </c>
      <c r="R246" s="113" t="s">
        <v>733</v>
      </c>
      <c r="S246" s="113" t="s">
        <v>293</v>
      </c>
      <c r="T246" s="113" t="s">
        <v>733</v>
      </c>
      <c r="U246" s="113" t="s">
        <v>733</v>
      </c>
      <c r="V246" s="113" t="s">
        <v>827</v>
      </c>
      <c r="W246" s="113" t="s">
        <v>929</v>
      </c>
      <c r="X246" s="3"/>
      <c r="Y246" s="3">
        <v>1</v>
      </c>
    </row>
    <row r="247" spans="3:25">
      <c r="C247" s="63" t="s">
        <v>27</v>
      </c>
      <c r="D247" s="63" t="s">
        <v>27</v>
      </c>
      <c r="E247" s="110" t="s">
        <v>844</v>
      </c>
      <c r="F247" s="111">
        <v>2672573314</v>
      </c>
      <c r="G247" s="63" t="s">
        <v>160</v>
      </c>
      <c r="H247" s="112">
        <v>17562063</v>
      </c>
      <c r="I247" s="116" t="s">
        <v>725</v>
      </c>
      <c r="J247" s="113" t="s">
        <v>56</v>
      </c>
      <c r="K247" s="109" t="s">
        <v>702</v>
      </c>
      <c r="L247" s="109" t="s">
        <v>904</v>
      </c>
      <c r="M247" s="114" t="s">
        <v>868</v>
      </c>
      <c r="N247" s="113" t="s">
        <v>733</v>
      </c>
      <c r="O247" s="114" t="s">
        <v>292</v>
      </c>
      <c r="P247" s="73">
        <v>45962</v>
      </c>
      <c r="Q247" s="113" t="s">
        <v>293</v>
      </c>
      <c r="R247" s="113" t="s">
        <v>733</v>
      </c>
      <c r="S247" s="113" t="s">
        <v>293</v>
      </c>
      <c r="T247" s="113" t="s">
        <v>733</v>
      </c>
      <c r="U247" s="113" t="s">
        <v>733</v>
      </c>
      <c r="V247" s="113" t="s">
        <v>827</v>
      </c>
      <c r="W247" s="113" t="s">
        <v>929</v>
      </c>
      <c r="X247" s="3"/>
      <c r="Y247" s="3">
        <v>1</v>
      </c>
    </row>
    <row r="248" spans="3:25">
      <c r="C248" s="63" t="s">
        <v>27</v>
      </c>
      <c r="D248" s="63" t="s">
        <v>27</v>
      </c>
      <c r="E248" s="110" t="s">
        <v>844</v>
      </c>
      <c r="F248" s="111">
        <v>2672573314</v>
      </c>
      <c r="G248" s="63" t="s">
        <v>161</v>
      </c>
      <c r="H248" s="112">
        <v>14758526</v>
      </c>
      <c r="I248" s="109" t="s">
        <v>730</v>
      </c>
      <c r="J248" s="113" t="s">
        <v>56</v>
      </c>
      <c r="K248" s="109" t="s">
        <v>702</v>
      </c>
      <c r="L248" s="109" t="s">
        <v>904</v>
      </c>
      <c r="M248" s="114" t="s">
        <v>868</v>
      </c>
      <c r="N248" s="113" t="s">
        <v>733</v>
      </c>
      <c r="O248" s="114" t="s">
        <v>292</v>
      </c>
      <c r="P248" s="73">
        <v>45962</v>
      </c>
      <c r="Q248" s="113" t="s">
        <v>293</v>
      </c>
      <c r="R248" s="113" t="s">
        <v>733</v>
      </c>
      <c r="S248" s="113" t="s">
        <v>293</v>
      </c>
      <c r="T248" s="113" t="s">
        <v>733</v>
      </c>
      <c r="U248" s="113" t="s">
        <v>733</v>
      </c>
      <c r="V248" s="113" t="s">
        <v>827</v>
      </c>
      <c r="W248" s="113" t="s">
        <v>929</v>
      </c>
      <c r="X248" s="3"/>
      <c r="Y248" s="3">
        <v>1</v>
      </c>
    </row>
    <row r="249" spans="3:25">
      <c r="C249" s="63" t="s">
        <v>27</v>
      </c>
      <c r="D249" s="63" t="s">
        <v>27</v>
      </c>
      <c r="E249" s="110" t="s">
        <v>844</v>
      </c>
      <c r="F249" s="111">
        <v>2672573314</v>
      </c>
      <c r="G249" s="63" t="s">
        <v>649</v>
      </c>
      <c r="H249" s="112">
        <v>16074491</v>
      </c>
      <c r="I249" s="116" t="s">
        <v>410</v>
      </c>
      <c r="J249" s="113" t="s">
        <v>414</v>
      </c>
      <c r="K249" s="109" t="s">
        <v>900</v>
      </c>
      <c r="L249" s="109" t="s">
        <v>901</v>
      </c>
      <c r="M249" s="114" t="s">
        <v>868</v>
      </c>
      <c r="N249" s="113" t="s">
        <v>733</v>
      </c>
      <c r="O249" s="114" t="s">
        <v>293</v>
      </c>
      <c r="P249" s="68" t="s">
        <v>733</v>
      </c>
      <c r="Q249" s="113" t="s">
        <v>293</v>
      </c>
      <c r="R249" s="113" t="s">
        <v>733</v>
      </c>
      <c r="S249" s="113" t="s">
        <v>293</v>
      </c>
      <c r="T249" s="113" t="s">
        <v>733</v>
      </c>
      <c r="U249" s="113" t="s">
        <v>733</v>
      </c>
      <c r="V249" s="113" t="s">
        <v>827</v>
      </c>
      <c r="W249" s="113" t="s">
        <v>929</v>
      </c>
      <c r="X249" s="3"/>
      <c r="Y249" s="3">
        <v>1</v>
      </c>
    </row>
    <row r="250" spans="3:25">
      <c r="C250" s="63" t="s">
        <v>27</v>
      </c>
      <c r="D250" s="63" t="s">
        <v>27</v>
      </c>
      <c r="E250" s="110" t="s">
        <v>844</v>
      </c>
      <c r="F250" s="111">
        <v>2672573314</v>
      </c>
      <c r="G250" s="63" t="s">
        <v>650</v>
      </c>
      <c r="H250" s="112">
        <v>26901515</v>
      </c>
      <c r="I250" s="116" t="s">
        <v>725</v>
      </c>
      <c r="J250" s="113" t="s">
        <v>414</v>
      </c>
      <c r="K250" s="109" t="s">
        <v>905</v>
      </c>
      <c r="L250" s="109" t="s">
        <v>906</v>
      </c>
      <c r="M250" s="114" t="s">
        <v>868</v>
      </c>
      <c r="N250" s="113" t="s">
        <v>733</v>
      </c>
      <c r="O250" s="114" t="s">
        <v>292</v>
      </c>
      <c r="P250" s="73">
        <v>45962</v>
      </c>
      <c r="Q250" s="113" t="s">
        <v>293</v>
      </c>
      <c r="R250" s="113" t="s">
        <v>733</v>
      </c>
      <c r="S250" s="113" t="s">
        <v>293</v>
      </c>
      <c r="T250" s="113" t="s">
        <v>733</v>
      </c>
      <c r="U250" s="113" t="s">
        <v>733</v>
      </c>
      <c r="V250" s="113" t="s">
        <v>827</v>
      </c>
      <c r="W250" s="113" t="s">
        <v>929</v>
      </c>
      <c r="X250" s="3"/>
      <c r="Y250" s="3">
        <v>1</v>
      </c>
    </row>
    <row r="251" spans="3:25">
      <c r="C251" s="63" t="s">
        <v>27</v>
      </c>
      <c r="D251" s="63" t="s">
        <v>27</v>
      </c>
      <c r="E251" s="110" t="s">
        <v>844</v>
      </c>
      <c r="F251" s="111">
        <v>2672573314</v>
      </c>
      <c r="G251" s="63" t="s">
        <v>651</v>
      </c>
      <c r="H251" s="112">
        <v>29571160</v>
      </c>
      <c r="I251" s="116" t="s">
        <v>725</v>
      </c>
      <c r="J251" s="113" t="s">
        <v>414</v>
      </c>
      <c r="K251" s="109" t="s">
        <v>883</v>
      </c>
      <c r="L251" s="109" t="s">
        <v>884</v>
      </c>
      <c r="M251" s="114" t="s">
        <v>868</v>
      </c>
      <c r="N251" s="113" t="s">
        <v>733</v>
      </c>
      <c r="O251" s="114" t="s">
        <v>292</v>
      </c>
      <c r="P251" s="73">
        <v>45962</v>
      </c>
      <c r="Q251" s="113" t="s">
        <v>293</v>
      </c>
      <c r="R251" s="113" t="s">
        <v>733</v>
      </c>
      <c r="S251" s="113" t="s">
        <v>293</v>
      </c>
      <c r="T251" s="113" t="s">
        <v>733</v>
      </c>
      <c r="U251" s="113" t="s">
        <v>733</v>
      </c>
      <c r="V251" s="113" t="s">
        <v>827</v>
      </c>
      <c r="W251" s="113" t="s">
        <v>929</v>
      </c>
      <c r="X251" s="3"/>
      <c r="Y251" s="3">
        <v>1</v>
      </c>
    </row>
    <row r="252" spans="3:25">
      <c r="C252" s="63" t="s">
        <v>27</v>
      </c>
      <c r="D252" s="63" t="s">
        <v>27</v>
      </c>
      <c r="E252" s="110" t="s">
        <v>844</v>
      </c>
      <c r="F252" s="111">
        <v>2672573314</v>
      </c>
      <c r="G252" s="63" t="s">
        <v>652</v>
      </c>
      <c r="H252" s="112">
        <v>19254876</v>
      </c>
      <c r="I252" s="116" t="s">
        <v>725</v>
      </c>
      <c r="J252" s="113" t="s">
        <v>414</v>
      </c>
      <c r="K252" s="109" t="s">
        <v>883</v>
      </c>
      <c r="L252" s="109" t="s">
        <v>884</v>
      </c>
      <c r="M252" s="114" t="s">
        <v>868</v>
      </c>
      <c r="N252" s="113" t="s">
        <v>733</v>
      </c>
      <c r="O252" s="114" t="s">
        <v>292</v>
      </c>
      <c r="P252" s="73">
        <v>45962</v>
      </c>
      <c r="Q252" s="113" t="s">
        <v>293</v>
      </c>
      <c r="R252" s="113" t="s">
        <v>733</v>
      </c>
      <c r="S252" s="113" t="s">
        <v>293</v>
      </c>
      <c r="T252" s="113" t="s">
        <v>733</v>
      </c>
      <c r="U252" s="113" t="s">
        <v>733</v>
      </c>
      <c r="V252" s="113" t="s">
        <v>827</v>
      </c>
      <c r="W252" s="113" t="s">
        <v>929</v>
      </c>
      <c r="X252" s="3"/>
      <c r="Y252" s="3">
        <v>1</v>
      </c>
    </row>
    <row r="253" spans="3:25">
      <c r="C253" s="63" t="s">
        <v>27</v>
      </c>
      <c r="D253" s="63" t="s">
        <v>27</v>
      </c>
      <c r="E253" s="110" t="s">
        <v>844</v>
      </c>
      <c r="F253" s="111">
        <v>2672573314</v>
      </c>
      <c r="G253" s="63" t="s">
        <v>885</v>
      </c>
      <c r="H253" s="112">
        <v>29969613</v>
      </c>
      <c r="I253" s="116" t="s">
        <v>725</v>
      </c>
      <c r="J253" s="113" t="s">
        <v>414</v>
      </c>
      <c r="K253" s="109" t="s">
        <v>883</v>
      </c>
      <c r="L253" s="109" t="s">
        <v>884</v>
      </c>
      <c r="M253" s="114" t="s">
        <v>868</v>
      </c>
      <c r="N253" s="113" t="s">
        <v>733</v>
      </c>
      <c r="O253" s="114" t="s">
        <v>292</v>
      </c>
      <c r="P253" s="73">
        <v>45962</v>
      </c>
      <c r="Q253" s="113" t="s">
        <v>293</v>
      </c>
      <c r="R253" s="113" t="s">
        <v>733</v>
      </c>
      <c r="S253" s="113" t="s">
        <v>293</v>
      </c>
      <c r="T253" s="113" t="s">
        <v>733</v>
      </c>
      <c r="U253" s="113" t="s">
        <v>733</v>
      </c>
      <c r="V253" s="113" t="s">
        <v>827</v>
      </c>
      <c r="W253" s="113" t="s">
        <v>929</v>
      </c>
      <c r="X253" s="3"/>
      <c r="Y253" s="3">
        <v>1</v>
      </c>
    </row>
    <row r="254" spans="3:25">
      <c r="C254" s="63" t="s">
        <v>27</v>
      </c>
      <c r="D254" s="63" t="s">
        <v>27</v>
      </c>
      <c r="E254" s="110" t="s">
        <v>844</v>
      </c>
      <c r="F254" s="111">
        <v>2672573314</v>
      </c>
      <c r="G254" s="63" t="s">
        <v>654</v>
      </c>
      <c r="H254" s="112">
        <v>84589609</v>
      </c>
      <c r="I254" s="116" t="s">
        <v>410</v>
      </c>
      <c r="J254" s="113" t="s">
        <v>414</v>
      </c>
      <c r="K254" s="109" t="s">
        <v>883</v>
      </c>
      <c r="L254" s="109" t="s">
        <v>884</v>
      </c>
      <c r="M254" s="114" t="s">
        <v>868</v>
      </c>
      <c r="N254" s="113" t="s">
        <v>733</v>
      </c>
      <c r="O254" s="114" t="s">
        <v>292</v>
      </c>
      <c r="P254" s="73">
        <v>45962</v>
      </c>
      <c r="Q254" s="113" t="s">
        <v>293</v>
      </c>
      <c r="R254" s="113" t="s">
        <v>733</v>
      </c>
      <c r="S254" s="113" t="s">
        <v>293</v>
      </c>
      <c r="T254" s="113" t="s">
        <v>733</v>
      </c>
      <c r="U254" s="113" t="s">
        <v>733</v>
      </c>
      <c r="V254" s="113" t="s">
        <v>827</v>
      </c>
      <c r="W254" s="113" t="s">
        <v>929</v>
      </c>
      <c r="X254" s="3"/>
      <c r="Y254" s="3">
        <v>1</v>
      </c>
    </row>
    <row r="255" spans="3:25">
      <c r="C255" s="63" t="s">
        <v>27</v>
      </c>
      <c r="D255" s="63" t="s">
        <v>27</v>
      </c>
      <c r="E255" s="110" t="s">
        <v>844</v>
      </c>
      <c r="F255" s="111">
        <v>2672573314</v>
      </c>
      <c r="G255" s="63" t="s">
        <v>655</v>
      </c>
      <c r="H255" s="112">
        <v>31448244</v>
      </c>
      <c r="I255" s="116" t="s">
        <v>725</v>
      </c>
      <c r="J255" s="113" t="s">
        <v>414</v>
      </c>
      <c r="K255" s="109" t="s">
        <v>905</v>
      </c>
      <c r="L255" s="109" t="s">
        <v>906</v>
      </c>
      <c r="M255" s="114" t="s">
        <v>868</v>
      </c>
      <c r="N255" s="113" t="s">
        <v>733</v>
      </c>
      <c r="O255" s="114" t="s">
        <v>292</v>
      </c>
      <c r="P255" s="73">
        <v>45962</v>
      </c>
      <c r="Q255" s="113" t="s">
        <v>293</v>
      </c>
      <c r="R255" s="113" t="s">
        <v>733</v>
      </c>
      <c r="S255" s="113" t="s">
        <v>293</v>
      </c>
      <c r="T255" s="113" t="s">
        <v>733</v>
      </c>
      <c r="U255" s="113" t="s">
        <v>733</v>
      </c>
      <c r="V255" s="113" t="s">
        <v>827</v>
      </c>
      <c r="W255" s="113" t="s">
        <v>929</v>
      </c>
      <c r="X255" s="3"/>
      <c r="Y255" s="3">
        <v>1</v>
      </c>
    </row>
    <row r="256" spans="3:25">
      <c r="C256" s="63" t="s">
        <v>27</v>
      </c>
      <c r="D256" s="63" t="s">
        <v>27</v>
      </c>
      <c r="E256" s="110" t="s">
        <v>844</v>
      </c>
      <c r="F256" s="111">
        <v>2672573314</v>
      </c>
      <c r="G256" s="63" t="s">
        <v>656</v>
      </c>
      <c r="H256" s="112">
        <v>25866051</v>
      </c>
      <c r="I256" s="116" t="s">
        <v>725</v>
      </c>
      <c r="J256" s="113" t="s">
        <v>414</v>
      </c>
      <c r="K256" s="109" t="s">
        <v>883</v>
      </c>
      <c r="L256" s="109" t="s">
        <v>884</v>
      </c>
      <c r="M256" s="114" t="s">
        <v>868</v>
      </c>
      <c r="N256" s="113" t="s">
        <v>733</v>
      </c>
      <c r="O256" s="114" t="s">
        <v>292</v>
      </c>
      <c r="P256" s="73">
        <v>45962</v>
      </c>
      <c r="Q256" s="113" t="s">
        <v>293</v>
      </c>
      <c r="R256" s="113" t="s">
        <v>733</v>
      </c>
      <c r="S256" s="113" t="s">
        <v>293</v>
      </c>
      <c r="T256" s="113" t="s">
        <v>733</v>
      </c>
      <c r="U256" s="113" t="s">
        <v>733</v>
      </c>
      <c r="V256" s="113" t="s">
        <v>827</v>
      </c>
      <c r="W256" s="113" t="s">
        <v>929</v>
      </c>
      <c r="X256" s="3"/>
      <c r="Y256" s="3">
        <v>1</v>
      </c>
    </row>
    <row r="257" spans="3:25">
      <c r="C257" s="63" t="s">
        <v>27</v>
      </c>
      <c r="D257" s="63" t="s">
        <v>27</v>
      </c>
      <c r="E257" s="110" t="s">
        <v>844</v>
      </c>
      <c r="F257" s="111">
        <v>2672573314</v>
      </c>
      <c r="G257" s="63" t="s">
        <v>666</v>
      </c>
      <c r="H257" s="112">
        <v>28082163</v>
      </c>
      <c r="I257" s="116" t="s">
        <v>725</v>
      </c>
      <c r="J257" s="113" t="s">
        <v>56</v>
      </c>
      <c r="K257" s="109" t="s">
        <v>905</v>
      </c>
      <c r="L257" s="109" t="s">
        <v>906</v>
      </c>
      <c r="M257" s="114" t="s">
        <v>868</v>
      </c>
      <c r="N257" s="113" t="s">
        <v>733</v>
      </c>
      <c r="O257" s="114" t="s">
        <v>292</v>
      </c>
      <c r="P257" s="73">
        <v>45962</v>
      </c>
      <c r="Q257" s="113" t="s">
        <v>293</v>
      </c>
      <c r="R257" s="113" t="s">
        <v>733</v>
      </c>
      <c r="S257" s="113" t="s">
        <v>293</v>
      </c>
      <c r="T257" s="113" t="s">
        <v>733</v>
      </c>
      <c r="U257" s="113" t="s">
        <v>733</v>
      </c>
      <c r="V257" s="113" t="s">
        <v>827</v>
      </c>
      <c r="W257" s="113" t="s">
        <v>929</v>
      </c>
      <c r="X257" s="3"/>
      <c r="Y257" s="3">
        <v>1</v>
      </c>
    </row>
    <row r="258" spans="3:25">
      <c r="C258" s="63" t="s">
        <v>27</v>
      </c>
      <c r="D258" s="63" t="s">
        <v>27</v>
      </c>
      <c r="E258" s="110" t="s">
        <v>844</v>
      </c>
      <c r="F258" s="111">
        <v>2672573314</v>
      </c>
      <c r="G258" s="63" t="s">
        <v>669</v>
      </c>
      <c r="H258" s="112">
        <v>28324753</v>
      </c>
      <c r="I258" s="109" t="s">
        <v>730</v>
      </c>
      <c r="J258" s="113" t="s">
        <v>389</v>
      </c>
      <c r="K258" s="109" t="s">
        <v>905</v>
      </c>
      <c r="L258" s="109" t="s">
        <v>906</v>
      </c>
      <c r="M258" s="114" t="s">
        <v>868</v>
      </c>
      <c r="N258" s="113" t="s">
        <v>733</v>
      </c>
      <c r="O258" s="114" t="s">
        <v>292</v>
      </c>
      <c r="P258" s="73">
        <v>45962</v>
      </c>
      <c r="Q258" s="113" t="s">
        <v>293</v>
      </c>
      <c r="R258" s="113" t="s">
        <v>733</v>
      </c>
      <c r="S258" s="113" t="s">
        <v>293</v>
      </c>
      <c r="T258" s="113" t="s">
        <v>733</v>
      </c>
      <c r="U258" s="113" t="s">
        <v>733</v>
      </c>
      <c r="V258" s="113" t="s">
        <v>827</v>
      </c>
      <c r="W258" s="113" t="s">
        <v>929</v>
      </c>
      <c r="X258" s="3"/>
      <c r="Y258" s="3">
        <v>1</v>
      </c>
    </row>
    <row r="259" spans="3:25">
      <c r="C259" s="63" t="s">
        <v>27</v>
      </c>
      <c r="D259" s="63" t="s">
        <v>27</v>
      </c>
      <c r="E259" s="110" t="s">
        <v>844</v>
      </c>
      <c r="F259" s="111">
        <v>2672573314</v>
      </c>
      <c r="G259" s="63" t="s">
        <v>670</v>
      </c>
      <c r="H259" s="112">
        <v>31784740</v>
      </c>
      <c r="I259" s="116" t="s">
        <v>725</v>
      </c>
      <c r="J259" s="113" t="s">
        <v>56</v>
      </c>
      <c r="K259" s="109" t="s">
        <v>905</v>
      </c>
      <c r="L259" s="109" t="s">
        <v>906</v>
      </c>
      <c r="M259" s="114" t="s">
        <v>868</v>
      </c>
      <c r="N259" s="113" t="s">
        <v>733</v>
      </c>
      <c r="O259" s="114" t="s">
        <v>292</v>
      </c>
      <c r="P259" s="73">
        <v>45962</v>
      </c>
      <c r="Q259" s="113" t="s">
        <v>293</v>
      </c>
      <c r="R259" s="113" t="s">
        <v>733</v>
      </c>
      <c r="S259" s="113" t="s">
        <v>293</v>
      </c>
      <c r="T259" s="113" t="s">
        <v>733</v>
      </c>
      <c r="U259" s="113" t="s">
        <v>733</v>
      </c>
      <c r="V259" s="113" t="s">
        <v>827</v>
      </c>
      <c r="W259" s="113" t="s">
        <v>929</v>
      </c>
      <c r="X259" s="3"/>
      <c r="Y259" s="3">
        <v>1</v>
      </c>
    </row>
    <row r="260" spans="3:25">
      <c r="C260" s="63" t="s">
        <v>27</v>
      </c>
      <c r="D260" s="63" t="s">
        <v>27</v>
      </c>
      <c r="E260" s="110" t="s">
        <v>844</v>
      </c>
      <c r="F260" s="111">
        <v>2672573314</v>
      </c>
      <c r="G260" s="63" t="s">
        <v>671</v>
      </c>
      <c r="H260" s="112">
        <v>10865648</v>
      </c>
      <c r="I260" s="116" t="s">
        <v>410</v>
      </c>
      <c r="J260" s="113" t="s">
        <v>56</v>
      </c>
      <c r="K260" s="109" t="s">
        <v>905</v>
      </c>
      <c r="L260" s="109" t="s">
        <v>906</v>
      </c>
      <c r="M260" s="114" t="s">
        <v>868</v>
      </c>
      <c r="N260" s="113" t="s">
        <v>733</v>
      </c>
      <c r="O260" s="114" t="s">
        <v>292</v>
      </c>
      <c r="P260" s="73">
        <v>45962</v>
      </c>
      <c r="Q260" s="113" t="s">
        <v>293</v>
      </c>
      <c r="R260" s="113" t="s">
        <v>733</v>
      </c>
      <c r="S260" s="113" t="s">
        <v>293</v>
      </c>
      <c r="T260" s="113" t="s">
        <v>733</v>
      </c>
      <c r="U260" s="113" t="s">
        <v>733</v>
      </c>
      <c r="V260" s="113" t="s">
        <v>827</v>
      </c>
      <c r="W260" s="113" t="s">
        <v>929</v>
      </c>
      <c r="X260" s="3"/>
      <c r="Y260" s="3">
        <v>1</v>
      </c>
    </row>
    <row r="261" spans="3:25">
      <c r="C261" s="63" t="s">
        <v>27</v>
      </c>
      <c r="D261" s="63" t="s">
        <v>27</v>
      </c>
      <c r="E261" s="110" t="s">
        <v>844</v>
      </c>
      <c r="F261" s="111">
        <v>2672573314</v>
      </c>
      <c r="G261" s="63" t="s">
        <v>672</v>
      </c>
      <c r="H261" s="112">
        <v>20604349</v>
      </c>
      <c r="I261" s="109" t="s">
        <v>730</v>
      </c>
      <c r="J261" s="113" t="s">
        <v>56</v>
      </c>
      <c r="K261" s="109" t="s">
        <v>905</v>
      </c>
      <c r="L261" s="109" t="s">
        <v>906</v>
      </c>
      <c r="M261" s="114" t="s">
        <v>868</v>
      </c>
      <c r="N261" s="113" t="s">
        <v>733</v>
      </c>
      <c r="O261" s="114" t="s">
        <v>292</v>
      </c>
      <c r="P261" s="73">
        <v>45962</v>
      </c>
      <c r="Q261" s="113" t="s">
        <v>293</v>
      </c>
      <c r="R261" s="113" t="s">
        <v>733</v>
      </c>
      <c r="S261" s="113" t="s">
        <v>293</v>
      </c>
      <c r="T261" s="113" t="s">
        <v>733</v>
      </c>
      <c r="U261" s="113" t="s">
        <v>733</v>
      </c>
      <c r="V261" s="113" t="s">
        <v>827</v>
      </c>
      <c r="W261" s="113" t="s">
        <v>929</v>
      </c>
      <c r="X261" s="3"/>
      <c r="Y261" s="3">
        <v>1</v>
      </c>
    </row>
    <row r="262" spans="3:25">
      <c r="C262" s="63" t="s">
        <v>27</v>
      </c>
      <c r="D262" s="63" t="s">
        <v>27</v>
      </c>
      <c r="E262" s="110" t="s">
        <v>844</v>
      </c>
      <c r="F262" s="111">
        <v>2672573314</v>
      </c>
      <c r="G262" s="63" t="s">
        <v>673</v>
      </c>
      <c r="H262" s="112">
        <v>17142406</v>
      </c>
      <c r="I262" s="109" t="s">
        <v>730</v>
      </c>
      <c r="J262" s="113" t="s">
        <v>56</v>
      </c>
      <c r="K262" s="109" t="s">
        <v>905</v>
      </c>
      <c r="L262" s="109" t="s">
        <v>906</v>
      </c>
      <c r="M262" s="114" t="s">
        <v>868</v>
      </c>
      <c r="N262" s="113" t="s">
        <v>733</v>
      </c>
      <c r="O262" s="114" t="s">
        <v>292</v>
      </c>
      <c r="P262" s="73">
        <v>45962</v>
      </c>
      <c r="Q262" s="113" t="s">
        <v>293</v>
      </c>
      <c r="R262" s="113" t="s">
        <v>733</v>
      </c>
      <c r="S262" s="113" t="s">
        <v>293</v>
      </c>
      <c r="T262" s="113" t="s">
        <v>733</v>
      </c>
      <c r="U262" s="113" t="s">
        <v>733</v>
      </c>
      <c r="V262" s="113" t="s">
        <v>827</v>
      </c>
      <c r="W262" s="113" t="s">
        <v>929</v>
      </c>
      <c r="X262" s="3"/>
      <c r="Y262" s="3">
        <v>1</v>
      </c>
    </row>
    <row r="263" spans="3:25" s="70" customFormat="1">
      <c r="C263" s="63" t="s">
        <v>27</v>
      </c>
      <c r="D263" s="63" t="s">
        <v>27</v>
      </c>
      <c r="E263" s="110" t="s">
        <v>844</v>
      </c>
      <c r="F263" s="111">
        <v>2672573314</v>
      </c>
      <c r="G263" s="63" t="s">
        <v>674</v>
      </c>
      <c r="H263" s="112">
        <v>27667420</v>
      </c>
      <c r="I263" s="109" t="s">
        <v>730</v>
      </c>
      <c r="J263" s="113" t="s">
        <v>56</v>
      </c>
      <c r="K263" s="109" t="s">
        <v>905</v>
      </c>
      <c r="L263" s="109" t="s">
        <v>906</v>
      </c>
      <c r="M263" s="114" t="s">
        <v>868</v>
      </c>
      <c r="N263" s="113" t="s">
        <v>733</v>
      </c>
      <c r="O263" s="114" t="s">
        <v>292</v>
      </c>
      <c r="P263" s="73">
        <v>45962</v>
      </c>
      <c r="Q263" s="113" t="s">
        <v>293</v>
      </c>
      <c r="R263" s="113" t="s">
        <v>733</v>
      </c>
      <c r="S263" s="113" t="s">
        <v>293</v>
      </c>
      <c r="T263" s="113" t="s">
        <v>733</v>
      </c>
      <c r="U263" s="113" t="s">
        <v>733</v>
      </c>
      <c r="V263" s="113" t="s">
        <v>827</v>
      </c>
      <c r="W263" s="113" t="s">
        <v>929</v>
      </c>
      <c r="X263" s="3"/>
      <c r="Y263" s="3">
        <v>1</v>
      </c>
    </row>
    <row r="264" spans="3:25" s="70" customFormat="1">
      <c r="C264" s="63" t="s">
        <v>27</v>
      </c>
      <c r="D264" s="63" t="s">
        <v>27</v>
      </c>
      <c r="E264" s="110" t="s">
        <v>844</v>
      </c>
      <c r="F264" s="111">
        <v>2672573314</v>
      </c>
      <c r="G264" s="63" t="s">
        <v>758</v>
      </c>
      <c r="H264" s="112">
        <v>12785597</v>
      </c>
      <c r="I264" s="109" t="s">
        <v>754</v>
      </c>
      <c r="J264" s="113" t="s">
        <v>755</v>
      </c>
      <c r="K264" s="109" t="s">
        <v>883</v>
      </c>
      <c r="L264" s="109" t="s">
        <v>884</v>
      </c>
      <c r="M264" s="114" t="s">
        <v>868</v>
      </c>
      <c r="N264" s="113" t="s">
        <v>733</v>
      </c>
      <c r="O264" s="114" t="s">
        <v>293</v>
      </c>
      <c r="P264" s="68" t="s">
        <v>733</v>
      </c>
      <c r="Q264" s="113" t="s">
        <v>293</v>
      </c>
      <c r="R264" s="113" t="s">
        <v>733</v>
      </c>
      <c r="S264" s="113" t="s">
        <v>293</v>
      </c>
      <c r="T264" s="113" t="s">
        <v>733</v>
      </c>
      <c r="U264" s="113" t="s">
        <v>733</v>
      </c>
      <c r="V264" s="113" t="s">
        <v>827</v>
      </c>
      <c r="W264" s="113" t="s">
        <v>929</v>
      </c>
      <c r="X264" s="3"/>
      <c r="Y264" s="3">
        <v>1</v>
      </c>
    </row>
    <row r="265" spans="3:25" s="70" customFormat="1">
      <c r="C265" s="63" t="s">
        <v>27</v>
      </c>
      <c r="D265" s="63" t="s">
        <v>27</v>
      </c>
      <c r="E265" s="110" t="s">
        <v>844</v>
      </c>
      <c r="F265" s="111">
        <v>2672573314</v>
      </c>
      <c r="G265" s="63" t="s">
        <v>759</v>
      </c>
      <c r="H265" s="112">
        <v>17077133</v>
      </c>
      <c r="I265" s="112" t="s">
        <v>754</v>
      </c>
      <c r="J265" s="109" t="s">
        <v>755</v>
      </c>
      <c r="K265" s="109" t="s">
        <v>883</v>
      </c>
      <c r="L265" s="109" t="s">
        <v>884</v>
      </c>
      <c r="M265" s="114" t="s">
        <v>868</v>
      </c>
      <c r="N265" s="113" t="s">
        <v>733</v>
      </c>
      <c r="O265" s="114" t="s">
        <v>293</v>
      </c>
      <c r="P265" s="68" t="s">
        <v>733</v>
      </c>
      <c r="Q265" s="113" t="s">
        <v>293</v>
      </c>
      <c r="R265" s="113" t="s">
        <v>733</v>
      </c>
      <c r="S265" s="113" t="s">
        <v>293</v>
      </c>
      <c r="T265" s="113" t="s">
        <v>733</v>
      </c>
      <c r="U265" s="113" t="s">
        <v>733</v>
      </c>
      <c r="V265" s="113" t="s">
        <v>827</v>
      </c>
      <c r="W265" s="113" t="s">
        <v>929</v>
      </c>
      <c r="X265" s="3"/>
      <c r="Y265" s="3">
        <v>1</v>
      </c>
    </row>
    <row r="266" spans="3:25" s="70" customFormat="1">
      <c r="C266" s="63" t="s">
        <v>27</v>
      </c>
      <c r="D266" s="63" t="s">
        <v>27</v>
      </c>
      <c r="E266" s="110" t="s">
        <v>844</v>
      </c>
      <c r="F266" s="111">
        <v>2672573314</v>
      </c>
      <c r="G266" s="63" t="s">
        <v>773</v>
      </c>
      <c r="H266" s="53">
        <v>17390765</v>
      </c>
      <c r="I266" s="116" t="s">
        <v>729</v>
      </c>
      <c r="J266" s="113" t="s">
        <v>727</v>
      </c>
      <c r="K266" s="109" t="s">
        <v>905</v>
      </c>
      <c r="L266" s="109" t="s">
        <v>906</v>
      </c>
      <c r="M266" s="114" t="s">
        <v>868</v>
      </c>
      <c r="N266" s="113" t="s">
        <v>733</v>
      </c>
      <c r="O266" s="114" t="s">
        <v>293</v>
      </c>
      <c r="P266" s="68" t="s">
        <v>733</v>
      </c>
      <c r="Q266" s="113" t="s">
        <v>293</v>
      </c>
      <c r="R266" s="113" t="s">
        <v>733</v>
      </c>
      <c r="S266" s="113" t="s">
        <v>293</v>
      </c>
      <c r="T266" s="113" t="s">
        <v>733</v>
      </c>
      <c r="U266" s="113" t="s">
        <v>733</v>
      </c>
      <c r="V266" s="113" t="s">
        <v>827</v>
      </c>
      <c r="W266" s="113" t="s">
        <v>929</v>
      </c>
      <c r="X266" s="68"/>
      <c r="Y266" s="3">
        <v>1</v>
      </c>
    </row>
    <row r="267" spans="3:25" s="70" customFormat="1">
      <c r="C267" s="63" t="s">
        <v>27</v>
      </c>
      <c r="D267" s="63" t="s">
        <v>27</v>
      </c>
      <c r="E267" s="110" t="s">
        <v>844</v>
      </c>
      <c r="F267" s="111">
        <v>2672573314</v>
      </c>
      <c r="G267" s="63" t="s">
        <v>774</v>
      </c>
      <c r="H267" s="53">
        <v>28070903</v>
      </c>
      <c r="I267" s="116" t="s">
        <v>729</v>
      </c>
      <c r="J267" s="113" t="s">
        <v>727</v>
      </c>
      <c r="K267" s="109" t="s">
        <v>883</v>
      </c>
      <c r="L267" s="109" t="s">
        <v>884</v>
      </c>
      <c r="M267" s="114" t="s">
        <v>868</v>
      </c>
      <c r="N267" s="113" t="s">
        <v>733</v>
      </c>
      <c r="O267" s="114" t="s">
        <v>293</v>
      </c>
      <c r="P267" s="68" t="s">
        <v>733</v>
      </c>
      <c r="Q267" s="113" t="s">
        <v>293</v>
      </c>
      <c r="R267" s="113" t="s">
        <v>733</v>
      </c>
      <c r="S267" s="113" t="s">
        <v>293</v>
      </c>
      <c r="T267" s="113" t="s">
        <v>733</v>
      </c>
      <c r="U267" s="113" t="s">
        <v>733</v>
      </c>
      <c r="V267" s="113" t="s">
        <v>827</v>
      </c>
      <c r="W267" s="113" t="s">
        <v>929</v>
      </c>
      <c r="X267" s="68"/>
      <c r="Y267" s="3">
        <v>1</v>
      </c>
    </row>
    <row r="268" spans="3:25" s="70" customFormat="1">
      <c r="C268" s="63" t="s">
        <v>27</v>
      </c>
      <c r="D268" s="63" t="s">
        <v>27</v>
      </c>
      <c r="E268" s="110" t="s">
        <v>844</v>
      </c>
      <c r="F268" s="111">
        <v>2672573314</v>
      </c>
      <c r="G268" s="63" t="s">
        <v>777</v>
      </c>
      <c r="H268" s="53">
        <v>16095522</v>
      </c>
      <c r="I268" s="116" t="s">
        <v>729</v>
      </c>
      <c r="J268" s="113" t="s">
        <v>55</v>
      </c>
      <c r="K268" s="109" t="s">
        <v>905</v>
      </c>
      <c r="L268" s="109" t="s">
        <v>906</v>
      </c>
      <c r="M268" s="114" t="s">
        <v>868</v>
      </c>
      <c r="N268" s="113" t="s">
        <v>733</v>
      </c>
      <c r="O268" s="114" t="s">
        <v>293</v>
      </c>
      <c r="P268" s="68" t="s">
        <v>733</v>
      </c>
      <c r="Q268" s="113" t="s">
        <v>293</v>
      </c>
      <c r="R268" s="113" t="s">
        <v>733</v>
      </c>
      <c r="S268" s="113" t="s">
        <v>293</v>
      </c>
      <c r="T268" s="113" t="s">
        <v>733</v>
      </c>
      <c r="U268" s="113" t="s">
        <v>733</v>
      </c>
      <c r="V268" s="113" t="s">
        <v>827</v>
      </c>
      <c r="W268" s="113" t="s">
        <v>929</v>
      </c>
      <c r="X268" s="68"/>
      <c r="Y268" s="3">
        <v>1</v>
      </c>
    </row>
    <row r="269" spans="3:25" s="70" customFormat="1">
      <c r="C269" s="63" t="s">
        <v>27</v>
      </c>
      <c r="D269" s="63" t="s">
        <v>27</v>
      </c>
      <c r="E269" s="110" t="s">
        <v>844</v>
      </c>
      <c r="F269" s="111">
        <v>2672573314</v>
      </c>
      <c r="G269" s="63" t="s">
        <v>791</v>
      </c>
      <c r="H269" s="53">
        <v>21482200</v>
      </c>
      <c r="I269" s="116" t="s">
        <v>729</v>
      </c>
      <c r="J269" s="113" t="s">
        <v>55</v>
      </c>
      <c r="K269" s="109" t="s">
        <v>905</v>
      </c>
      <c r="L269" s="109" t="s">
        <v>906</v>
      </c>
      <c r="M269" s="114" t="s">
        <v>868</v>
      </c>
      <c r="N269" s="113" t="s">
        <v>733</v>
      </c>
      <c r="O269" s="114" t="s">
        <v>293</v>
      </c>
      <c r="P269" s="68" t="s">
        <v>733</v>
      </c>
      <c r="Q269" s="113" t="s">
        <v>293</v>
      </c>
      <c r="R269" s="113" t="s">
        <v>733</v>
      </c>
      <c r="S269" s="113" t="s">
        <v>293</v>
      </c>
      <c r="T269" s="113" t="s">
        <v>733</v>
      </c>
      <c r="U269" s="113" t="s">
        <v>733</v>
      </c>
      <c r="V269" s="113" t="s">
        <v>827</v>
      </c>
      <c r="W269" s="113" t="s">
        <v>929</v>
      </c>
      <c r="X269" s="68"/>
      <c r="Y269" s="3">
        <v>1</v>
      </c>
    </row>
    <row r="270" spans="3:25" s="70" customFormat="1">
      <c r="C270" s="63" t="s">
        <v>27</v>
      </c>
      <c r="D270" s="63" t="s">
        <v>27</v>
      </c>
      <c r="E270" s="110" t="s">
        <v>844</v>
      </c>
      <c r="F270" s="111">
        <v>2672573314</v>
      </c>
      <c r="G270" s="63" t="s">
        <v>797</v>
      </c>
      <c r="H270" s="112">
        <v>25019808</v>
      </c>
      <c r="I270" s="116" t="s">
        <v>729</v>
      </c>
      <c r="J270" s="113" t="s">
        <v>55</v>
      </c>
      <c r="K270" s="109" t="s">
        <v>905</v>
      </c>
      <c r="L270" s="109" t="s">
        <v>906</v>
      </c>
      <c r="M270" s="114" t="s">
        <v>868</v>
      </c>
      <c r="N270" s="113" t="s">
        <v>733</v>
      </c>
      <c r="O270" s="114" t="s">
        <v>293</v>
      </c>
      <c r="P270" s="68" t="s">
        <v>733</v>
      </c>
      <c r="Q270" s="113" t="s">
        <v>293</v>
      </c>
      <c r="R270" s="113" t="s">
        <v>733</v>
      </c>
      <c r="S270" s="113" t="s">
        <v>293</v>
      </c>
      <c r="T270" s="113" t="s">
        <v>733</v>
      </c>
      <c r="U270" s="113" t="s">
        <v>733</v>
      </c>
      <c r="V270" s="113" t="s">
        <v>827</v>
      </c>
      <c r="W270" s="113" t="s">
        <v>929</v>
      </c>
      <c r="X270" s="68"/>
      <c r="Y270" s="3">
        <v>1</v>
      </c>
    </row>
    <row r="271" spans="3:25" s="70" customFormat="1">
      <c r="C271" s="63" t="s">
        <v>27</v>
      </c>
      <c r="D271" s="63" t="s">
        <v>27</v>
      </c>
      <c r="E271" s="110" t="s">
        <v>844</v>
      </c>
      <c r="F271" s="111">
        <v>2672573314</v>
      </c>
      <c r="G271" s="63" t="s">
        <v>813</v>
      </c>
      <c r="H271" s="112">
        <v>15931722</v>
      </c>
      <c r="I271" s="116" t="s">
        <v>725</v>
      </c>
      <c r="J271" s="109" t="s">
        <v>727</v>
      </c>
      <c r="K271" s="109" t="s">
        <v>883</v>
      </c>
      <c r="L271" s="109" t="s">
        <v>884</v>
      </c>
      <c r="M271" s="114" t="s">
        <v>868</v>
      </c>
      <c r="N271" s="113" t="s">
        <v>733</v>
      </c>
      <c r="O271" s="114" t="s">
        <v>293</v>
      </c>
      <c r="P271" s="68" t="s">
        <v>733</v>
      </c>
      <c r="Q271" s="113" t="s">
        <v>293</v>
      </c>
      <c r="R271" s="113" t="s">
        <v>733</v>
      </c>
      <c r="S271" s="113" t="s">
        <v>293</v>
      </c>
      <c r="T271" s="113" t="s">
        <v>733</v>
      </c>
      <c r="U271" s="113" t="s">
        <v>733</v>
      </c>
      <c r="V271" s="113" t="s">
        <v>827</v>
      </c>
      <c r="W271" s="113" t="s">
        <v>929</v>
      </c>
      <c r="X271" s="68"/>
      <c r="Y271" s="3">
        <v>1</v>
      </c>
    </row>
    <row r="272" spans="3:25">
      <c r="C272" s="63" t="s">
        <v>27</v>
      </c>
      <c r="D272" s="63" t="s">
        <v>27</v>
      </c>
      <c r="E272" s="110" t="s">
        <v>844</v>
      </c>
      <c r="F272" s="111">
        <v>2672573314</v>
      </c>
      <c r="G272" s="63" t="s">
        <v>816</v>
      </c>
      <c r="H272" s="112">
        <v>29584813</v>
      </c>
      <c r="I272" s="116" t="s">
        <v>725</v>
      </c>
      <c r="J272" s="109" t="s">
        <v>727</v>
      </c>
      <c r="K272" s="109" t="s">
        <v>883</v>
      </c>
      <c r="L272" s="109" t="s">
        <v>884</v>
      </c>
      <c r="M272" s="114" t="s">
        <v>868</v>
      </c>
      <c r="N272" s="113" t="s">
        <v>733</v>
      </c>
      <c r="O272" s="114" t="s">
        <v>293</v>
      </c>
      <c r="P272" s="68" t="s">
        <v>733</v>
      </c>
      <c r="Q272" s="113" t="s">
        <v>293</v>
      </c>
      <c r="R272" s="113" t="s">
        <v>733</v>
      </c>
      <c r="S272" s="113" t="s">
        <v>293</v>
      </c>
      <c r="T272" s="113" t="s">
        <v>733</v>
      </c>
      <c r="U272" s="113" t="s">
        <v>733</v>
      </c>
      <c r="V272" s="113" t="s">
        <v>827</v>
      </c>
      <c r="W272" s="113" t="s">
        <v>929</v>
      </c>
      <c r="X272" s="68"/>
      <c r="Y272" s="3">
        <v>1</v>
      </c>
    </row>
    <row r="273" spans="3:25">
      <c r="C273" s="63" t="s">
        <v>27</v>
      </c>
      <c r="D273" s="63" t="s">
        <v>27</v>
      </c>
      <c r="E273" s="110" t="s">
        <v>844</v>
      </c>
      <c r="F273" s="111">
        <v>2672573314</v>
      </c>
      <c r="G273" s="63" t="s">
        <v>817</v>
      </c>
      <c r="H273" s="112">
        <v>29898115</v>
      </c>
      <c r="I273" s="116" t="s">
        <v>725</v>
      </c>
      <c r="J273" s="109" t="s">
        <v>727</v>
      </c>
      <c r="K273" s="109" t="s">
        <v>905</v>
      </c>
      <c r="L273" s="109" t="s">
        <v>906</v>
      </c>
      <c r="M273" s="114" t="s">
        <v>868</v>
      </c>
      <c r="N273" s="113" t="s">
        <v>733</v>
      </c>
      <c r="O273" s="114" t="s">
        <v>293</v>
      </c>
      <c r="P273" s="68" t="s">
        <v>733</v>
      </c>
      <c r="Q273" s="113" t="s">
        <v>293</v>
      </c>
      <c r="R273" s="113" t="s">
        <v>733</v>
      </c>
      <c r="S273" s="113" t="s">
        <v>293</v>
      </c>
      <c r="T273" s="113" t="s">
        <v>733</v>
      </c>
      <c r="U273" s="113" t="s">
        <v>733</v>
      </c>
      <c r="V273" s="113" t="s">
        <v>827</v>
      </c>
      <c r="W273" s="113" t="s">
        <v>929</v>
      </c>
      <c r="X273" s="68"/>
      <c r="Y273" s="3">
        <v>1</v>
      </c>
    </row>
    <row r="274" spans="3:25">
      <c r="C274" s="63" t="s">
        <v>27</v>
      </c>
      <c r="D274" s="63" t="s">
        <v>27</v>
      </c>
      <c r="E274" s="110" t="s">
        <v>844</v>
      </c>
      <c r="F274" s="111">
        <v>2672573314</v>
      </c>
      <c r="G274" s="63" t="s">
        <v>820</v>
      </c>
      <c r="H274" s="112">
        <v>12385103</v>
      </c>
      <c r="I274" s="116" t="s">
        <v>730</v>
      </c>
      <c r="J274" s="109" t="s">
        <v>56</v>
      </c>
      <c r="K274" s="109" t="s">
        <v>905</v>
      </c>
      <c r="L274" s="109" t="s">
        <v>906</v>
      </c>
      <c r="M274" s="114" t="s">
        <v>868</v>
      </c>
      <c r="N274" s="113" t="s">
        <v>733</v>
      </c>
      <c r="O274" s="114" t="s">
        <v>293</v>
      </c>
      <c r="P274" s="68" t="s">
        <v>733</v>
      </c>
      <c r="Q274" s="113" t="s">
        <v>293</v>
      </c>
      <c r="R274" s="113" t="s">
        <v>733</v>
      </c>
      <c r="S274" s="113" t="s">
        <v>293</v>
      </c>
      <c r="T274" s="113" t="s">
        <v>733</v>
      </c>
      <c r="U274" s="113" t="s">
        <v>733</v>
      </c>
      <c r="V274" s="113" t="s">
        <v>827</v>
      </c>
      <c r="W274" s="113" t="s">
        <v>929</v>
      </c>
      <c r="X274" s="68"/>
      <c r="Y274" s="3">
        <v>1</v>
      </c>
    </row>
    <row r="275" spans="3:25">
      <c r="C275" s="58" t="s">
        <v>27</v>
      </c>
      <c r="D275" s="58" t="s">
        <v>27</v>
      </c>
      <c r="E275" s="120" t="s">
        <v>844</v>
      </c>
      <c r="F275" s="68">
        <v>2672573314</v>
      </c>
      <c r="G275" s="58" t="s">
        <v>909</v>
      </c>
      <c r="H275" s="59">
        <v>29725386</v>
      </c>
      <c r="I275" s="60" t="s">
        <v>729</v>
      </c>
      <c r="J275" s="113" t="s">
        <v>53</v>
      </c>
      <c r="K275" s="70" t="s">
        <v>899</v>
      </c>
      <c r="L275" s="109" t="s">
        <v>910</v>
      </c>
      <c r="M275" s="137" t="s">
        <v>868</v>
      </c>
      <c r="N275" s="138" t="s">
        <v>733</v>
      </c>
      <c r="O275" s="137" t="s">
        <v>293</v>
      </c>
      <c r="P275" s="68" t="s">
        <v>733</v>
      </c>
      <c r="Q275" s="136" t="s">
        <v>293</v>
      </c>
      <c r="R275" s="113" t="s">
        <v>733</v>
      </c>
      <c r="S275" s="136" t="s">
        <v>293</v>
      </c>
      <c r="T275" s="113" t="s">
        <v>733</v>
      </c>
      <c r="U275" s="113" t="s">
        <v>733</v>
      </c>
      <c r="V275" s="113" t="s">
        <v>827</v>
      </c>
      <c r="W275" s="113" t="s">
        <v>929</v>
      </c>
      <c r="X275" s="68"/>
      <c r="Y275" s="3">
        <v>1</v>
      </c>
    </row>
    <row r="276" spans="3:25">
      <c r="C276" s="63" t="s">
        <v>20</v>
      </c>
      <c r="D276" s="63" t="s">
        <v>20</v>
      </c>
      <c r="E276" s="110" t="s">
        <v>844</v>
      </c>
      <c r="F276" s="111">
        <v>2672573314</v>
      </c>
      <c r="G276" s="63" t="s">
        <v>705</v>
      </c>
      <c r="H276" s="112">
        <v>27890716</v>
      </c>
      <c r="I276" s="116" t="s">
        <v>706</v>
      </c>
      <c r="J276" s="113" t="s">
        <v>56</v>
      </c>
      <c r="K276" s="109" t="s">
        <v>837</v>
      </c>
      <c r="L276" s="109" t="s">
        <v>889</v>
      </c>
      <c r="M276" s="114" t="s">
        <v>868</v>
      </c>
      <c r="N276" s="113" t="s">
        <v>733</v>
      </c>
      <c r="O276" s="114" t="s">
        <v>292</v>
      </c>
      <c r="P276" s="73">
        <v>45992</v>
      </c>
      <c r="Q276" s="113" t="s">
        <v>293</v>
      </c>
      <c r="R276" s="113" t="s">
        <v>733</v>
      </c>
      <c r="S276" s="113" t="s">
        <v>293</v>
      </c>
      <c r="T276" s="113" t="s">
        <v>733</v>
      </c>
      <c r="U276" s="113" t="s">
        <v>733</v>
      </c>
      <c r="V276" s="113" t="s">
        <v>827</v>
      </c>
      <c r="W276" s="113" t="s">
        <v>929</v>
      </c>
      <c r="X276" s="3"/>
      <c r="Y276" s="3">
        <v>1</v>
      </c>
    </row>
    <row r="277" spans="3:25">
      <c r="C277" s="63" t="s">
        <v>20</v>
      </c>
      <c r="D277" s="63" t="s">
        <v>20</v>
      </c>
      <c r="E277" s="110" t="s">
        <v>844</v>
      </c>
      <c r="F277" s="111">
        <v>2672573314</v>
      </c>
      <c r="G277" s="63" t="s">
        <v>707</v>
      </c>
      <c r="H277" s="112">
        <v>25332341</v>
      </c>
      <c r="I277" s="116" t="s">
        <v>410</v>
      </c>
      <c r="J277" s="113" t="s">
        <v>56</v>
      </c>
      <c r="K277" s="109" t="s">
        <v>837</v>
      </c>
      <c r="L277" s="109" t="s">
        <v>889</v>
      </c>
      <c r="M277" s="114" t="s">
        <v>868</v>
      </c>
      <c r="N277" s="113" t="s">
        <v>733</v>
      </c>
      <c r="O277" s="114" t="s">
        <v>292</v>
      </c>
      <c r="P277" s="73">
        <v>45992</v>
      </c>
      <c r="Q277" s="113" t="s">
        <v>293</v>
      </c>
      <c r="R277" s="113" t="s">
        <v>733</v>
      </c>
      <c r="S277" s="113" t="s">
        <v>293</v>
      </c>
      <c r="T277" s="113" t="s">
        <v>733</v>
      </c>
      <c r="U277" s="113" t="s">
        <v>733</v>
      </c>
      <c r="V277" s="113" t="s">
        <v>827</v>
      </c>
      <c r="W277" s="113" t="s">
        <v>929</v>
      </c>
      <c r="X277" s="3"/>
      <c r="Y277" s="3">
        <v>1</v>
      </c>
    </row>
    <row r="278" spans="3:25">
      <c r="C278" s="63" t="s">
        <v>20</v>
      </c>
      <c r="D278" s="63" t="s">
        <v>20</v>
      </c>
      <c r="E278" s="110" t="s">
        <v>844</v>
      </c>
      <c r="F278" s="111">
        <v>2672573314</v>
      </c>
      <c r="G278" s="63" t="s">
        <v>500</v>
      </c>
      <c r="H278" s="112">
        <v>20700330</v>
      </c>
      <c r="I278" s="109" t="s">
        <v>730</v>
      </c>
      <c r="J278" s="113" t="s">
        <v>53</v>
      </c>
      <c r="K278" s="109" t="s">
        <v>837</v>
      </c>
      <c r="L278" s="109" t="s">
        <v>889</v>
      </c>
      <c r="M278" s="114" t="s">
        <v>292</v>
      </c>
      <c r="N278" s="115">
        <v>45748</v>
      </c>
      <c r="O278" s="114" t="s">
        <v>292</v>
      </c>
      <c r="P278" s="73">
        <v>45962</v>
      </c>
      <c r="Q278" s="113" t="s">
        <v>293</v>
      </c>
      <c r="R278" s="113" t="s">
        <v>733</v>
      </c>
      <c r="S278" s="113" t="s">
        <v>293</v>
      </c>
      <c r="T278" s="113" t="s">
        <v>733</v>
      </c>
      <c r="U278" s="113" t="s">
        <v>733</v>
      </c>
      <c r="V278" s="113" t="s">
        <v>827</v>
      </c>
      <c r="W278" s="113" t="s">
        <v>929</v>
      </c>
      <c r="X278" s="3"/>
      <c r="Y278" s="3">
        <v>1</v>
      </c>
    </row>
    <row r="279" spans="3:25">
      <c r="C279" s="63" t="s">
        <v>20</v>
      </c>
      <c r="D279" s="63" t="s">
        <v>20</v>
      </c>
      <c r="E279" s="110" t="s">
        <v>844</v>
      </c>
      <c r="F279" s="111">
        <v>2672573314</v>
      </c>
      <c r="G279" s="63" t="s">
        <v>499</v>
      </c>
      <c r="H279" s="112">
        <v>30371821</v>
      </c>
      <c r="I279" s="109" t="s">
        <v>730</v>
      </c>
      <c r="J279" s="113" t="s">
        <v>53</v>
      </c>
      <c r="K279" s="109" t="s">
        <v>837</v>
      </c>
      <c r="L279" s="109" t="s">
        <v>889</v>
      </c>
      <c r="M279" s="114" t="s">
        <v>292</v>
      </c>
      <c r="N279" s="115">
        <v>45748</v>
      </c>
      <c r="O279" s="114" t="s">
        <v>292</v>
      </c>
      <c r="P279" s="73">
        <v>45962</v>
      </c>
      <c r="Q279" s="113" t="s">
        <v>293</v>
      </c>
      <c r="R279" s="113" t="s">
        <v>733</v>
      </c>
      <c r="S279" s="113" t="s">
        <v>293</v>
      </c>
      <c r="T279" s="113" t="s">
        <v>733</v>
      </c>
      <c r="U279" s="113" t="s">
        <v>733</v>
      </c>
      <c r="V279" s="113" t="s">
        <v>827</v>
      </c>
      <c r="W279" s="113" t="s">
        <v>929</v>
      </c>
      <c r="X279" s="3"/>
      <c r="Y279" s="3">
        <v>1</v>
      </c>
    </row>
    <row r="280" spans="3:25">
      <c r="C280" s="63" t="s">
        <v>20</v>
      </c>
      <c r="D280" s="63" t="s">
        <v>20</v>
      </c>
      <c r="E280" s="110" t="s">
        <v>844</v>
      </c>
      <c r="F280" s="111">
        <v>2672573314</v>
      </c>
      <c r="G280" s="63" t="s">
        <v>498</v>
      </c>
      <c r="H280" s="112">
        <v>19260284</v>
      </c>
      <c r="I280" s="109" t="s">
        <v>730</v>
      </c>
      <c r="J280" s="113" t="s">
        <v>56</v>
      </c>
      <c r="K280" s="109" t="s">
        <v>837</v>
      </c>
      <c r="L280" s="109" t="s">
        <v>889</v>
      </c>
      <c r="M280" s="114" t="s">
        <v>292</v>
      </c>
      <c r="N280" s="115">
        <v>45748</v>
      </c>
      <c r="O280" s="114" t="s">
        <v>292</v>
      </c>
      <c r="P280" s="73">
        <v>45962</v>
      </c>
      <c r="Q280" s="113" t="s">
        <v>293</v>
      </c>
      <c r="R280" s="113" t="s">
        <v>733</v>
      </c>
      <c r="S280" s="113" t="s">
        <v>293</v>
      </c>
      <c r="T280" s="113" t="s">
        <v>733</v>
      </c>
      <c r="U280" s="113" t="s">
        <v>733</v>
      </c>
      <c r="V280" s="113" t="s">
        <v>827</v>
      </c>
      <c r="W280" s="113" t="s">
        <v>929</v>
      </c>
      <c r="X280" s="3"/>
      <c r="Y280" s="3">
        <v>1</v>
      </c>
    </row>
    <row r="281" spans="3:25">
      <c r="C281" s="63" t="s">
        <v>20</v>
      </c>
      <c r="D281" s="63" t="s">
        <v>20</v>
      </c>
      <c r="E281" s="110" t="s">
        <v>844</v>
      </c>
      <c r="F281" s="111">
        <v>2672573314</v>
      </c>
      <c r="G281" s="63" t="s">
        <v>708</v>
      </c>
      <c r="H281" s="112">
        <v>27013056</v>
      </c>
      <c r="I281" s="109" t="s">
        <v>730</v>
      </c>
      <c r="J281" s="113" t="s">
        <v>56</v>
      </c>
      <c r="K281" s="109" t="s">
        <v>837</v>
      </c>
      <c r="L281" s="109" t="s">
        <v>889</v>
      </c>
      <c r="M281" s="114" t="s">
        <v>292</v>
      </c>
      <c r="N281" s="115">
        <v>45748</v>
      </c>
      <c r="O281" s="114" t="s">
        <v>292</v>
      </c>
      <c r="P281" s="73">
        <v>45962</v>
      </c>
      <c r="Q281" s="113" t="s">
        <v>293</v>
      </c>
      <c r="R281" s="113" t="s">
        <v>733</v>
      </c>
      <c r="S281" s="113" t="s">
        <v>293</v>
      </c>
      <c r="T281" s="113" t="s">
        <v>733</v>
      </c>
      <c r="U281" s="113" t="s">
        <v>733</v>
      </c>
      <c r="V281" s="113" t="s">
        <v>827</v>
      </c>
      <c r="W281" s="113" t="s">
        <v>929</v>
      </c>
      <c r="X281" s="3"/>
      <c r="Y281" s="3">
        <v>1</v>
      </c>
    </row>
    <row r="282" spans="3:25">
      <c r="C282" s="63" t="s">
        <v>20</v>
      </c>
      <c r="D282" s="63" t="s">
        <v>20</v>
      </c>
      <c r="E282" s="110" t="s">
        <v>844</v>
      </c>
      <c r="F282" s="111">
        <v>2672573314</v>
      </c>
      <c r="G282" s="63" t="s">
        <v>497</v>
      </c>
      <c r="H282" s="112">
        <v>26145382</v>
      </c>
      <c r="I282" s="109" t="s">
        <v>730</v>
      </c>
      <c r="J282" s="113" t="s">
        <v>56</v>
      </c>
      <c r="K282" s="109" t="s">
        <v>837</v>
      </c>
      <c r="L282" s="109" t="s">
        <v>889</v>
      </c>
      <c r="M282" s="114" t="s">
        <v>292</v>
      </c>
      <c r="N282" s="115">
        <v>45748</v>
      </c>
      <c r="O282" s="114" t="s">
        <v>292</v>
      </c>
      <c r="P282" s="73">
        <v>45962</v>
      </c>
      <c r="Q282" s="113" t="s">
        <v>293</v>
      </c>
      <c r="R282" s="113" t="s">
        <v>733</v>
      </c>
      <c r="S282" s="113" t="s">
        <v>293</v>
      </c>
      <c r="T282" s="113" t="s">
        <v>733</v>
      </c>
      <c r="U282" s="113" t="s">
        <v>733</v>
      </c>
      <c r="V282" s="113" t="s">
        <v>827</v>
      </c>
      <c r="W282" s="113" t="s">
        <v>929</v>
      </c>
      <c r="X282" s="3"/>
      <c r="Y282" s="3">
        <v>1</v>
      </c>
    </row>
    <row r="283" spans="3:25">
      <c r="C283" s="63" t="s">
        <v>20</v>
      </c>
      <c r="D283" s="63" t="s">
        <v>20</v>
      </c>
      <c r="E283" s="110" t="s">
        <v>844</v>
      </c>
      <c r="F283" s="111">
        <v>2672573314</v>
      </c>
      <c r="G283" s="63" t="s">
        <v>496</v>
      </c>
      <c r="H283" s="112">
        <v>25534806</v>
      </c>
      <c r="I283" s="109" t="s">
        <v>730</v>
      </c>
      <c r="J283" s="113" t="s">
        <v>56</v>
      </c>
      <c r="K283" s="109" t="s">
        <v>837</v>
      </c>
      <c r="L283" s="109" t="s">
        <v>889</v>
      </c>
      <c r="M283" s="114" t="s">
        <v>292</v>
      </c>
      <c r="N283" s="115">
        <v>45748</v>
      </c>
      <c r="O283" s="114" t="s">
        <v>292</v>
      </c>
      <c r="P283" s="73">
        <v>45962</v>
      </c>
      <c r="Q283" s="113" t="s">
        <v>293</v>
      </c>
      <c r="R283" s="113" t="s">
        <v>733</v>
      </c>
      <c r="S283" s="113" t="s">
        <v>293</v>
      </c>
      <c r="T283" s="113" t="s">
        <v>733</v>
      </c>
      <c r="U283" s="113" t="s">
        <v>733</v>
      </c>
      <c r="V283" s="113" t="s">
        <v>827</v>
      </c>
      <c r="W283" s="113" t="s">
        <v>929</v>
      </c>
      <c r="X283" s="3"/>
      <c r="Y283" s="3">
        <v>1</v>
      </c>
    </row>
    <row r="284" spans="3:25">
      <c r="C284" s="63" t="s">
        <v>20</v>
      </c>
      <c r="D284" s="63" t="s">
        <v>20</v>
      </c>
      <c r="E284" s="110" t="s">
        <v>844</v>
      </c>
      <c r="F284" s="111">
        <v>2672573314</v>
      </c>
      <c r="G284" s="63" t="s">
        <v>495</v>
      </c>
      <c r="H284" s="112">
        <v>20041117</v>
      </c>
      <c r="I284" s="116" t="s">
        <v>725</v>
      </c>
      <c r="J284" s="113" t="s">
        <v>56</v>
      </c>
      <c r="K284" s="109" t="s">
        <v>837</v>
      </c>
      <c r="L284" s="109" t="s">
        <v>889</v>
      </c>
      <c r="M284" s="114" t="s">
        <v>292</v>
      </c>
      <c r="N284" s="115">
        <v>45748</v>
      </c>
      <c r="O284" s="114" t="s">
        <v>292</v>
      </c>
      <c r="P284" s="73">
        <v>45962</v>
      </c>
      <c r="Q284" s="113" t="s">
        <v>293</v>
      </c>
      <c r="R284" s="113" t="s">
        <v>733</v>
      </c>
      <c r="S284" s="113" t="s">
        <v>293</v>
      </c>
      <c r="T284" s="113" t="s">
        <v>733</v>
      </c>
      <c r="U284" s="113" t="s">
        <v>733</v>
      </c>
      <c r="V284" s="113" t="s">
        <v>827</v>
      </c>
      <c r="W284" s="113" t="s">
        <v>929</v>
      </c>
      <c r="X284" s="3"/>
      <c r="Y284" s="3">
        <v>1</v>
      </c>
    </row>
    <row r="285" spans="3:25">
      <c r="C285" s="63" t="s">
        <v>20</v>
      </c>
      <c r="D285" s="63" t="s">
        <v>20</v>
      </c>
      <c r="E285" s="110" t="s">
        <v>844</v>
      </c>
      <c r="F285" s="111">
        <v>2672573314</v>
      </c>
      <c r="G285" s="63" t="s">
        <v>591</v>
      </c>
      <c r="H285" s="112">
        <v>14414733</v>
      </c>
      <c r="I285" s="109" t="s">
        <v>730</v>
      </c>
      <c r="J285" s="113" t="s">
        <v>53</v>
      </c>
      <c r="K285" s="109" t="s">
        <v>837</v>
      </c>
      <c r="L285" s="109" t="s">
        <v>889</v>
      </c>
      <c r="M285" s="114" t="s">
        <v>868</v>
      </c>
      <c r="N285" s="113" t="s">
        <v>733</v>
      </c>
      <c r="O285" s="114" t="s">
        <v>292</v>
      </c>
      <c r="P285" s="73">
        <v>45962</v>
      </c>
      <c r="Q285" s="113" t="s">
        <v>293</v>
      </c>
      <c r="R285" s="113" t="s">
        <v>733</v>
      </c>
      <c r="S285" s="113" t="s">
        <v>293</v>
      </c>
      <c r="T285" s="113" t="s">
        <v>733</v>
      </c>
      <c r="U285" s="113" t="s">
        <v>733</v>
      </c>
      <c r="V285" s="113" t="s">
        <v>827</v>
      </c>
      <c r="W285" s="113" t="s">
        <v>929</v>
      </c>
      <c r="X285" s="3"/>
      <c r="Y285" s="3">
        <v>1</v>
      </c>
    </row>
    <row r="286" spans="3:25">
      <c r="C286" s="63" t="s">
        <v>20</v>
      </c>
      <c r="D286" s="63" t="s">
        <v>20</v>
      </c>
      <c r="E286" s="110" t="s">
        <v>844</v>
      </c>
      <c r="F286" s="111">
        <v>2672573314</v>
      </c>
      <c r="G286" s="63" t="s">
        <v>592</v>
      </c>
      <c r="H286" s="112">
        <v>25954162</v>
      </c>
      <c r="I286" s="116" t="s">
        <v>725</v>
      </c>
      <c r="J286" s="113" t="s">
        <v>53</v>
      </c>
      <c r="K286" s="109" t="s">
        <v>837</v>
      </c>
      <c r="L286" s="109" t="s">
        <v>889</v>
      </c>
      <c r="M286" s="114" t="s">
        <v>868</v>
      </c>
      <c r="N286" s="113" t="s">
        <v>733</v>
      </c>
      <c r="O286" s="114" t="s">
        <v>292</v>
      </c>
      <c r="P286" s="73">
        <v>45962</v>
      </c>
      <c r="Q286" s="113" t="s">
        <v>293</v>
      </c>
      <c r="R286" s="113" t="s">
        <v>733</v>
      </c>
      <c r="S286" s="113" t="s">
        <v>293</v>
      </c>
      <c r="T286" s="113" t="s">
        <v>733</v>
      </c>
      <c r="U286" s="113" t="s">
        <v>733</v>
      </c>
      <c r="V286" s="113" t="s">
        <v>827</v>
      </c>
      <c r="W286" s="113" t="s">
        <v>929</v>
      </c>
      <c r="X286" s="3"/>
      <c r="Y286" s="3">
        <v>1</v>
      </c>
    </row>
    <row r="287" spans="3:25">
      <c r="C287" s="63" t="s">
        <v>20</v>
      </c>
      <c r="D287" s="63" t="s">
        <v>20</v>
      </c>
      <c r="E287" s="110" t="s">
        <v>844</v>
      </c>
      <c r="F287" s="111">
        <v>2672573314</v>
      </c>
      <c r="G287" s="63" t="s">
        <v>593</v>
      </c>
      <c r="H287" s="112">
        <v>28339838</v>
      </c>
      <c r="I287" s="116" t="s">
        <v>725</v>
      </c>
      <c r="J287" s="113" t="s">
        <v>53</v>
      </c>
      <c r="K287" s="109" t="s">
        <v>837</v>
      </c>
      <c r="L287" s="109" t="s">
        <v>889</v>
      </c>
      <c r="M287" s="114" t="s">
        <v>868</v>
      </c>
      <c r="N287" s="113" t="s">
        <v>733</v>
      </c>
      <c r="O287" s="114" t="s">
        <v>292</v>
      </c>
      <c r="P287" s="73">
        <v>45962</v>
      </c>
      <c r="Q287" s="113" t="s">
        <v>293</v>
      </c>
      <c r="R287" s="113" t="s">
        <v>733</v>
      </c>
      <c r="S287" s="113" t="s">
        <v>293</v>
      </c>
      <c r="T287" s="113" t="s">
        <v>733</v>
      </c>
      <c r="U287" s="113" t="s">
        <v>733</v>
      </c>
      <c r="V287" s="113" t="s">
        <v>827</v>
      </c>
      <c r="W287" s="113" t="s">
        <v>929</v>
      </c>
      <c r="X287" s="3"/>
      <c r="Y287" s="3">
        <v>1</v>
      </c>
    </row>
    <row r="288" spans="3:25">
      <c r="C288" s="63" t="s">
        <v>20</v>
      </c>
      <c r="D288" s="63" t="s">
        <v>20</v>
      </c>
      <c r="E288" s="110" t="s">
        <v>844</v>
      </c>
      <c r="F288" s="111">
        <v>2672573314</v>
      </c>
      <c r="G288" s="63" t="s">
        <v>594</v>
      </c>
      <c r="H288" s="112">
        <v>24793644</v>
      </c>
      <c r="I288" s="116" t="s">
        <v>725</v>
      </c>
      <c r="J288" s="113" t="s">
        <v>53</v>
      </c>
      <c r="K288" s="109" t="s">
        <v>837</v>
      </c>
      <c r="L288" s="109" t="s">
        <v>889</v>
      </c>
      <c r="M288" s="114" t="s">
        <v>868</v>
      </c>
      <c r="N288" s="113" t="s">
        <v>733</v>
      </c>
      <c r="O288" s="114" t="s">
        <v>292</v>
      </c>
      <c r="P288" s="73">
        <v>45962</v>
      </c>
      <c r="Q288" s="113" t="s">
        <v>293</v>
      </c>
      <c r="R288" s="113" t="s">
        <v>733</v>
      </c>
      <c r="S288" s="113" t="s">
        <v>293</v>
      </c>
      <c r="T288" s="113" t="s">
        <v>733</v>
      </c>
      <c r="U288" s="113" t="s">
        <v>733</v>
      </c>
      <c r="V288" s="113" t="s">
        <v>827</v>
      </c>
      <c r="W288" s="113" t="s">
        <v>929</v>
      </c>
      <c r="X288" s="3"/>
      <c r="Y288" s="3">
        <v>1</v>
      </c>
    </row>
    <row r="289" spans="3:25">
      <c r="C289" s="63" t="s">
        <v>20</v>
      </c>
      <c r="D289" s="63" t="s">
        <v>20</v>
      </c>
      <c r="E289" s="110" t="s">
        <v>844</v>
      </c>
      <c r="F289" s="111">
        <v>2672573314</v>
      </c>
      <c r="G289" s="63" t="s">
        <v>595</v>
      </c>
      <c r="H289" s="112">
        <v>18850224</v>
      </c>
      <c r="I289" s="116" t="s">
        <v>725</v>
      </c>
      <c r="J289" s="113" t="s">
        <v>56</v>
      </c>
      <c r="K289" s="109" t="s">
        <v>837</v>
      </c>
      <c r="L289" s="109" t="s">
        <v>889</v>
      </c>
      <c r="M289" s="114" t="s">
        <v>868</v>
      </c>
      <c r="N289" s="113" t="s">
        <v>733</v>
      </c>
      <c r="O289" s="114" t="s">
        <v>292</v>
      </c>
      <c r="P289" s="73">
        <v>45992</v>
      </c>
      <c r="Q289" s="113" t="s">
        <v>293</v>
      </c>
      <c r="R289" s="113" t="s">
        <v>733</v>
      </c>
      <c r="S289" s="113" t="s">
        <v>293</v>
      </c>
      <c r="T289" s="113" t="s">
        <v>733</v>
      </c>
      <c r="U289" s="113" t="s">
        <v>733</v>
      </c>
      <c r="V289" s="113" t="s">
        <v>827</v>
      </c>
      <c r="W289" s="113" t="s">
        <v>929</v>
      </c>
      <c r="X289" s="3"/>
      <c r="Y289" s="3">
        <v>1</v>
      </c>
    </row>
    <row r="290" spans="3:25">
      <c r="C290" s="63" t="s">
        <v>20</v>
      </c>
      <c r="D290" s="63" t="s">
        <v>20</v>
      </c>
      <c r="E290" s="110" t="s">
        <v>844</v>
      </c>
      <c r="F290" s="111">
        <v>2672573314</v>
      </c>
      <c r="G290" s="63" t="s">
        <v>596</v>
      </c>
      <c r="H290" s="112">
        <v>22597048</v>
      </c>
      <c r="I290" s="116" t="s">
        <v>725</v>
      </c>
      <c r="J290" s="113" t="s">
        <v>56</v>
      </c>
      <c r="K290" s="109" t="s">
        <v>837</v>
      </c>
      <c r="L290" s="109" t="s">
        <v>889</v>
      </c>
      <c r="M290" s="114" t="s">
        <v>868</v>
      </c>
      <c r="N290" s="113" t="s">
        <v>733</v>
      </c>
      <c r="O290" s="114" t="s">
        <v>292</v>
      </c>
      <c r="P290" s="73">
        <v>45992</v>
      </c>
      <c r="Q290" s="113" t="s">
        <v>293</v>
      </c>
      <c r="R290" s="113" t="s">
        <v>733</v>
      </c>
      <c r="S290" s="113" t="s">
        <v>293</v>
      </c>
      <c r="T290" s="113" t="s">
        <v>733</v>
      </c>
      <c r="U290" s="113" t="s">
        <v>733</v>
      </c>
      <c r="V290" s="113" t="s">
        <v>827</v>
      </c>
      <c r="W290" s="113" t="s">
        <v>929</v>
      </c>
      <c r="X290" s="3"/>
      <c r="Y290" s="3">
        <v>1</v>
      </c>
    </row>
    <row r="291" spans="3:25">
      <c r="C291" s="63" t="s">
        <v>20</v>
      </c>
      <c r="D291" s="63" t="s">
        <v>20</v>
      </c>
      <c r="E291" s="110" t="s">
        <v>844</v>
      </c>
      <c r="F291" s="111">
        <v>2672573314</v>
      </c>
      <c r="G291" s="63" t="s">
        <v>597</v>
      </c>
      <c r="H291" s="112">
        <v>19182485</v>
      </c>
      <c r="I291" s="116" t="s">
        <v>725</v>
      </c>
      <c r="J291" s="113" t="s">
        <v>56</v>
      </c>
      <c r="K291" s="109" t="s">
        <v>837</v>
      </c>
      <c r="L291" s="109" t="s">
        <v>889</v>
      </c>
      <c r="M291" s="114" t="s">
        <v>868</v>
      </c>
      <c r="N291" s="113" t="s">
        <v>733</v>
      </c>
      <c r="O291" s="114" t="s">
        <v>292</v>
      </c>
      <c r="P291" s="73">
        <v>45962</v>
      </c>
      <c r="Q291" s="113" t="s">
        <v>293</v>
      </c>
      <c r="R291" s="113" t="s">
        <v>733</v>
      </c>
      <c r="S291" s="113" t="s">
        <v>293</v>
      </c>
      <c r="T291" s="113" t="s">
        <v>733</v>
      </c>
      <c r="U291" s="113" t="s">
        <v>733</v>
      </c>
      <c r="V291" s="113" t="s">
        <v>827</v>
      </c>
      <c r="W291" s="113" t="s">
        <v>929</v>
      </c>
      <c r="X291" s="3"/>
      <c r="Y291" s="3">
        <v>1</v>
      </c>
    </row>
    <row r="292" spans="3:25">
      <c r="C292" s="63" t="s">
        <v>20</v>
      </c>
      <c r="D292" s="63" t="s">
        <v>20</v>
      </c>
      <c r="E292" s="110" t="s">
        <v>844</v>
      </c>
      <c r="F292" s="111">
        <v>2672573314</v>
      </c>
      <c r="G292" s="63" t="s">
        <v>598</v>
      </c>
      <c r="H292" s="112">
        <v>19357155</v>
      </c>
      <c r="I292" s="116" t="s">
        <v>725</v>
      </c>
      <c r="J292" s="113" t="s">
        <v>56</v>
      </c>
      <c r="K292" s="109" t="s">
        <v>837</v>
      </c>
      <c r="L292" s="109" t="s">
        <v>889</v>
      </c>
      <c r="M292" s="114" t="s">
        <v>868</v>
      </c>
      <c r="N292" s="113" t="s">
        <v>733</v>
      </c>
      <c r="O292" s="114" t="s">
        <v>292</v>
      </c>
      <c r="P292" s="73">
        <v>45962</v>
      </c>
      <c r="Q292" s="113" t="s">
        <v>293</v>
      </c>
      <c r="R292" s="113" t="s">
        <v>733</v>
      </c>
      <c r="S292" s="113" t="s">
        <v>293</v>
      </c>
      <c r="T292" s="113" t="s">
        <v>733</v>
      </c>
      <c r="U292" s="113" t="s">
        <v>733</v>
      </c>
      <c r="V292" s="113" t="s">
        <v>827</v>
      </c>
      <c r="W292" s="113" t="s">
        <v>929</v>
      </c>
      <c r="X292" s="3"/>
      <c r="Y292" s="3">
        <v>1</v>
      </c>
    </row>
    <row r="293" spans="3:25">
      <c r="C293" s="63" t="s">
        <v>20</v>
      </c>
      <c r="D293" s="63" t="s">
        <v>20</v>
      </c>
      <c r="E293" s="110" t="s">
        <v>844</v>
      </c>
      <c r="F293" s="111">
        <v>2672573314</v>
      </c>
      <c r="G293" s="63" t="s">
        <v>599</v>
      </c>
      <c r="H293" s="112">
        <v>20641121</v>
      </c>
      <c r="I293" s="109" t="s">
        <v>730</v>
      </c>
      <c r="J293" s="113" t="s">
        <v>56</v>
      </c>
      <c r="K293" s="109" t="s">
        <v>837</v>
      </c>
      <c r="L293" s="109" t="s">
        <v>889</v>
      </c>
      <c r="M293" s="114" t="s">
        <v>868</v>
      </c>
      <c r="N293" s="113" t="s">
        <v>733</v>
      </c>
      <c r="O293" s="114" t="s">
        <v>292</v>
      </c>
      <c r="P293" s="73">
        <v>45962</v>
      </c>
      <c r="Q293" s="113" t="s">
        <v>293</v>
      </c>
      <c r="R293" s="113" t="s">
        <v>733</v>
      </c>
      <c r="S293" s="113" t="s">
        <v>293</v>
      </c>
      <c r="T293" s="113" t="s">
        <v>733</v>
      </c>
      <c r="U293" s="113" t="s">
        <v>733</v>
      </c>
      <c r="V293" s="113" t="s">
        <v>827</v>
      </c>
      <c r="W293" s="113" t="s">
        <v>929</v>
      </c>
      <c r="X293" s="3"/>
      <c r="Y293" s="3">
        <v>1</v>
      </c>
    </row>
    <row r="294" spans="3:25">
      <c r="C294" s="63" t="s">
        <v>20</v>
      </c>
      <c r="D294" s="63" t="s">
        <v>20</v>
      </c>
      <c r="E294" s="110" t="s">
        <v>844</v>
      </c>
      <c r="F294" s="111">
        <v>2672573314</v>
      </c>
      <c r="G294" s="63" t="s">
        <v>600</v>
      </c>
      <c r="H294" s="112">
        <v>26400401</v>
      </c>
      <c r="I294" s="116" t="s">
        <v>725</v>
      </c>
      <c r="J294" s="113" t="s">
        <v>56</v>
      </c>
      <c r="K294" s="109" t="s">
        <v>837</v>
      </c>
      <c r="L294" s="109" t="s">
        <v>889</v>
      </c>
      <c r="M294" s="114" t="s">
        <v>868</v>
      </c>
      <c r="N294" s="113" t="s">
        <v>733</v>
      </c>
      <c r="O294" s="114" t="s">
        <v>292</v>
      </c>
      <c r="P294" s="73">
        <v>45962</v>
      </c>
      <c r="Q294" s="113" t="s">
        <v>293</v>
      </c>
      <c r="R294" s="113" t="s">
        <v>733</v>
      </c>
      <c r="S294" s="113" t="s">
        <v>293</v>
      </c>
      <c r="T294" s="113" t="s">
        <v>733</v>
      </c>
      <c r="U294" s="113" t="s">
        <v>733</v>
      </c>
      <c r="V294" s="113" t="s">
        <v>827</v>
      </c>
      <c r="W294" s="113" t="s">
        <v>929</v>
      </c>
      <c r="X294" s="3"/>
      <c r="Y294" s="3">
        <v>1</v>
      </c>
    </row>
    <row r="295" spans="3:25">
      <c r="C295" s="63" t="s">
        <v>20</v>
      </c>
      <c r="D295" s="63" t="s">
        <v>20</v>
      </c>
      <c r="E295" s="110" t="s">
        <v>844</v>
      </c>
      <c r="F295" s="111">
        <v>2672573314</v>
      </c>
      <c r="G295" s="63" t="s">
        <v>601</v>
      </c>
      <c r="H295" s="112">
        <v>23959129</v>
      </c>
      <c r="I295" s="109" t="s">
        <v>730</v>
      </c>
      <c r="J295" s="113" t="s">
        <v>56</v>
      </c>
      <c r="K295" s="109" t="s">
        <v>837</v>
      </c>
      <c r="L295" s="109" t="s">
        <v>889</v>
      </c>
      <c r="M295" s="114" t="s">
        <v>868</v>
      </c>
      <c r="N295" s="113" t="s">
        <v>733</v>
      </c>
      <c r="O295" s="114" t="s">
        <v>292</v>
      </c>
      <c r="P295" s="73">
        <v>45992</v>
      </c>
      <c r="Q295" s="113" t="s">
        <v>293</v>
      </c>
      <c r="R295" s="113" t="s">
        <v>733</v>
      </c>
      <c r="S295" s="113" t="s">
        <v>293</v>
      </c>
      <c r="T295" s="113" t="s">
        <v>733</v>
      </c>
      <c r="U295" s="113" t="s">
        <v>733</v>
      </c>
      <c r="V295" s="113" t="s">
        <v>827</v>
      </c>
      <c r="W295" s="113" t="s">
        <v>929</v>
      </c>
      <c r="X295" s="3"/>
      <c r="Y295" s="3">
        <v>1</v>
      </c>
    </row>
    <row r="296" spans="3:25">
      <c r="C296" s="63" t="s">
        <v>20</v>
      </c>
      <c r="D296" s="63" t="s">
        <v>20</v>
      </c>
      <c r="E296" s="110" t="s">
        <v>844</v>
      </c>
      <c r="F296" s="111">
        <v>2672573314</v>
      </c>
      <c r="G296" s="63" t="s">
        <v>602</v>
      </c>
      <c r="H296" s="112">
        <v>19542063</v>
      </c>
      <c r="I296" s="116" t="s">
        <v>725</v>
      </c>
      <c r="J296" s="113" t="s">
        <v>56</v>
      </c>
      <c r="K296" s="109" t="s">
        <v>837</v>
      </c>
      <c r="L296" s="109" t="s">
        <v>889</v>
      </c>
      <c r="M296" s="114" t="s">
        <v>868</v>
      </c>
      <c r="N296" s="113" t="s">
        <v>733</v>
      </c>
      <c r="O296" s="114" t="s">
        <v>292</v>
      </c>
      <c r="P296" s="73">
        <v>45992</v>
      </c>
      <c r="Q296" s="113" t="s">
        <v>293</v>
      </c>
      <c r="R296" s="113" t="s">
        <v>733</v>
      </c>
      <c r="S296" s="113" t="s">
        <v>293</v>
      </c>
      <c r="T296" s="113" t="s">
        <v>733</v>
      </c>
      <c r="U296" s="113" t="s">
        <v>733</v>
      </c>
      <c r="V296" s="113" t="s">
        <v>827</v>
      </c>
      <c r="W296" s="113" t="s">
        <v>929</v>
      </c>
      <c r="X296" s="3"/>
      <c r="Y296" s="3">
        <v>1</v>
      </c>
    </row>
    <row r="297" spans="3:25">
      <c r="C297" s="63" t="s">
        <v>20</v>
      </c>
      <c r="D297" s="63" t="s">
        <v>20</v>
      </c>
      <c r="E297" s="110" t="s">
        <v>844</v>
      </c>
      <c r="F297" s="111">
        <v>2672573314</v>
      </c>
      <c r="G297" s="63" t="s">
        <v>603</v>
      </c>
      <c r="H297" s="112">
        <v>24793601</v>
      </c>
      <c r="I297" s="109" t="s">
        <v>730</v>
      </c>
      <c r="J297" s="113" t="s">
        <v>56</v>
      </c>
      <c r="K297" s="109" t="s">
        <v>837</v>
      </c>
      <c r="L297" s="109" t="s">
        <v>889</v>
      </c>
      <c r="M297" s="114" t="s">
        <v>868</v>
      </c>
      <c r="N297" s="113" t="s">
        <v>733</v>
      </c>
      <c r="O297" s="114" t="s">
        <v>292</v>
      </c>
      <c r="P297" s="73">
        <v>45992</v>
      </c>
      <c r="Q297" s="113" t="s">
        <v>293</v>
      </c>
      <c r="R297" s="113" t="s">
        <v>733</v>
      </c>
      <c r="S297" s="113" t="s">
        <v>293</v>
      </c>
      <c r="T297" s="113" t="s">
        <v>733</v>
      </c>
      <c r="U297" s="113" t="s">
        <v>733</v>
      </c>
      <c r="V297" s="113" t="s">
        <v>827</v>
      </c>
      <c r="W297" s="113" t="s">
        <v>929</v>
      </c>
      <c r="X297" s="3"/>
      <c r="Y297" s="3">
        <v>1</v>
      </c>
    </row>
    <row r="298" spans="3:25">
      <c r="C298" s="63" t="s">
        <v>20</v>
      </c>
      <c r="D298" s="63" t="s">
        <v>20</v>
      </c>
      <c r="E298" s="110" t="s">
        <v>844</v>
      </c>
      <c r="F298" s="111">
        <v>2672573314</v>
      </c>
      <c r="G298" s="63" t="s">
        <v>604</v>
      </c>
      <c r="H298" s="112">
        <v>29920753</v>
      </c>
      <c r="I298" s="116" t="s">
        <v>725</v>
      </c>
      <c r="J298" s="113" t="s">
        <v>56</v>
      </c>
      <c r="K298" s="109" t="s">
        <v>837</v>
      </c>
      <c r="L298" s="109" t="s">
        <v>889</v>
      </c>
      <c r="M298" s="114" t="s">
        <v>868</v>
      </c>
      <c r="N298" s="113" t="s">
        <v>733</v>
      </c>
      <c r="O298" s="114" t="s">
        <v>292</v>
      </c>
      <c r="P298" s="73">
        <v>45962</v>
      </c>
      <c r="Q298" s="113" t="s">
        <v>293</v>
      </c>
      <c r="R298" s="113" t="s">
        <v>733</v>
      </c>
      <c r="S298" s="113" t="s">
        <v>293</v>
      </c>
      <c r="T298" s="113" t="s">
        <v>733</v>
      </c>
      <c r="U298" s="113" t="s">
        <v>733</v>
      </c>
      <c r="V298" s="113" t="s">
        <v>827</v>
      </c>
      <c r="W298" s="113" t="s">
        <v>929</v>
      </c>
      <c r="X298" s="3"/>
      <c r="Y298" s="3">
        <v>1</v>
      </c>
    </row>
    <row r="299" spans="3:25">
      <c r="C299" s="63" t="s">
        <v>20</v>
      </c>
      <c r="D299" s="63" t="s">
        <v>20</v>
      </c>
      <c r="E299" s="110" t="s">
        <v>844</v>
      </c>
      <c r="F299" s="111">
        <v>2672573314</v>
      </c>
      <c r="G299" s="63" t="s">
        <v>605</v>
      </c>
      <c r="H299" s="112">
        <v>25954652</v>
      </c>
      <c r="I299" s="109" t="s">
        <v>730</v>
      </c>
      <c r="J299" s="113" t="s">
        <v>56</v>
      </c>
      <c r="K299" s="109" t="s">
        <v>837</v>
      </c>
      <c r="L299" s="109" t="s">
        <v>889</v>
      </c>
      <c r="M299" s="114" t="s">
        <v>868</v>
      </c>
      <c r="N299" s="113" t="s">
        <v>733</v>
      </c>
      <c r="O299" s="114" t="s">
        <v>292</v>
      </c>
      <c r="P299" s="73">
        <v>45992</v>
      </c>
      <c r="Q299" s="113" t="s">
        <v>293</v>
      </c>
      <c r="R299" s="113" t="s">
        <v>733</v>
      </c>
      <c r="S299" s="113" t="s">
        <v>293</v>
      </c>
      <c r="T299" s="113" t="s">
        <v>733</v>
      </c>
      <c r="U299" s="113" t="s">
        <v>733</v>
      </c>
      <c r="V299" s="113" t="s">
        <v>827</v>
      </c>
      <c r="W299" s="113" t="s">
        <v>929</v>
      </c>
      <c r="X299" s="3"/>
      <c r="Y299" s="3">
        <v>1</v>
      </c>
    </row>
    <row r="300" spans="3:25">
      <c r="C300" s="63" t="s">
        <v>20</v>
      </c>
      <c r="D300" s="63" t="s">
        <v>20</v>
      </c>
      <c r="E300" s="110" t="s">
        <v>844</v>
      </c>
      <c r="F300" s="111">
        <v>2672573314</v>
      </c>
      <c r="G300" s="63" t="s">
        <v>606</v>
      </c>
      <c r="H300" s="112">
        <v>24247265</v>
      </c>
      <c r="I300" s="116" t="s">
        <v>725</v>
      </c>
      <c r="J300" s="113" t="s">
        <v>56</v>
      </c>
      <c r="K300" s="109" t="s">
        <v>837</v>
      </c>
      <c r="L300" s="109" t="s">
        <v>889</v>
      </c>
      <c r="M300" s="114" t="s">
        <v>868</v>
      </c>
      <c r="N300" s="113" t="s">
        <v>733</v>
      </c>
      <c r="O300" s="114" t="s">
        <v>292</v>
      </c>
      <c r="P300" s="73">
        <v>45992</v>
      </c>
      <c r="Q300" s="113" t="s">
        <v>293</v>
      </c>
      <c r="R300" s="113" t="s">
        <v>733</v>
      </c>
      <c r="S300" s="113" t="s">
        <v>293</v>
      </c>
      <c r="T300" s="113" t="s">
        <v>733</v>
      </c>
      <c r="U300" s="113" t="s">
        <v>733</v>
      </c>
      <c r="V300" s="113" t="s">
        <v>827</v>
      </c>
      <c r="W300" s="113" t="s">
        <v>929</v>
      </c>
      <c r="X300" s="3"/>
      <c r="Y300" s="3">
        <v>1</v>
      </c>
    </row>
    <row r="301" spans="3:25">
      <c r="C301" s="63" t="s">
        <v>20</v>
      </c>
      <c r="D301" s="63" t="s">
        <v>20</v>
      </c>
      <c r="E301" s="110" t="s">
        <v>844</v>
      </c>
      <c r="F301" s="111">
        <v>2672573314</v>
      </c>
      <c r="G301" s="63" t="s">
        <v>607</v>
      </c>
      <c r="H301" s="112">
        <v>19356963</v>
      </c>
      <c r="I301" s="109" t="s">
        <v>730</v>
      </c>
      <c r="J301" s="113" t="s">
        <v>56</v>
      </c>
      <c r="K301" s="109" t="s">
        <v>837</v>
      </c>
      <c r="L301" s="109" t="s">
        <v>889</v>
      </c>
      <c r="M301" s="114" t="s">
        <v>868</v>
      </c>
      <c r="N301" s="113" t="s">
        <v>733</v>
      </c>
      <c r="O301" s="114" t="s">
        <v>292</v>
      </c>
      <c r="P301" s="73">
        <v>45962</v>
      </c>
      <c r="Q301" s="113" t="s">
        <v>293</v>
      </c>
      <c r="R301" s="113" t="s">
        <v>733</v>
      </c>
      <c r="S301" s="113" t="s">
        <v>293</v>
      </c>
      <c r="T301" s="113" t="s">
        <v>733</v>
      </c>
      <c r="U301" s="113" t="s">
        <v>733</v>
      </c>
      <c r="V301" s="113" t="s">
        <v>827</v>
      </c>
      <c r="W301" s="113" t="s">
        <v>929</v>
      </c>
      <c r="X301" s="3"/>
      <c r="Y301" s="3">
        <v>1</v>
      </c>
    </row>
    <row r="302" spans="3:25">
      <c r="C302" s="63" t="s">
        <v>20</v>
      </c>
      <c r="D302" s="63" t="s">
        <v>20</v>
      </c>
      <c r="E302" s="110" t="s">
        <v>844</v>
      </c>
      <c r="F302" s="111">
        <v>2672573314</v>
      </c>
      <c r="G302" s="63" t="s">
        <v>608</v>
      </c>
      <c r="H302" s="112">
        <v>25419378</v>
      </c>
      <c r="I302" s="116" t="s">
        <v>725</v>
      </c>
      <c r="J302" s="113" t="s">
        <v>56</v>
      </c>
      <c r="K302" s="109" t="s">
        <v>837</v>
      </c>
      <c r="L302" s="109" t="s">
        <v>889</v>
      </c>
      <c r="M302" s="114" t="s">
        <v>868</v>
      </c>
      <c r="N302" s="113" t="s">
        <v>733</v>
      </c>
      <c r="O302" s="114" t="s">
        <v>292</v>
      </c>
      <c r="P302" s="73">
        <v>45962</v>
      </c>
      <c r="Q302" s="113" t="s">
        <v>293</v>
      </c>
      <c r="R302" s="113" t="s">
        <v>733</v>
      </c>
      <c r="S302" s="113" t="s">
        <v>293</v>
      </c>
      <c r="T302" s="113" t="s">
        <v>733</v>
      </c>
      <c r="U302" s="113" t="s">
        <v>733</v>
      </c>
      <c r="V302" s="113" t="s">
        <v>827</v>
      </c>
      <c r="W302" s="113" t="s">
        <v>929</v>
      </c>
      <c r="X302" s="3"/>
      <c r="Y302" s="3">
        <v>1</v>
      </c>
    </row>
    <row r="303" spans="3:25">
      <c r="C303" s="63" t="s">
        <v>20</v>
      </c>
      <c r="D303" s="63" t="s">
        <v>20</v>
      </c>
      <c r="E303" s="110" t="s">
        <v>844</v>
      </c>
      <c r="F303" s="111">
        <v>2672573314</v>
      </c>
      <c r="G303" s="63" t="s">
        <v>609</v>
      </c>
      <c r="H303" s="112">
        <v>21139746</v>
      </c>
      <c r="I303" s="109" t="s">
        <v>730</v>
      </c>
      <c r="J303" s="113" t="s">
        <v>56</v>
      </c>
      <c r="K303" s="109" t="s">
        <v>837</v>
      </c>
      <c r="L303" s="109" t="s">
        <v>889</v>
      </c>
      <c r="M303" s="114" t="s">
        <v>868</v>
      </c>
      <c r="N303" s="113" t="s">
        <v>733</v>
      </c>
      <c r="O303" s="114" t="s">
        <v>292</v>
      </c>
      <c r="P303" s="73">
        <v>45992</v>
      </c>
      <c r="Q303" s="113" t="s">
        <v>293</v>
      </c>
      <c r="R303" s="113" t="s">
        <v>733</v>
      </c>
      <c r="S303" s="113" t="s">
        <v>293</v>
      </c>
      <c r="T303" s="113" t="s">
        <v>733</v>
      </c>
      <c r="U303" s="113" t="s">
        <v>733</v>
      </c>
      <c r="V303" s="113" t="s">
        <v>827</v>
      </c>
      <c r="W303" s="113" t="s">
        <v>929</v>
      </c>
      <c r="X303" s="3"/>
      <c r="Y303" s="3">
        <v>1</v>
      </c>
    </row>
    <row r="304" spans="3:25">
      <c r="C304" s="63" t="s">
        <v>20</v>
      </c>
      <c r="D304" s="63" t="s">
        <v>20</v>
      </c>
      <c r="E304" s="110" t="s">
        <v>844</v>
      </c>
      <c r="F304" s="111">
        <v>2672573314</v>
      </c>
      <c r="G304" s="63" t="s">
        <v>610</v>
      </c>
      <c r="H304" s="112">
        <v>30241946</v>
      </c>
      <c r="I304" s="116" t="s">
        <v>725</v>
      </c>
      <c r="J304" s="113" t="s">
        <v>56</v>
      </c>
      <c r="K304" s="109" t="s">
        <v>837</v>
      </c>
      <c r="L304" s="109" t="s">
        <v>889</v>
      </c>
      <c r="M304" s="114" t="s">
        <v>868</v>
      </c>
      <c r="N304" s="113" t="s">
        <v>733</v>
      </c>
      <c r="O304" s="114" t="s">
        <v>292</v>
      </c>
      <c r="P304" s="73">
        <v>45992</v>
      </c>
      <c r="Q304" s="113" t="s">
        <v>293</v>
      </c>
      <c r="R304" s="113" t="s">
        <v>733</v>
      </c>
      <c r="S304" s="113" t="s">
        <v>293</v>
      </c>
      <c r="T304" s="113" t="s">
        <v>733</v>
      </c>
      <c r="U304" s="113" t="s">
        <v>733</v>
      </c>
      <c r="V304" s="113" t="s">
        <v>827</v>
      </c>
      <c r="W304" s="113" t="s">
        <v>929</v>
      </c>
      <c r="X304" s="3"/>
      <c r="Y304" s="3">
        <v>1</v>
      </c>
    </row>
    <row r="305" spans="3:25" s="70" customFormat="1">
      <c r="C305" s="63" t="s">
        <v>20</v>
      </c>
      <c r="D305" s="63" t="s">
        <v>20</v>
      </c>
      <c r="E305" s="110" t="s">
        <v>844</v>
      </c>
      <c r="F305" s="111">
        <v>2672573314</v>
      </c>
      <c r="G305" s="63" t="s">
        <v>611</v>
      </c>
      <c r="H305" s="112">
        <v>29525224</v>
      </c>
      <c r="I305" s="109" t="s">
        <v>730</v>
      </c>
      <c r="J305" s="113" t="s">
        <v>56</v>
      </c>
      <c r="K305" s="109" t="s">
        <v>837</v>
      </c>
      <c r="L305" s="109" t="s">
        <v>889</v>
      </c>
      <c r="M305" s="114" t="s">
        <v>868</v>
      </c>
      <c r="N305" s="113" t="s">
        <v>733</v>
      </c>
      <c r="O305" s="114" t="s">
        <v>292</v>
      </c>
      <c r="P305" s="73">
        <v>45992</v>
      </c>
      <c r="Q305" s="113" t="s">
        <v>293</v>
      </c>
      <c r="R305" s="113" t="s">
        <v>733</v>
      </c>
      <c r="S305" s="113" t="s">
        <v>293</v>
      </c>
      <c r="T305" s="113" t="s">
        <v>733</v>
      </c>
      <c r="U305" s="113" t="s">
        <v>733</v>
      </c>
      <c r="V305" s="113" t="s">
        <v>827</v>
      </c>
      <c r="W305" s="113" t="s">
        <v>929</v>
      </c>
      <c r="X305" s="3"/>
      <c r="Y305" s="3">
        <v>1</v>
      </c>
    </row>
    <row r="306" spans="3:25" s="70" customFormat="1">
      <c r="C306" s="63" t="s">
        <v>20</v>
      </c>
      <c r="D306" s="63" t="s">
        <v>20</v>
      </c>
      <c r="E306" s="110" t="s">
        <v>844</v>
      </c>
      <c r="F306" s="111">
        <v>2672573314</v>
      </c>
      <c r="G306" s="63" t="s">
        <v>709</v>
      </c>
      <c r="H306" s="112">
        <v>31903946</v>
      </c>
      <c r="I306" s="116" t="s">
        <v>725</v>
      </c>
      <c r="J306" s="113" t="s">
        <v>56</v>
      </c>
      <c r="K306" s="109" t="s">
        <v>837</v>
      </c>
      <c r="L306" s="109" t="s">
        <v>889</v>
      </c>
      <c r="M306" s="114" t="s">
        <v>868</v>
      </c>
      <c r="N306" s="113" t="s">
        <v>733</v>
      </c>
      <c r="O306" s="114" t="s">
        <v>292</v>
      </c>
      <c r="P306" s="73">
        <v>45992</v>
      </c>
      <c r="Q306" s="113" t="s">
        <v>293</v>
      </c>
      <c r="R306" s="113" t="s">
        <v>733</v>
      </c>
      <c r="S306" s="113" t="s">
        <v>293</v>
      </c>
      <c r="T306" s="113" t="s">
        <v>733</v>
      </c>
      <c r="U306" s="113" t="s">
        <v>733</v>
      </c>
      <c r="V306" s="113" t="s">
        <v>827</v>
      </c>
      <c r="W306" s="113" t="s">
        <v>929</v>
      </c>
      <c r="X306" s="3"/>
      <c r="Y306" s="3">
        <v>1</v>
      </c>
    </row>
    <row r="307" spans="3:25" s="70" customFormat="1">
      <c r="C307" s="63" t="s">
        <v>20</v>
      </c>
      <c r="D307" s="63" t="s">
        <v>20</v>
      </c>
      <c r="E307" s="110" t="s">
        <v>844</v>
      </c>
      <c r="F307" s="111">
        <v>2672573314</v>
      </c>
      <c r="G307" s="63" t="s">
        <v>612</v>
      </c>
      <c r="H307" s="112">
        <v>10992362</v>
      </c>
      <c r="I307" s="109" t="s">
        <v>730</v>
      </c>
      <c r="J307" s="113" t="s">
        <v>56</v>
      </c>
      <c r="K307" s="109" t="s">
        <v>837</v>
      </c>
      <c r="L307" s="109" t="s">
        <v>889</v>
      </c>
      <c r="M307" s="114" t="s">
        <v>868</v>
      </c>
      <c r="N307" s="113" t="s">
        <v>733</v>
      </c>
      <c r="O307" s="114" t="s">
        <v>292</v>
      </c>
      <c r="P307" s="73">
        <v>45992</v>
      </c>
      <c r="Q307" s="113" t="s">
        <v>293</v>
      </c>
      <c r="R307" s="113" t="s">
        <v>733</v>
      </c>
      <c r="S307" s="113" t="s">
        <v>293</v>
      </c>
      <c r="T307" s="113" t="s">
        <v>733</v>
      </c>
      <c r="U307" s="113" t="s">
        <v>733</v>
      </c>
      <c r="V307" s="113" t="s">
        <v>827</v>
      </c>
      <c r="W307" s="113" t="s">
        <v>929</v>
      </c>
      <c r="X307" s="3"/>
      <c r="Y307" s="3">
        <v>1</v>
      </c>
    </row>
    <row r="308" spans="3:25">
      <c r="C308" s="63" t="s">
        <v>20</v>
      </c>
      <c r="D308" s="63" t="s">
        <v>20</v>
      </c>
      <c r="E308" s="110" t="s">
        <v>844</v>
      </c>
      <c r="F308" s="111">
        <v>2672573314</v>
      </c>
      <c r="G308" s="63" t="s">
        <v>416</v>
      </c>
      <c r="H308" s="112">
        <v>12029969</v>
      </c>
      <c r="I308" s="116" t="s">
        <v>410</v>
      </c>
      <c r="J308" s="113" t="s">
        <v>56</v>
      </c>
      <c r="K308" s="109" t="s">
        <v>837</v>
      </c>
      <c r="L308" s="109" t="s">
        <v>889</v>
      </c>
      <c r="M308" s="114" t="s">
        <v>868</v>
      </c>
      <c r="N308" s="113" t="s">
        <v>733</v>
      </c>
      <c r="O308" s="114" t="s">
        <v>292</v>
      </c>
      <c r="P308" s="73">
        <v>45962</v>
      </c>
      <c r="Q308" s="113" t="s">
        <v>293</v>
      </c>
      <c r="R308" s="113" t="s">
        <v>733</v>
      </c>
      <c r="S308" s="113" t="s">
        <v>293</v>
      </c>
      <c r="T308" s="113" t="s">
        <v>733</v>
      </c>
      <c r="U308" s="113" t="s">
        <v>733</v>
      </c>
      <c r="V308" s="113" t="s">
        <v>827</v>
      </c>
      <c r="W308" s="113" t="s">
        <v>929</v>
      </c>
      <c r="X308" s="3"/>
      <c r="Y308" s="3">
        <v>1</v>
      </c>
    </row>
    <row r="309" spans="3:25">
      <c r="C309" s="63" t="s">
        <v>20</v>
      </c>
      <c r="D309" s="63" t="s">
        <v>20</v>
      </c>
      <c r="E309" s="110" t="s">
        <v>844</v>
      </c>
      <c r="F309" s="111">
        <v>2672573314</v>
      </c>
      <c r="G309" s="63" t="s">
        <v>782</v>
      </c>
      <c r="H309" s="53">
        <v>18322387</v>
      </c>
      <c r="I309" s="116" t="s">
        <v>729</v>
      </c>
      <c r="J309" s="113" t="s">
        <v>55</v>
      </c>
      <c r="K309" s="109" t="s">
        <v>837</v>
      </c>
      <c r="L309" s="109" t="s">
        <v>889</v>
      </c>
      <c r="M309" s="114" t="s">
        <v>868</v>
      </c>
      <c r="N309" s="113" t="s">
        <v>733</v>
      </c>
      <c r="O309" s="114" t="s">
        <v>293</v>
      </c>
      <c r="P309" s="68" t="s">
        <v>733</v>
      </c>
      <c r="Q309" s="113" t="s">
        <v>293</v>
      </c>
      <c r="R309" s="113" t="s">
        <v>733</v>
      </c>
      <c r="S309" s="113" t="s">
        <v>293</v>
      </c>
      <c r="T309" s="113" t="s">
        <v>733</v>
      </c>
      <c r="U309" s="113" t="s">
        <v>733</v>
      </c>
      <c r="V309" s="113" t="s">
        <v>827</v>
      </c>
      <c r="W309" s="113" t="s">
        <v>929</v>
      </c>
      <c r="X309" s="68"/>
      <c r="Y309" s="3">
        <v>1</v>
      </c>
    </row>
    <row r="310" spans="3:25">
      <c r="C310" s="63" t="s">
        <v>20</v>
      </c>
      <c r="D310" s="63" t="s">
        <v>20</v>
      </c>
      <c r="E310" s="110" t="s">
        <v>844</v>
      </c>
      <c r="F310" s="111">
        <v>2672573314</v>
      </c>
      <c r="G310" s="63" t="s">
        <v>789</v>
      </c>
      <c r="H310" s="53">
        <v>20949978</v>
      </c>
      <c r="I310" s="116" t="s">
        <v>729</v>
      </c>
      <c r="J310" s="113" t="s">
        <v>55</v>
      </c>
      <c r="K310" s="109" t="s">
        <v>837</v>
      </c>
      <c r="L310" s="109" t="s">
        <v>889</v>
      </c>
      <c r="M310" s="114" t="s">
        <v>868</v>
      </c>
      <c r="N310" s="113" t="s">
        <v>733</v>
      </c>
      <c r="O310" s="114" t="s">
        <v>293</v>
      </c>
      <c r="P310" s="68" t="s">
        <v>733</v>
      </c>
      <c r="Q310" s="113" t="s">
        <v>293</v>
      </c>
      <c r="R310" s="113" t="s">
        <v>733</v>
      </c>
      <c r="S310" s="113" t="s">
        <v>293</v>
      </c>
      <c r="T310" s="113" t="s">
        <v>733</v>
      </c>
      <c r="U310" s="113" t="s">
        <v>733</v>
      </c>
      <c r="V310" s="113" t="s">
        <v>827</v>
      </c>
      <c r="W310" s="113" t="s">
        <v>929</v>
      </c>
      <c r="X310" s="68"/>
      <c r="Y310" s="3">
        <v>1</v>
      </c>
    </row>
    <row r="311" spans="3:25">
      <c r="C311" s="63" t="s">
        <v>20</v>
      </c>
      <c r="D311" s="63" t="s">
        <v>20</v>
      </c>
      <c r="E311" s="110" t="s">
        <v>844</v>
      </c>
      <c r="F311" s="111">
        <v>2672573314</v>
      </c>
      <c r="G311" s="63" t="s">
        <v>792</v>
      </c>
      <c r="H311" s="112">
        <v>21670559</v>
      </c>
      <c r="I311" s="116" t="s">
        <v>729</v>
      </c>
      <c r="J311" s="113" t="s">
        <v>55</v>
      </c>
      <c r="K311" s="109" t="s">
        <v>837</v>
      </c>
      <c r="L311" s="109" t="s">
        <v>889</v>
      </c>
      <c r="M311" s="114" t="s">
        <v>868</v>
      </c>
      <c r="N311" s="113" t="s">
        <v>733</v>
      </c>
      <c r="O311" s="114" t="s">
        <v>293</v>
      </c>
      <c r="P311" s="68" t="s">
        <v>733</v>
      </c>
      <c r="Q311" s="113" t="s">
        <v>293</v>
      </c>
      <c r="R311" s="113" t="s">
        <v>733</v>
      </c>
      <c r="S311" s="113" t="s">
        <v>293</v>
      </c>
      <c r="T311" s="113" t="s">
        <v>733</v>
      </c>
      <c r="U311" s="113" t="s">
        <v>733</v>
      </c>
      <c r="V311" s="113" t="s">
        <v>827</v>
      </c>
      <c r="W311" s="113" t="s">
        <v>929</v>
      </c>
      <c r="X311" s="68"/>
      <c r="Y311" s="3">
        <v>1</v>
      </c>
    </row>
    <row r="312" spans="3:25">
      <c r="C312" s="63" t="s">
        <v>36</v>
      </c>
      <c r="D312" s="63" t="s">
        <v>922</v>
      </c>
      <c r="E312" s="110" t="s">
        <v>844</v>
      </c>
      <c r="F312" s="111">
        <v>2672573314</v>
      </c>
      <c r="G312" s="63" t="s">
        <v>710</v>
      </c>
      <c r="H312" s="112">
        <v>19543804</v>
      </c>
      <c r="I312" s="116" t="s">
        <v>706</v>
      </c>
      <c r="J312" s="113" t="s">
        <v>56</v>
      </c>
      <c r="K312" s="109" t="s">
        <v>838</v>
      </c>
      <c r="L312" s="109" t="s">
        <v>892</v>
      </c>
      <c r="M312" s="114" t="s">
        <v>868</v>
      </c>
      <c r="N312" s="113" t="s">
        <v>733</v>
      </c>
      <c r="O312" s="114" t="s">
        <v>292</v>
      </c>
      <c r="P312" s="73">
        <v>46054</v>
      </c>
      <c r="Q312" s="113" t="s">
        <v>293</v>
      </c>
      <c r="R312" s="113" t="s">
        <v>733</v>
      </c>
      <c r="S312" s="113" t="s">
        <v>293</v>
      </c>
      <c r="T312" s="113" t="s">
        <v>733</v>
      </c>
      <c r="U312" s="113" t="s">
        <v>733</v>
      </c>
      <c r="V312" s="113" t="s">
        <v>827</v>
      </c>
      <c r="W312" s="113" t="s">
        <v>929</v>
      </c>
      <c r="X312" s="3"/>
      <c r="Y312" s="3">
        <v>1</v>
      </c>
    </row>
    <row r="313" spans="3:25">
      <c r="C313" s="63" t="s">
        <v>36</v>
      </c>
      <c r="D313" s="63" t="s">
        <v>925</v>
      </c>
      <c r="E313" s="110" t="s">
        <v>844</v>
      </c>
      <c r="F313" s="111">
        <v>2672573314</v>
      </c>
      <c r="G313" s="63" t="s">
        <v>712</v>
      </c>
      <c r="H313" s="112">
        <v>16505021</v>
      </c>
      <c r="I313" s="116" t="s">
        <v>706</v>
      </c>
      <c r="J313" s="113" t="s">
        <v>56</v>
      </c>
      <c r="K313" s="109" t="s">
        <v>838</v>
      </c>
      <c r="L313" s="109" t="s">
        <v>892</v>
      </c>
      <c r="M313" s="114" t="s">
        <v>868</v>
      </c>
      <c r="N313" s="113" t="s">
        <v>733</v>
      </c>
      <c r="O313" s="114" t="s">
        <v>292</v>
      </c>
      <c r="P313" s="73">
        <v>46054</v>
      </c>
      <c r="Q313" s="113" t="s">
        <v>293</v>
      </c>
      <c r="R313" s="113" t="s">
        <v>733</v>
      </c>
      <c r="S313" s="113" t="s">
        <v>293</v>
      </c>
      <c r="T313" s="113" t="s">
        <v>733</v>
      </c>
      <c r="U313" s="113" t="s">
        <v>733</v>
      </c>
      <c r="V313" s="113" t="s">
        <v>827</v>
      </c>
      <c r="W313" s="113" t="s">
        <v>929</v>
      </c>
      <c r="X313" s="3"/>
      <c r="Y313" s="3">
        <v>1</v>
      </c>
    </row>
    <row r="314" spans="3:25">
      <c r="C314" s="63" t="s">
        <v>36</v>
      </c>
      <c r="D314" s="63" t="s">
        <v>922</v>
      </c>
      <c r="E314" s="110" t="s">
        <v>844</v>
      </c>
      <c r="F314" s="111">
        <v>2672573314</v>
      </c>
      <c r="G314" s="63" t="s">
        <v>613</v>
      </c>
      <c r="H314" s="112">
        <v>27867242</v>
      </c>
      <c r="I314" s="109" t="s">
        <v>730</v>
      </c>
      <c r="J314" s="113" t="s">
        <v>53</v>
      </c>
      <c r="K314" s="109" t="s">
        <v>838</v>
      </c>
      <c r="L314" s="109" t="s">
        <v>892</v>
      </c>
      <c r="M314" s="114" t="s">
        <v>868</v>
      </c>
      <c r="N314" s="113" t="s">
        <v>733</v>
      </c>
      <c r="O314" s="114" t="s">
        <v>292</v>
      </c>
      <c r="P314" s="73">
        <v>46054</v>
      </c>
      <c r="Q314" s="113" t="s">
        <v>293</v>
      </c>
      <c r="R314" s="113" t="s">
        <v>733</v>
      </c>
      <c r="S314" s="113" t="s">
        <v>293</v>
      </c>
      <c r="T314" s="113" t="s">
        <v>733</v>
      </c>
      <c r="U314" s="113" t="s">
        <v>733</v>
      </c>
      <c r="V314" s="113" t="s">
        <v>827</v>
      </c>
      <c r="W314" s="113" t="s">
        <v>929</v>
      </c>
      <c r="X314" s="3"/>
      <c r="Y314" s="3">
        <v>1</v>
      </c>
    </row>
    <row r="315" spans="3:25">
      <c r="C315" s="63" t="s">
        <v>36</v>
      </c>
      <c r="D315" s="63" t="s">
        <v>922</v>
      </c>
      <c r="E315" s="110" t="s">
        <v>844</v>
      </c>
      <c r="F315" s="111">
        <v>2672573314</v>
      </c>
      <c r="G315" s="63" t="s">
        <v>614</v>
      </c>
      <c r="H315" s="112">
        <v>18972727</v>
      </c>
      <c r="I315" s="116" t="s">
        <v>725</v>
      </c>
      <c r="J315" s="113" t="s">
        <v>53</v>
      </c>
      <c r="K315" s="109" t="s">
        <v>838</v>
      </c>
      <c r="L315" s="109" t="s">
        <v>892</v>
      </c>
      <c r="M315" s="114" t="s">
        <v>868</v>
      </c>
      <c r="N315" s="113" t="s">
        <v>733</v>
      </c>
      <c r="O315" s="114" t="s">
        <v>292</v>
      </c>
      <c r="P315" s="73">
        <v>46054</v>
      </c>
      <c r="Q315" s="113" t="s">
        <v>293</v>
      </c>
      <c r="R315" s="113" t="s">
        <v>733</v>
      </c>
      <c r="S315" s="113" t="s">
        <v>293</v>
      </c>
      <c r="T315" s="113" t="s">
        <v>733</v>
      </c>
      <c r="U315" s="113" t="s">
        <v>733</v>
      </c>
      <c r="V315" s="113" t="s">
        <v>827</v>
      </c>
      <c r="W315" s="113" t="s">
        <v>929</v>
      </c>
      <c r="X315" s="3"/>
      <c r="Y315" s="3">
        <v>1</v>
      </c>
    </row>
    <row r="316" spans="3:25">
      <c r="C316" s="63" t="s">
        <v>36</v>
      </c>
      <c r="D316" s="63" t="s">
        <v>922</v>
      </c>
      <c r="E316" s="110" t="s">
        <v>844</v>
      </c>
      <c r="F316" s="111">
        <v>2672573314</v>
      </c>
      <c r="G316" s="63" t="s">
        <v>923</v>
      </c>
      <c r="H316" s="112">
        <v>16984589</v>
      </c>
      <c r="I316" s="116" t="s">
        <v>729</v>
      </c>
      <c r="J316" s="113" t="s">
        <v>53</v>
      </c>
      <c r="K316" s="109" t="s">
        <v>838</v>
      </c>
      <c r="L316" s="109" t="s">
        <v>892</v>
      </c>
      <c r="M316" s="114" t="s">
        <v>868</v>
      </c>
      <c r="N316" s="113" t="s">
        <v>733</v>
      </c>
      <c r="O316" s="114" t="s">
        <v>293</v>
      </c>
      <c r="P316" s="73">
        <v>46054</v>
      </c>
      <c r="Q316" s="113" t="s">
        <v>293</v>
      </c>
      <c r="R316" s="113" t="s">
        <v>733</v>
      </c>
      <c r="S316" s="113" t="s">
        <v>293</v>
      </c>
      <c r="T316" s="113" t="s">
        <v>733</v>
      </c>
      <c r="U316" s="113" t="s">
        <v>733</v>
      </c>
      <c r="V316" s="113" t="s">
        <v>827</v>
      </c>
      <c r="W316" s="113" t="s">
        <v>929</v>
      </c>
      <c r="X316" s="3"/>
      <c r="Y316" s="3">
        <v>1</v>
      </c>
    </row>
    <row r="317" spans="3:25">
      <c r="C317" s="63" t="s">
        <v>36</v>
      </c>
      <c r="D317" s="63" t="s">
        <v>922</v>
      </c>
      <c r="E317" s="110" t="s">
        <v>844</v>
      </c>
      <c r="F317" s="111">
        <v>2672573314</v>
      </c>
      <c r="G317" s="63" t="s">
        <v>711</v>
      </c>
      <c r="H317" s="112">
        <v>25130170</v>
      </c>
      <c r="I317" s="109" t="s">
        <v>730</v>
      </c>
      <c r="J317" s="113" t="s">
        <v>56</v>
      </c>
      <c r="K317" s="109" t="s">
        <v>838</v>
      </c>
      <c r="L317" s="109" t="s">
        <v>892</v>
      </c>
      <c r="M317" s="114" t="s">
        <v>868</v>
      </c>
      <c r="N317" s="113" t="s">
        <v>733</v>
      </c>
      <c r="O317" s="114" t="s">
        <v>292</v>
      </c>
      <c r="P317" s="73">
        <v>46054</v>
      </c>
      <c r="Q317" s="113" t="s">
        <v>293</v>
      </c>
      <c r="R317" s="113" t="s">
        <v>733</v>
      </c>
      <c r="S317" s="113" t="s">
        <v>293</v>
      </c>
      <c r="T317" s="113" t="s">
        <v>733</v>
      </c>
      <c r="U317" s="113" t="s">
        <v>733</v>
      </c>
      <c r="V317" s="113" t="s">
        <v>827</v>
      </c>
      <c r="W317" s="113" t="s">
        <v>929</v>
      </c>
      <c r="X317" s="3"/>
      <c r="Y317" s="3">
        <v>1</v>
      </c>
    </row>
    <row r="318" spans="3:25">
      <c r="C318" s="63" t="s">
        <v>36</v>
      </c>
      <c r="D318" s="63" t="s">
        <v>922</v>
      </c>
      <c r="E318" s="110" t="s">
        <v>844</v>
      </c>
      <c r="F318" s="111">
        <v>2672573314</v>
      </c>
      <c r="G318" s="63" t="s">
        <v>615</v>
      </c>
      <c r="H318" s="112">
        <v>26973137</v>
      </c>
      <c r="I318" s="116" t="s">
        <v>725</v>
      </c>
      <c r="J318" s="113" t="s">
        <v>56</v>
      </c>
      <c r="K318" s="109" t="s">
        <v>838</v>
      </c>
      <c r="L318" s="109" t="s">
        <v>892</v>
      </c>
      <c r="M318" s="114" t="s">
        <v>868</v>
      </c>
      <c r="N318" s="113" t="s">
        <v>733</v>
      </c>
      <c r="O318" s="114" t="s">
        <v>292</v>
      </c>
      <c r="P318" s="73">
        <v>46054</v>
      </c>
      <c r="Q318" s="113" t="s">
        <v>293</v>
      </c>
      <c r="R318" s="113" t="s">
        <v>733</v>
      </c>
      <c r="S318" s="113" t="s">
        <v>293</v>
      </c>
      <c r="T318" s="113" t="s">
        <v>733</v>
      </c>
      <c r="U318" s="113" t="s">
        <v>733</v>
      </c>
      <c r="V318" s="113" t="s">
        <v>827</v>
      </c>
      <c r="W318" s="113" t="s">
        <v>929</v>
      </c>
      <c r="X318" s="3"/>
      <c r="Y318" s="3">
        <v>1</v>
      </c>
    </row>
    <row r="319" spans="3:25">
      <c r="C319" s="63" t="s">
        <v>36</v>
      </c>
      <c r="D319" s="63" t="s">
        <v>927</v>
      </c>
      <c r="E319" s="110" t="s">
        <v>844</v>
      </c>
      <c r="F319" s="111">
        <v>2672573314</v>
      </c>
      <c r="G319" s="63" t="s">
        <v>713</v>
      </c>
      <c r="H319" s="112">
        <v>19600123</v>
      </c>
      <c r="I319" s="116" t="s">
        <v>410</v>
      </c>
      <c r="J319" s="113" t="s">
        <v>56</v>
      </c>
      <c r="K319" s="109" t="s">
        <v>838</v>
      </c>
      <c r="L319" s="109" t="s">
        <v>892</v>
      </c>
      <c r="M319" s="114" t="s">
        <v>868</v>
      </c>
      <c r="N319" s="113" t="s">
        <v>733</v>
      </c>
      <c r="O319" s="114" t="s">
        <v>292</v>
      </c>
      <c r="P319" s="73">
        <v>46054</v>
      </c>
      <c r="Q319" s="113" t="s">
        <v>293</v>
      </c>
      <c r="R319" s="113" t="s">
        <v>733</v>
      </c>
      <c r="S319" s="113" t="s">
        <v>293</v>
      </c>
      <c r="T319" s="113" t="s">
        <v>733</v>
      </c>
      <c r="U319" s="113" t="s">
        <v>733</v>
      </c>
      <c r="V319" s="113" t="s">
        <v>827</v>
      </c>
      <c r="W319" s="113" t="s">
        <v>929</v>
      </c>
      <c r="X319" s="3"/>
      <c r="Y319" s="3">
        <v>1</v>
      </c>
    </row>
    <row r="320" spans="3:25">
      <c r="C320" s="63" t="s">
        <v>36</v>
      </c>
      <c r="D320" s="63" t="s">
        <v>36</v>
      </c>
      <c r="E320" s="110" t="s">
        <v>844</v>
      </c>
      <c r="F320" s="111">
        <v>2672573314</v>
      </c>
      <c r="G320" s="63" t="s">
        <v>714</v>
      </c>
      <c r="H320" s="112">
        <v>30459887</v>
      </c>
      <c r="I320" s="116" t="s">
        <v>729</v>
      </c>
      <c r="J320" s="113" t="s">
        <v>56</v>
      </c>
      <c r="K320" s="109" t="s">
        <v>838</v>
      </c>
      <c r="L320" s="109" t="s">
        <v>892</v>
      </c>
      <c r="M320" s="114" t="s">
        <v>868</v>
      </c>
      <c r="N320" s="113" t="s">
        <v>733</v>
      </c>
      <c r="O320" s="114" t="s">
        <v>292</v>
      </c>
      <c r="P320" s="73">
        <v>46054</v>
      </c>
      <c r="Q320" s="113" t="s">
        <v>293</v>
      </c>
      <c r="R320" s="113" t="s">
        <v>733</v>
      </c>
      <c r="S320" s="113" t="s">
        <v>293</v>
      </c>
      <c r="T320" s="113" t="s">
        <v>733</v>
      </c>
      <c r="U320" s="113" t="s">
        <v>733</v>
      </c>
      <c r="V320" s="113" t="s">
        <v>827</v>
      </c>
      <c r="W320" s="113" t="s">
        <v>929</v>
      </c>
      <c r="X320" s="3"/>
      <c r="Y320" s="3">
        <v>1</v>
      </c>
    </row>
    <row r="321" spans="3:25">
      <c r="C321" s="63" t="s">
        <v>36</v>
      </c>
      <c r="D321" s="63" t="s">
        <v>36</v>
      </c>
      <c r="E321" s="110" t="s">
        <v>844</v>
      </c>
      <c r="F321" s="111">
        <v>2672573314</v>
      </c>
      <c r="G321" s="63" t="s">
        <v>715</v>
      </c>
      <c r="H321" s="112">
        <v>20878360</v>
      </c>
      <c r="I321" s="116" t="s">
        <v>729</v>
      </c>
      <c r="J321" s="113" t="s">
        <v>56</v>
      </c>
      <c r="K321" s="109" t="s">
        <v>838</v>
      </c>
      <c r="L321" s="109" t="s">
        <v>892</v>
      </c>
      <c r="M321" s="114" t="s">
        <v>868</v>
      </c>
      <c r="N321" s="113" t="s">
        <v>733</v>
      </c>
      <c r="O321" s="114" t="s">
        <v>292</v>
      </c>
      <c r="P321" s="73">
        <v>46054</v>
      </c>
      <c r="Q321" s="113" t="s">
        <v>293</v>
      </c>
      <c r="R321" s="113" t="s">
        <v>733</v>
      </c>
      <c r="S321" s="113" t="s">
        <v>293</v>
      </c>
      <c r="T321" s="113" t="s">
        <v>733</v>
      </c>
      <c r="U321" s="113" t="s">
        <v>733</v>
      </c>
      <c r="V321" s="113" t="s">
        <v>827</v>
      </c>
      <c r="W321" s="113" t="s">
        <v>929</v>
      </c>
      <c r="X321" s="3"/>
      <c r="Y321" s="3">
        <v>1</v>
      </c>
    </row>
    <row r="322" spans="3:25">
      <c r="C322" s="63" t="s">
        <v>36</v>
      </c>
      <c r="D322" s="63" t="s">
        <v>925</v>
      </c>
      <c r="E322" s="110" t="s">
        <v>844</v>
      </c>
      <c r="F322" s="111">
        <v>2672573314</v>
      </c>
      <c r="G322" s="63" t="s">
        <v>716</v>
      </c>
      <c r="H322" s="112">
        <v>10976485</v>
      </c>
      <c r="I322" s="116" t="s">
        <v>725</v>
      </c>
      <c r="J322" s="113" t="s">
        <v>56</v>
      </c>
      <c r="K322" s="109" t="s">
        <v>838</v>
      </c>
      <c r="L322" s="109" t="s">
        <v>892</v>
      </c>
      <c r="M322" s="114" t="s">
        <v>868</v>
      </c>
      <c r="N322" s="113" t="s">
        <v>733</v>
      </c>
      <c r="O322" s="114" t="s">
        <v>292</v>
      </c>
      <c r="P322" s="73">
        <v>46054</v>
      </c>
      <c r="Q322" s="113" t="s">
        <v>293</v>
      </c>
      <c r="R322" s="113" t="s">
        <v>733</v>
      </c>
      <c r="S322" s="113" t="s">
        <v>293</v>
      </c>
      <c r="T322" s="113" t="s">
        <v>733</v>
      </c>
      <c r="U322" s="113" t="s">
        <v>733</v>
      </c>
      <c r="V322" s="113" t="s">
        <v>827</v>
      </c>
      <c r="W322" s="113" t="s">
        <v>929</v>
      </c>
      <c r="X322" s="3"/>
      <c r="Y322" s="3">
        <v>1</v>
      </c>
    </row>
    <row r="323" spans="3:25">
      <c r="C323" s="63" t="s">
        <v>36</v>
      </c>
      <c r="D323" s="63" t="s">
        <v>927</v>
      </c>
      <c r="E323" s="110" t="s">
        <v>844</v>
      </c>
      <c r="F323" s="111">
        <v>2672573314</v>
      </c>
      <c r="G323" s="63" t="s">
        <v>717</v>
      </c>
      <c r="H323" s="112">
        <v>20908839</v>
      </c>
      <c r="I323" s="109" t="s">
        <v>730</v>
      </c>
      <c r="J323" s="113" t="s">
        <v>56</v>
      </c>
      <c r="K323" s="109" t="s">
        <v>838</v>
      </c>
      <c r="L323" s="109" t="s">
        <v>892</v>
      </c>
      <c r="M323" s="114" t="s">
        <v>868</v>
      </c>
      <c r="N323" s="113" t="s">
        <v>733</v>
      </c>
      <c r="O323" s="114" t="s">
        <v>292</v>
      </c>
      <c r="P323" s="73">
        <v>46054</v>
      </c>
      <c r="Q323" s="113" t="s">
        <v>293</v>
      </c>
      <c r="R323" s="113" t="s">
        <v>733</v>
      </c>
      <c r="S323" s="113" t="s">
        <v>293</v>
      </c>
      <c r="T323" s="113" t="s">
        <v>733</v>
      </c>
      <c r="U323" s="113" t="s">
        <v>733</v>
      </c>
      <c r="V323" s="113" t="s">
        <v>827</v>
      </c>
      <c r="W323" s="113" t="s">
        <v>929</v>
      </c>
      <c r="X323" s="3"/>
      <c r="Y323" s="3">
        <v>1</v>
      </c>
    </row>
    <row r="324" spans="3:25">
      <c r="C324" s="63" t="s">
        <v>36</v>
      </c>
      <c r="D324" s="63" t="s">
        <v>922</v>
      </c>
      <c r="E324" s="110" t="s">
        <v>844</v>
      </c>
      <c r="F324" s="111">
        <v>2672573314</v>
      </c>
      <c r="G324" s="63" t="s">
        <v>719</v>
      </c>
      <c r="H324" s="112">
        <v>10674969</v>
      </c>
      <c r="I324" s="109" t="s">
        <v>730</v>
      </c>
      <c r="J324" s="113" t="s">
        <v>56</v>
      </c>
      <c r="K324" s="109" t="s">
        <v>838</v>
      </c>
      <c r="L324" s="109" t="s">
        <v>892</v>
      </c>
      <c r="M324" s="114" t="s">
        <v>868</v>
      </c>
      <c r="N324" s="113" t="s">
        <v>733</v>
      </c>
      <c r="O324" s="114" t="s">
        <v>292</v>
      </c>
      <c r="P324" s="73">
        <v>46054</v>
      </c>
      <c r="Q324" s="113" t="s">
        <v>293</v>
      </c>
      <c r="R324" s="113" t="s">
        <v>733</v>
      </c>
      <c r="S324" s="113" t="s">
        <v>293</v>
      </c>
      <c r="T324" s="113" t="s">
        <v>733</v>
      </c>
      <c r="U324" s="113" t="s">
        <v>733</v>
      </c>
      <c r="V324" s="113" t="s">
        <v>827</v>
      </c>
      <c r="W324" s="113" t="s">
        <v>929</v>
      </c>
      <c r="X324" s="3"/>
      <c r="Y324" s="3">
        <v>1</v>
      </c>
    </row>
    <row r="325" spans="3:25">
      <c r="C325" s="63" t="s">
        <v>36</v>
      </c>
      <c r="D325" s="63" t="s">
        <v>922</v>
      </c>
      <c r="E325" s="110" t="s">
        <v>844</v>
      </c>
      <c r="F325" s="111">
        <v>2672573314</v>
      </c>
      <c r="G325" s="63" t="s">
        <v>720</v>
      </c>
      <c r="H325" s="112">
        <v>25573222</v>
      </c>
      <c r="I325" s="116" t="s">
        <v>725</v>
      </c>
      <c r="J325" s="113" t="s">
        <v>56</v>
      </c>
      <c r="K325" s="109" t="s">
        <v>838</v>
      </c>
      <c r="L325" s="109" t="s">
        <v>892</v>
      </c>
      <c r="M325" s="114" t="s">
        <v>868</v>
      </c>
      <c r="N325" s="113" t="s">
        <v>733</v>
      </c>
      <c r="O325" s="114" t="s">
        <v>292</v>
      </c>
      <c r="P325" s="73">
        <v>46054</v>
      </c>
      <c r="Q325" s="113" t="s">
        <v>293</v>
      </c>
      <c r="R325" s="113" t="s">
        <v>733</v>
      </c>
      <c r="S325" s="113" t="s">
        <v>293</v>
      </c>
      <c r="T325" s="113" t="s">
        <v>733</v>
      </c>
      <c r="U325" s="113" t="s">
        <v>733</v>
      </c>
      <c r="V325" s="113" t="s">
        <v>827</v>
      </c>
      <c r="W325" s="113" t="s">
        <v>929</v>
      </c>
      <c r="X325" s="3"/>
      <c r="Y325" s="3">
        <v>1</v>
      </c>
    </row>
    <row r="326" spans="3:25">
      <c r="C326" s="63" t="s">
        <v>36</v>
      </c>
      <c r="D326" s="63" t="s">
        <v>922</v>
      </c>
      <c r="E326" s="110" t="s">
        <v>844</v>
      </c>
      <c r="F326" s="111">
        <v>2672573314</v>
      </c>
      <c r="G326" s="63" t="s">
        <v>721</v>
      </c>
      <c r="H326" s="112">
        <v>14147844</v>
      </c>
      <c r="I326" s="109" t="s">
        <v>730</v>
      </c>
      <c r="J326" s="113" t="s">
        <v>56</v>
      </c>
      <c r="K326" s="109" t="s">
        <v>838</v>
      </c>
      <c r="L326" s="109" t="s">
        <v>892</v>
      </c>
      <c r="M326" s="114" t="s">
        <v>868</v>
      </c>
      <c r="N326" s="113" t="s">
        <v>733</v>
      </c>
      <c r="O326" s="114" t="s">
        <v>292</v>
      </c>
      <c r="P326" s="73">
        <v>46054</v>
      </c>
      <c r="Q326" s="113" t="s">
        <v>293</v>
      </c>
      <c r="R326" s="113" t="s">
        <v>733</v>
      </c>
      <c r="S326" s="113" t="s">
        <v>293</v>
      </c>
      <c r="T326" s="113" t="s">
        <v>733</v>
      </c>
      <c r="U326" s="113" t="s">
        <v>733</v>
      </c>
      <c r="V326" s="113" t="s">
        <v>827</v>
      </c>
      <c r="W326" s="113" t="s">
        <v>929</v>
      </c>
      <c r="X326" s="3"/>
      <c r="Y326" s="3">
        <v>1</v>
      </c>
    </row>
    <row r="327" spans="3:25">
      <c r="C327" s="63" t="s">
        <v>36</v>
      </c>
      <c r="D327" s="63" t="s">
        <v>922</v>
      </c>
      <c r="E327" s="110" t="s">
        <v>844</v>
      </c>
      <c r="F327" s="111">
        <v>2672573314</v>
      </c>
      <c r="G327" s="63" t="s">
        <v>722</v>
      </c>
      <c r="H327" s="112">
        <v>17714754</v>
      </c>
      <c r="I327" s="116" t="s">
        <v>725</v>
      </c>
      <c r="J327" s="113" t="s">
        <v>56</v>
      </c>
      <c r="K327" s="109" t="s">
        <v>838</v>
      </c>
      <c r="L327" s="109" t="s">
        <v>892</v>
      </c>
      <c r="M327" s="114" t="s">
        <v>868</v>
      </c>
      <c r="N327" s="113" t="s">
        <v>733</v>
      </c>
      <c r="O327" s="114" t="s">
        <v>292</v>
      </c>
      <c r="P327" s="73">
        <v>46054</v>
      </c>
      <c r="Q327" s="113" t="s">
        <v>293</v>
      </c>
      <c r="R327" s="113" t="s">
        <v>733</v>
      </c>
      <c r="S327" s="113" t="s">
        <v>293</v>
      </c>
      <c r="T327" s="113" t="s">
        <v>733</v>
      </c>
      <c r="U327" s="113" t="s">
        <v>733</v>
      </c>
      <c r="V327" s="113" t="s">
        <v>827</v>
      </c>
      <c r="W327" s="113" t="s">
        <v>929</v>
      </c>
      <c r="X327" s="3"/>
      <c r="Y327" s="3">
        <v>1</v>
      </c>
    </row>
    <row r="328" spans="3:25">
      <c r="C328" s="63" t="s">
        <v>36</v>
      </c>
      <c r="D328" s="63" t="s">
        <v>922</v>
      </c>
      <c r="E328" s="110" t="s">
        <v>844</v>
      </c>
      <c r="F328" s="111">
        <v>2672573314</v>
      </c>
      <c r="G328" s="63" t="s">
        <v>617</v>
      </c>
      <c r="H328" s="112">
        <v>19273427</v>
      </c>
      <c r="I328" s="109" t="s">
        <v>730</v>
      </c>
      <c r="J328" s="113" t="s">
        <v>56</v>
      </c>
      <c r="K328" s="109" t="s">
        <v>838</v>
      </c>
      <c r="L328" s="109" t="s">
        <v>892</v>
      </c>
      <c r="M328" s="114" t="s">
        <v>868</v>
      </c>
      <c r="N328" s="113" t="s">
        <v>733</v>
      </c>
      <c r="O328" s="114" t="s">
        <v>292</v>
      </c>
      <c r="P328" s="73">
        <v>46054</v>
      </c>
      <c r="Q328" s="113" t="s">
        <v>293</v>
      </c>
      <c r="R328" s="113" t="s">
        <v>733</v>
      </c>
      <c r="S328" s="113" t="s">
        <v>293</v>
      </c>
      <c r="T328" s="113" t="s">
        <v>733</v>
      </c>
      <c r="U328" s="113" t="s">
        <v>733</v>
      </c>
      <c r="V328" s="113" t="s">
        <v>827</v>
      </c>
      <c r="W328" s="113" t="s">
        <v>929</v>
      </c>
      <c r="X328" s="3"/>
      <c r="Y328" s="3">
        <v>1</v>
      </c>
    </row>
    <row r="329" spans="3:25">
      <c r="C329" s="63" t="s">
        <v>36</v>
      </c>
      <c r="D329" s="63" t="s">
        <v>922</v>
      </c>
      <c r="E329" s="110" t="s">
        <v>844</v>
      </c>
      <c r="F329" s="111">
        <v>2672573314</v>
      </c>
      <c r="G329" s="63" t="s">
        <v>618</v>
      </c>
      <c r="H329" s="112">
        <v>23563451</v>
      </c>
      <c r="I329" s="116" t="s">
        <v>725</v>
      </c>
      <c r="J329" s="113" t="s">
        <v>56</v>
      </c>
      <c r="K329" s="109" t="s">
        <v>838</v>
      </c>
      <c r="L329" s="109" t="s">
        <v>892</v>
      </c>
      <c r="M329" s="114" t="s">
        <v>868</v>
      </c>
      <c r="N329" s="113" t="s">
        <v>733</v>
      </c>
      <c r="O329" s="114" t="s">
        <v>292</v>
      </c>
      <c r="P329" s="73">
        <v>46054</v>
      </c>
      <c r="Q329" s="113" t="s">
        <v>293</v>
      </c>
      <c r="R329" s="113" t="s">
        <v>733</v>
      </c>
      <c r="S329" s="113" t="s">
        <v>293</v>
      </c>
      <c r="T329" s="113" t="s">
        <v>733</v>
      </c>
      <c r="U329" s="113" t="s">
        <v>733</v>
      </c>
      <c r="V329" s="113" t="s">
        <v>827</v>
      </c>
      <c r="W329" s="113" t="s">
        <v>929</v>
      </c>
      <c r="X329" s="3"/>
      <c r="Y329" s="3">
        <v>1</v>
      </c>
    </row>
    <row r="330" spans="3:25">
      <c r="C330" s="63" t="s">
        <v>36</v>
      </c>
      <c r="D330" s="63" t="s">
        <v>922</v>
      </c>
      <c r="E330" s="110" t="s">
        <v>844</v>
      </c>
      <c r="F330" s="111">
        <v>2672573314</v>
      </c>
      <c r="G330" s="63" t="s">
        <v>619</v>
      </c>
      <c r="H330" s="112">
        <v>22610283</v>
      </c>
      <c r="I330" s="109" t="s">
        <v>730</v>
      </c>
      <c r="J330" s="113" t="s">
        <v>56</v>
      </c>
      <c r="K330" s="109" t="s">
        <v>838</v>
      </c>
      <c r="L330" s="109" t="s">
        <v>892</v>
      </c>
      <c r="M330" s="114" t="s">
        <v>868</v>
      </c>
      <c r="N330" s="113" t="s">
        <v>733</v>
      </c>
      <c r="O330" s="114" t="s">
        <v>292</v>
      </c>
      <c r="P330" s="73">
        <v>46054</v>
      </c>
      <c r="Q330" s="113" t="s">
        <v>293</v>
      </c>
      <c r="R330" s="113" t="s">
        <v>733</v>
      </c>
      <c r="S330" s="113" t="s">
        <v>293</v>
      </c>
      <c r="T330" s="113" t="s">
        <v>733</v>
      </c>
      <c r="U330" s="113" t="s">
        <v>733</v>
      </c>
      <c r="V330" s="113" t="s">
        <v>827</v>
      </c>
      <c r="W330" s="113" t="s">
        <v>929</v>
      </c>
      <c r="X330" s="3"/>
      <c r="Y330" s="3">
        <v>1</v>
      </c>
    </row>
    <row r="331" spans="3:25">
      <c r="C331" s="63" t="s">
        <v>36</v>
      </c>
      <c r="D331" s="63" t="s">
        <v>922</v>
      </c>
      <c r="E331" s="110" t="s">
        <v>844</v>
      </c>
      <c r="F331" s="111">
        <v>2672573314</v>
      </c>
      <c r="G331" s="63" t="s">
        <v>620</v>
      </c>
      <c r="H331" s="112">
        <v>20247506</v>
      </c>
      <c r="I331" s="116" t="s">
        <v>725</v>
      </c>
      <c r="J331" s="113" t="s">
        <v>56</v>
      </c>
      <c r="K331" s="109" t="s">
        <v>838</v>
      </c>
      <c r="L331" s="109" t="s">
        <v>892</v>
      </c>
      <c r="M331" s="114" t="s">
        <v>868</v>
      </c>
      <c r="N331" s="113" t="s">
        <v>733</v>
      </c>
      <c r="O331" s="114" t="s">
        <v>292</v>
      </c>
      <c r="P331" s="73">
        <v>46054</v>
      </c>
      <c r="Q331" s="113" t="s">
        <v>293</v>
      </c>
      <c r="R331" s="113" t="s">
        <v>733</v>
      </c>
      <c r="S331" s="113" t="s">
        <v>293</v>
      </c>
      <c r="T331" s="113" t="s">
        <v>733</v>
      </c>
      <c r="U331" s="113" t="s">
        <v>733</v>
      </c>
      <c r="V331" s="113" t="s">
        <v>827</v>
      </c>
      <c r="W331" s="113" t="s">
        <v>929</v>
      </c>
      <c r="X331" s="3"/>
      <c r="Y331" s="3">
        <v>1</v>
      </c>
    </row>
    <row r="332" spans="3:25">
      <c r="C332" s="63" t="s">
        <v>36</v>
      </c>
      <c r="D332" s="63" t="s">
        <v>924</v>
      </c>
      <c r="E332" s="110" t="s">
        <v>844</v>
      </c>
      <c r="F332" s="111">
        <v>2672573314</v>
      </c>
      <c r="G332" s="63" t="s">
        <v>621</v>
      </c>
      <c r="H332" s="112">
        <v>20958316</v>
      </c>
      <c r="I332" s="109" t="s">
        <v>730</v>
      </c>
      <c r="J332" s="113" t="s">
        <v>56</v>
      </c>
      <c r="K332" s="109" t="s">
        <v>838</v>
      </c>
      <c r="L332" s="109" t="s">
        <v>892</v>
      </c>
      <c r="M332" s="114" t="s">
        <v>868</v>
      </c>
      <c r="N332" s="113" t="s">
        <v>733</v>
      </c>
      <c r="O332" s="114" t="s">
        <v>292</v>
      </c>
      <c r="P332" s="73">
        <v>46054</v>
      </c>
      <c r="Q332" s="113" t="s">
        <v>293</v>
      </c>
      <c r="R332" s="113" t="s">
        <v>733</v>
      </c>
      <c r="S332" s="113" t="s">
        <v>293</v>
      </c>
      <c r="T332" s="113" t="s">
        <v>733</v>
      </c>
      <c r="U332" s="113" t="s">
        <v>733</v>
      </c>
      <c r="V332" s="113" t="s">
        <v>827</v>
      </c>
      <c r="W332" s="113" t="s">
        <v>929</v>
      </c>
      <c r="X332" s="3"/>
      <c r="Y332" s="3">
        <v>1</v>
      </c>
    </row>
    <row r="333" spans="3:25">
      <c r="C333" s="63" t="s">
        <v>36</v>
      </c>
      <c r="D333" s="63" t="s">
        <v>924</v>
      </c>
      <c r="E333" s="110" t="s">
        <v>844</v>
      </c>
      <c r="F333" s="111">
        <v>2672573314</v>
      </c>
      <c r="G333" s="63" t="s">
        <v>622</v>
      </c>
      <c r="H333" s="112">
        <v>13811292</v>
      </c>
      <c r="I333" s="109" t="s">
        <v>730</v>
      </c>
      <c r="J333" s="113" t="s">
        <v>56</v>
      </c>
      <c r="K333" s="109" t="s">
        <v>838</v>
      </c>
      <c r="L333" s="109" t="s">
        <v>892</v>
      </c>
      <c r="M333" s="114" t="s">
        <v>868</v>
      </c>
      <c r="N333" s="113" t="s">
        <v>733</v>
      </c>
      <c r="O333" s="114" t="s">
        <v>292</v>
      </c>
      <c r="P333" s="73">
        <v>46054</v>
      </c>
      <c r="Q333" s="113" t="s">
        <v>293</v>
      </c>
      <c r="R333" s="113" t="s">
        <v>733</v>
      </c>
      <c r="S333" s="113" t="s">
        <v>293</v>
      </c>
      <c r="T333" s="113" t="s">
        <v>733</v>
      </c>
      <c r="U333" s="113" t="s">
        <v>733</v>
      </c>
      <c r="V333" s="113" t="s">
        <v>827</v>
      </c>
      <c r="W333" s="113" t="s">
        <v>929</v>
      </c>
      <c r="X333" s="3"/>
      <c r="Y333" s="3">
        <v>1</v>
      </c>
    </row>
    <row r="334" spans="3:25">
      <c r="C334" s="63" t="s">
        <v>36</v>
      </c>
      <c r="D334" s="63" t="s">
        <v>924</v>
      </c>
      <c r="E334" s="110" t="s">
        <v>844</v>
      </c>
      <c r="F334" s="111">
        <v>2672573314</v>
      </c>
      <c r="G334" s="63" t="s">
        <v>723</v>
      </c>
      <c r="H334" s="112">
        <v>17252977</v>
      </c>
      <c r="I334" s="116" t="s">
        <v>725</v>
      </c>
      <c r="J334" s="113" t="s">
        <v>56</v>
      </c>
      <c r="K334" s="109" t="s">
        <v>838</v>
      </c>
      <c r="L334" s="109" t="s">
        <v>892</v>
      </c>
      <c r="M334" s="114" t="s">
        <v>868</v>
      </c>
      <c r="N334" s="113" t="s">
        <v>733</v>
      </c>
      <c r="O334" s="114" t="s">
        <v>292</v>
      </c>
      <c r="P334" s="73">
        <v>46054</v>
      </c>
      <c r="Q334" s="113" t="s">
        <v>293</v>
      </c>
      <c r="R334" s="113" t="s">
        <v>733</v>
      </c>
      <c r="S334" s="113" t="s">
        <v>293</v>
      </c>
      <c r="T334" s="113" t="s">
        <v>733</v>
      </c>
      <c r="U334" s="113" t="s">
        <v>733</v>
      </c>
      <c r="V334" s="113" t="s">
        <v>827</v>
      </c>
      <c r="W334" s="113" t="s">
        <v>929</v>
      </c>
      <c r="X334" s="3"/>
      <c r="Y334" s="3">
        <v>1</v>
      </c>
    </row>
    <row r="335" spans="3:25">
      <c r="C335" s="63" t="s">
        <v>36</v>
      </c>
      <c r="D335" s="63" t="s">
        <v>36</v>
      </c>
      <c r="E335" s="110" t="s">
        <v>844</v>
      </c>
      <c r="F335" s="111">
        <v>2672573314</v>
      </c>
      <c r="G335" s="63" t="s">
        <v>623</v>
      </c>
      <c r="H335" s="112">
        <v>19601377</v>
      </c>
      <c r="I335" s="116" t="s">
        <v>725</v>
      </c>
      <c r="J335" s="113" t="s">
        <v>56</v>
      </c>
      <c r="K335" s="109" t="s">
        <v>838</v>
      </c>
      <c r="L335" s="109" t="s">
        <v>892</v>
      </c>
      <c r="M335" s="114" t="s">
        <v>868</v>
      </c>
      <c r="N335" s="113" t="s">
        <v>733</v>
      </c>
      <c r="O335" s="114" t="s">
        <v>292</v>
      </c>
      <c r="P335" s="73">
        <v>46054</v>
      </c>
      <c r="Q335" s="113" t="s">
        <v>293</v>
      </c>
      <c r="R335" s="113" t="s">
        <v>733</v>
      </c>
      <c r="S335" s="113" t="s">
        <v>293</v>
      </c>
      <c r="T335" s="113" t="s">
        <v>733</v>
      </c>
      <c r="U335" s="113" t="s">
        <v>733</v>
      </c>
      <c r="V335" s="113" t="s">
        <v>827</v>
      </c>
      <c r="W335" s="113" t="s">
        <v>929</v>
      </c>
      <c r="X335" s="3"/>
      <c r="Y335" s="3">
        <v>1</v>
      </c>
    </row>
    <row r="336" spans="3:25">
      <c r="C336" s="63" t="s">
        <v>36</v>
      </c>
      <c r="D336" s="63" t="s">
        <v>922</v>
      </c>
      <c r="E336" s="110" t="s">
        <v>844</v>
      </c>
      <c r="F336" s="111">
        <v>2672573314</v>
      </c>
      <c r="G336" s="63" t="s">
        <v>624</v>
      </c>
      <c r="H336" s="112">
        <v>20247665</v>
      </c>
      <c r="I336" s="116" t="s">
        <v>725</v>
      </c>
      <c r="J336" s="113" t="s">
        <v>56</v>
      </c>
      <c r="K336" s="109" t="s">
        <v>838</v>
      </c>
      <c r="L336" s="109" t="s">
        <v>892</v>
      </c>
      <c r="M336" s="114" t="s">
        <v>868</v>
      </c>
      <c r="N336" s="113" t="s">
        <v>733</v>
      </c>
      <c r="O336" s="114" t="s">
        <v>292</v>
      </c>
      <c r="P336" s="73">
        <v>46054</v>
      </c>
      <c r="Q336" s="113" t="s">
        <v>293</v>
      </c>
      <c r="R336" s="113" t="s">
        <v>733</v>
      </c>
      <c r="S336" s="113" t="s">
        <v>293</v>
      </c>
      <c r="T336" s="113" t="s">
        <v>733</v>
      </c>
      <c r="U336" s="113" t="s">
        <v>733</v>
      </c>
      <c r="V336" s="113" t="s">
        <v>827</v>
      </c>
      <c r="W336" s="113" t="s">
        <v>929</v>
      </c>
      <c r="X336" s="3"/>
      <c r="Y336" s="3">
        <v>1</v>
      </c>
    </row>
    <row r="337" spans="3:25">
      <c r="C337" s="63" t="s">
        <v>36</v>
      </c>
      <c r="D337" s="63" t="s">
        <v>927</v>
      </c>
      <c r="E337" s="110" t="s">
        <v>844</v>
      </c>
      <c r="F337" s="111">
        <v>2672573314</v>
      </c>
      <c r="G337" s="63" t="s">
        <v>625</v>
      </c>
      <c r="H337" s="112">
        <v>18616736</v>
      </c>
      <c r="I337" s="116" t="s">
        <v>725</v>
      </c>
      <c r="J337" s="113" t="s">
        <v>56</v>
      </c>
      <c r="K337" s="109" t="s">
        <v>838</v>
      </c>
      <c r="L337" s="109" t="s">
        <v>892</v>
      </c>
      <c r="M337" s="114" t="s">
        <v>868</v>
      </c>
      <c r="N337" s="113" t="s">
        <v>733</v>
      </c>
      <c r="O337" s="114" t="s">
        <v>292</v>
      </c>
      <c r="P337" s="73">
        <v>46054</v>
      </c>
      <c r="Q337" s="113" t="s">
        <v>293</v>
      </c>
      <c r="R337" s="113" t="s">
        <v>733</v>
      </c>
      <c r="S337" s="113" t="s">
        <v>293</v>
      </c>
      <c r="T337" s="113" t="s">
        <v>733</v>
      </c>
      <c r="U337" s="113" t="s">
        <v>733</v>
      </c>
      <c r="V337" s="113" t="s">
        <v>827</v>
      </c>
      <c r="W337" s="113" t="s">
        <v>929</v>
      </c>
      <c r="X337" s="3"/>
      <c r="Y337" s="3">
        <v>1</v>
      </c>
    </row>
    <row r="338" spans="3:25">
      <c r="C338" s="63" t="s">
        <v>36</v>
      </c>
      <c r="D338" s="63" t="s">
        <v>927</v>
      </c>
      <c r="E338" s="110" t="s">
        <v>844</v>
      </c>
      <c r="F338" s="111">
        <v>2672573314</v>
      </c>
      <c r="G338" s="63" t="s">
        <v>626</v>
      </c>
      <c r="H338" s="112">
        <v>20521196</v>
      </c>
      <c r="I338" s="116" t="s">
        <v>725</v>
      </c>
      <c r="J338" s="113" t="s">
        <v>56</v>
      </c>
      <c r="K338" s="109" t="s">
        <v>838</v>
      </c>
      <c r="L338" s="109" t="s">
        <v>892</v>
      </c>
      <c r="M338" s="114" t="s">
        <v>868</v>
      </c>
      <c r="N338" s="113" t="s">
        <v>733</v>
      </c>
      <c r="O338" s="114" t="s">
        <v>292</v>
      </c>
      <c r="P338" s="73">
        <v>46054</v>
      </c>
      <c r="Q338" s="113" t="s">
        <v>293</v>
      </c>
      <c r="R338" s="113" t="s">
        <v>733</v>
      </c>
      <c r="S338" s="113" t="s">
        <v>293</v>
      </c>
      <c r="T338" s="113" t="s">
        <v>733</v>
      </c>
      <c r="U338" s="113" t="s">
        <v>733</v>
      </c>
      <c r="V338" s="113" t="s">
        <v>827</v>
      </c>
      <c r="W338" s="113" t="s">
        <v>929</v>
      </c>
      <c r="X338" s="3"/>
      <c r="Y338" s="3">
        <v>1</v>
      </c>
    </row>
    <row r="339" spans="3:25">
      <c r="C339" s="63" t="s">
        <v>36</v>
      </c>
      <c r="D339" s="63" t="s">
        <v>927</v>
      </c>
      <c r="E339" s="110" t="s">
        <v>844</v>
      </c>
      <c r="F339" s="111">
        <v>2672573314</v>
      </c>
      <c r="G339" s="63" t="s">
        <v>627</v>
      </c>
      <c r="H339" s="112">
        <v>19600124</v>
      </c>
      <c r="I339" s="116" t="s">
        <v>725</v>
      </c>
      <c r="J339" s="113" t="s">
        <v>56</v>
      </c>
      <c r="K339" s="109" t="s">
        <v>838</v>
      </c>
      <c r="L339" s="109" t="s">
        <v>892</v>
      </c>
      <c r="M339" s="114" t="s">
        <v>868</v>
      </c>
      <c r="N339" s="113" t="s">
        <v>733</v>
      </c>
      <c r="O339" s="114" t="s">
        <v>292</v>
      </c>
      <c r="P339" s="73">
        <v>46054</v>
      </c>
      <c r="Q339" s="113" t="s">
        <v>293</v>
      </c>
      <c r="R339" s="113" t="s">
        <v>733</v>
      </c>
      <c r="S339" s="113" t="s">
        <v>293</v>
      </c>
      <c r="T339" s="113" t="s">
        <v>733</v>
      </c>
      <c r="U339" s="113" t="s">
        <v>733</v>
      </c>
      <c r="V339" s="113" t="s">
        <v>827</v>
      </c>
      <c r="W339" s="113" t="s">
        <v>929</v>
      </c>
      <c r="X339" s="3"/>
      <c r="Y339" s="3">
        <v>1</v>
      </c>
    </row>
    <row r="340" spans="3:25">
      <c r="C340" s="63" t="s">
        <v>36</v>
      </c>
      <c r="D340" s="63" t="s">
        <v>927</v>
      </c>
      <c r="E340" s="110" t="s">
        <v>844</v>
      </c>
      <c r="F340" s="111">
        <v>2672573314</v>
      </c>
      <c r="G340" s="63" t="s">
        <v>628</v>
      </c>
      <c r="H340" s="112">
        <v>26448805</v>
      </c>
      <c r="I340" s="116" t="s">
        <v>725</v>
      </c>
      <c r="J340" s="113" t="s">
        <v>56</v>
      </c>
      <c r="K340" s="109" t="s">
        <v>838</v>
      </c>
      <c r="L340" s="109" t="s">
        <v>892</v>
      </c>
      <c r="M340" s="114" t="s">
        <v>868</v>
      </c>
      <c r="N340" s="113" t="s">
        <v>733</v>
      </c>
      <c r="O340" s="114" t="s">
        <v>292</v>
      </c>
      <c r="P340" s="73">
        <v>46054</v>
      </c>
      <c r="Q340" s="113" t="s">
        <v>293</v>
      </c>
      <c r="R340" s="113" t="s">
        <v>733</v>
      </c>
      <c r="S340" s="113" t="s">
        <v>293</v>
      </c>
      <c r="T340" s="113" t="s">
        <v>733</v>
      </c>
      <c r="U340" s="113" t="s">
        <v>733</v>
      </c>
      <c r="V340" s="113" t="s">
        <v>827</v>
      </c>
      <c r="W340" s="113" t="s">
        <v>929</v>
      </c>
      <c r="X340" s="3"/>
      <c r="Y340" s="3">
        <v>1</v>
      </c>
    </row>
    <row r="341" spans="3:25">
      <c r="C341" s="63" t="s">
        <v>36</v>
      </c>
      <c r="D341" s="63" t="s">
        <v>922</v>
      </c>
      <c r="E341" s="110" t="s">
        <v>844</v>
      </c>
      <c r="F341" s="111">
        <v>2672573314</v>
      </c>
      <c r="G341" s="63" t="s">
        <v>640</v>
      </c>
      <c r="H341" s="112">
        <v>30038779</v>
      </c>
      <c r="I341" s="116" t="s">
        <v>725</v>
      </c>
      <c r="J341" s="113" t="s">
        <v>53</v>
      </c>
      <c r="K341" s="109" t="s">
        <v>838</v>
      </c>
      <c r="L341" s="109" t="s">
        <v>892</v>
      </c>
      <c r="M341" s="114" t="s">
        <v>868</v>
      </c>
      <c r="N341" s="113" t="s">
        <v>733</v>
      </c>
      <c r="O341" s="114" t="s">
        <v>292</v>
      </c>
      <c r="P341" s="73">
        <v>46054</v>
      </c>
      <c r="Q341" s="113" t="s">
        <v>293</v>
      </c>
      <c r="R341" s="113" t="s">
        <v>733</v>
      </c>
      <c r="S341" s="113" t="s">
        <v>293</v>
      </c>
      <c r="T341" s="113" t="s">
        <v>733</v>
      </c>
      <c r="U341" s="113" t="s">
        <v>733</v>
      </c>
      <c r="V341" s="113" t="s">
        <v>827</v>
      </c>
      <c r="W341" s="113" t="s">
        <v>929</v>
      </c>
      <c r="X341" s="3"/>
      <c r="Y341" s="3">
        <v>1</v>
      </c>
    </row>
    <row r="342" spans="3:25">
      <c r="C342" s="63" t="s">
        <v>36</v>
      </c>
      <c r="D342" s="63" t="s">
        <v>927</v>
      </c>
      <c r="E342" s="110" t="s">
        <v>844</v>
      </c>
      <c r="F342" s="111">
        <v>2672573314</v>
      </c>
      <c r="G342" s="63" t="s">
        <v>718</v>
      </c>
      <c r="H342" s="112">
        <v>27698734</v>
      </c>
      <c r="I342" s="116" t="s">
        <v>725</v>
      </c>
      <c r="J342" s="113" t="s">
        <v>56</v>
      </c>
      <c r="K342" s="109" t="s">
        <v>838</v>
      </c>
      <c r="L342" s="109" t="s">
        <v>892</v>
      </c>
      <c r="M342" s="114" t="s">
        <v>868</v>
      </c>
      <c r="N342" s="113" t="s">
        <v>733</v>
      </c>
      <c r="O342" s="114" t="s">
        <v>292</v>
      </c>
      <c r="P342" s="73">
        <v>46054</v>
      </c>
      <c r="Q342" s="113" t="s">
        <v>293</v>
      </c>
      <c r="R342" s="113" t="s">
        <v>733</v>
      </c>
      <c r="S342" s="113" t="s">
        <v>293</v>
      </c>
      <c r="T342" s="113" t="s">
        <v>733</v>
      </c>
      <c r="U342" s="113" t="s">
        <v>733</v>
      </c>
      <c r="V342" s="113" t="s">
        <v>827</v>
      </c>
      <c r="W342" s="113" t="s">
        <v>929</v>
      </c>
      <c r="X342" s="3"/>
      <c r="Y342" s="3">
        <v>1</v>
      </c>
    </row>
    <row r="343" spans="3:25">
      <c r="C343" s="63" t="s">
        <v>36</v>
      </c>
      <c r="D343" s="63" t="s">
        <v>925</v>
      </c>
      <c r="E343" s="110" t="s">
        <v>844</v>
      </c>
      <c r="F343" s="111">
        <v>2672573314</v>
      </c>
      <c r="G343" s="63" t="s">
        <v>629</v>
      </c>
      <c r="H343" s="112">
        <v>19657734</v>
      </c>
      <c r="I343" s="109" t="s">
        <v>730</v>
      </c>
      <c r="J343" s="113" t="s">
        <v>56</v>
      </c>
      <c r="K343" s="109" t="s">
        <v>838</v>
      </c>
      <c r="L343" s="109" t="s">
        <v>892</v>
      </c>
      <c r="M343" s="114" t="s">
        <v>868</v>
      </c>
      <c r="N343" s="113" t="s">
        <v>733</v>
      </c>
      <c r="O343" s="114" t="s">
        <v>292</v>
      </c>
      <c r="P343" s="73">
        <v>46054</v>
      </c>
      <c r="Q343" s="113" t="s">
        <v>293</v>
      </c>
      <c r="R343" s="113" t="s">
        <v>733</v>
      </c>
      <c r="S343" s="113" t="s">
        <v>293</v>
      </c>
      <c r="T343" s="113" t="s">
        <v>733</v>
      </c>
      <c r="U343" s="113" t="s">
        <v>733</v>
      </c>
      <c r="V343" s="113" t="s">
        <v>827</v>
      </c>
      <c r="W343" s="113" t="s">
        <v>929</v>
      </c>
      <c r="X343" s="3"/>
      <c r="Y343" s="3">
        <v>1</v>
      </c>
    </row>
    <row r="344" spans="3:25">
      <c r="C344" s="63" t="s">
        <v>36</v>
      </c>
      <c r="D344" s="63" t="s">
        <v>925</v>
      </c>
      <c r="E344" s="110" t="s">
        <v>844</v>
      </c>
      <c r="F344" s="111">
        <v>2672573314</v>
      </c>
      <c r="G344" s="63" t="s">
        <v>630</v>
      </c>
      <c r="H344" s="112">
        <v>19361262</v>
      </c>
      <c r="I344" s="116" t="s">
        <v>725</v>
      </c>
      <c r="J344" s="113" t="s">
        <v>56</v>
      </c>
      <c r="K344" s="109" t="s">
        <v>838</v>
      </c>
      <c r="L344" s="109" t="s">
        <v>892</v>
      </c>
      <c r="M344" s="114" t="s">
        <v>868</v>
      </c>
      <c r="N344" s="113" t="s">
        <v>733</v>
      </c>
      <c r="O344" s="114" t="s">
        <v>292</v>
      </c>
      <c r="P344" s="73">
        <v>46054</v>
      </c>
      <c r="Q344" s="113" t="s">
        <v>293</v>
      </c>
      <c r="R344" s="113" t="s">
        <v>733</v>
      </c>
      <c r="S344" s="113" t="s">
        <v>293</v>
      </c>
      <c r="T344" s="113" t="s">
        <v>733</v>
      </c>
      <c r="U344" s="113" t="s">
        <v>733</v>
      </c>
      <c r="V344" s="113" t="s">
        <v>827</v>
      </c>
      <c r="W344" s="113" t="s">
        <v>929</v>
      </c>
      <c r="X344" s="3"/>
      <c r="Y344" s="3">
        <v>1</v>
      </c>
    </row>
    <row r="345" spans="3:25">
      <c r="C345" s="63" t="s">
        <v>36</v>
      </c>
      <c r="D345" s="63" t="s">
        <v>925</v>
      </c>
      <c r="E345" s="110" t="s">
        <v>844</v>
      </c>
      <c r="F345" s="111">
        <v>2672573314</v>
      </c>
      <c r="G345" s="63" t="s">
        <v>631</v>
      </c>
      <c r="H345" s="112">
        <v>18834932</v>
      </c>
      <c r="I345" s="116" t="s">
        <v>725</v>
      </c>
      <c r="J345" s="113" t="s">
        <v>56</v>
      </c>
      <c r="K345" s="109" t="s">
        <v>838</v>
      </c>
      <c r="L345" s="109" t="s">
        <v>892</v>
      </c>
      <c r="M345" s="114" t="s">
        <v>868</v>
      </c>
      <c r="N345" s="113" t="s">
        <v>733</v>
      </c>
      <c r="O345" s="114" t="s">
        <v>292</v>
      </c>
      <c r="P345" s="73">
        <v>46054</v>
      </c>
      <c r="Q345" s="113" t="s">
        <v>293</v>
      </c>
      <c r="R345" s="113" t="s">
        <v>733</v>
      </c>
      <c r="S345" s="113" t="s">
        <v>293</v>
      </c>
      <c r="T345" s="113" t="s">
        <v>733</v>
      </c>
      <c r="U345" s="113" t="s">
        <v>733</v>
      </c>
      <c r="V345" s="113" t="s">
        <v>827</v>
      </c>
      <c r="W345" s="113" t="s">
        <v>929</v>
      </c>
      <c r="X345" s="3"/>
      <c r="Y345" s="3">
        <v>1</v>
      </c>
    </row>
    <row r="346" spans="3:25" s="70" customFormat="1">
      <c r="C346" s="63" t="s">
        <v>36</v>
      </c>
      <c r="D346" s="63" t="s">
        <v>925</v>
      </c>
      <c r="E346" s="110" t="s">
        <v>844</v>
      </c>
      <c r="F346" s="111">
        <v>2672573314</v>
      </c>
      <c r="G346" s="63" t="s">
        <v>632</v>
      </c>
      <c r="H346" s="112">
        <v>15823162</v>
      </c>
      <c r="I346" s="109" t="s">
        <v>730</v>
      </c>
      <c r="J346" s="113" t="s">
        <v>56</v>
      </c>
      <c r="K346" s="109" t="s">
        <v>838</v>
      </c>
      <c r="L346" s="109" t="s">
        <v>892</v>
      </c>
      <c r="M346" s="114" t="s">
        <v>868</v>
      </c>
      <c r="N346" s="113" t="s">
        <v>733</v>
      </c>
      <c r="O346" s="114" t="s">
        <v>292</v>
      </c>
      <c r="P346" s="73">
        <v>46054</v>
      </c>
      <c r="Q346" s="113" t="s">
        <v>293</v>
      </c>
      <c r="R346" s="113" t="s">
        <v>733</v>
      </c>
      <c r="S346" s="113" t="s">
        <v>293</v>
      </c>
      <c r="T346" s="113" t="s">
        <v>733</v>
      </c>
      <c r="U346" s="113" t="s">
        <v>733</v>
      </c>
      <c r="V346" s="113" t="s">
        <v>827</v>
      </c>
      <c r="W346" s="113" t="s">
        <v>929</v>
      </c>
      <c r="X346" s="3"/>
      <c r="Y346" s="3">
        <v>1</v>
      </c>
    </row>
    <row r="347" spans="3:25" s="70" customFormat="1">
      <c r="C347" s="63" t="s">
        <v>36</v>
      </c>
      <c r="D347" s="63" t="s">
        <v>925</v>
      </c>
      <c r="E347" s="110" t="s">
        <v>844</v>
      </c>
      <c r="F347" s="111">
        <v>2672573314</v>
      </c>
      <c r="G347" s="63" t="s">
        <v>633</v>
      </c>
      <c r="H347" s="112">
        <v>19067089</v>
      </c>
      <c r="I347" s="116" t="s">
        <v>725</v>
      </c>
      <c r="J347" s="113" t="s">
        <v>56</v>
      </c>
      <c r="K347" s="109" t="s">
        <v>838</v>
      </c>
      <c r="L347" s="109" t="s">
        <v>892</v>
      </c>
      <c r="M347" s="114" t="s">
        <v>868</v>
      </c>
      <c r="N347" s="113" t="s">
        <v>733</v>
      </c>
      <c r="O347" s="114" t="s">
        <v>292</v>
      </c>
      <c r="P347" s="73">
        <v>46054</v>
      </c>
      <c r="Q347" s="113" t="s">
        <v>293</v>
      </c>
      <c r="R347" s="113" t="s">
        <v>733</v>
      </c>
      <c r="S347" s="113" t="s">
        <v>293</v>
      </c>
      <c r="T347" s="113" t="s">
        <v>733</v>
      </c>
      <c r="U347" s="113" t="s">
        <v>733</v>
      </c>
      <c r="V347" s="113" t="s">
        <v>827</v>
      </c>
      <c r="W347" s="113" t="s">
        <v>929</v>
      </c>
      <c r="X347" s="3"/>
      <c r="Y347" s="3">
        <v>1</v>
      </c>
    </row>
    <row r="348" spans="3:25" s="70" customFormat="1">
      <c r="C348" s="63" t="s">
        <v>36</v>
      </c>
      <c r="D348" s="63" t="s">
        <v>925</v>
      </c>
      <c r="E348" s="110" t="s">
        <v>844</v>
      </c>
      <c r="F348" s="111">
        <v>2672573314</v>
      </c>
      <c r="G348" s="63" t="s">
        <v>634</v>
      </c>
      <c r="H348" s="112">
        <v>21152260</v>
      </c>
      <c r="I348" s="109" t="s">
        <v>730</v>
      </c>
      <c r="J348" s="113" t="s">
        <v>56</v>
      </c>
      <c r="K348" s="109" t="s">
        <v>838</v>
      </c>
      <c r="L348" s="109" t="s">
        <v>892</v>
      </c>
      <c r="M348" s="114" t="s">
        <v>868</v>
      </c>
      <c r="N348" s="113" t="s">
        <v>733</v>
      </c>
      <c r="O348" s="114" t="s">
        <v>292</v>
      </c>
      <c r="P348" s="73">
        <v>46054</v>
      </c>
      <c r="Q348" s="113" t="s">
        <v>293</v>
      </c>
      <c r="R348" s="113" t="s">
        <v>733</v>
      </c>
      <c r="S348" s="113" t="s">
        <v>293</v>
      </c>
      <c r="T348" s="113" t="s">
        <v>733</v>
      </c>
      <c r="U348" s="113" t="s">
        <v>733</v>
      </c>
      <c r="V348" s="113" t="s">
        <v>827</v>
      </c>
      <c r="W348" s="113" t="s">
        <v>929</v>
      </c>
      <c r="X348" s="3"/>
      <c r="Y348" s="3">
        <v>1</v>
      </c>
    </row>
    <row r="349" spans="3:25">
      <c r="C349" s="63" t="s">
        <v>36</v>
      </c>
      <c r="D349" s="63" t="s">
        <v>925</v>
      </c>
      <c r="E349" s="110" t="s">
        <v>844</v>
      </c>
      <c r="F349" s="111">
        <v>2672573314</v>
      </c>
      <c r="G349" s="63" t="s">
        <v>635</v>
      </c>
      <c r="H349" s="112">
        <v>27695464</v>
      </c>
      <c r="I349" s="116" t="s">
        <v>725</v>
      </c>
      <c r="J349" s="113" t="s">
        <v>56</v>
      </c>
      <c r="K349" s="109" t="s">
        <v>838</v>
      </c>
      <c r="L349" s="109" t="s">
        <v>892</v>
      </c>
      <c r="M349" s="114" t="s">
        <v>868</v>
      </c>
      <c r="N349" s="113" t="s">
        <v>733</v>
      </c>
      <c r="O349" s="114" t="s">
        <v>292</v>
      </c>
      <c r="P349" s="73">
        <v>46054</v>
      </c>
      <c r="Q349" s="113" t="s">
        <v>293</v>
      </c>
      <c r="R349" s="113" t="s">
        <v>733</v>
      </c>
      <c r="S349" s="113" t="s">
        <v>293</v>
      </c>
      <c r="T349" s="113" t="s">
        <v>733</v>
      </c>
      <c r="U349" s="113" t="s">
        <v>733</v>
      </c>
      <c r="V349" s="113" t="s">
        <v>827</v>
      </c>
      <c r="W349" s="113" t="s">
        <v>929</v>
      </c>
      <c r="X349" s="3"/>
      <c r="Y349" s="3">
        <v>1</v>
      </c>
    </row>
    <row r="350" spans="3:25">
      <c r="C350" s="63" t="s">
        <v>36</v>
      </c>
      <c r="D350" s="63" t="s">
        <v>36</v>
      </c>
      <c r="E350" s="110" t="s">
        <v>844</v>
      </c>
      <c r="F350" s="111">
        <v>2672573314</v>
      </c>
      <c r="G350" s="63" t="s">
        <v>783</v>
      </c>
      <c r="H350" s="53">
        <v>18972992</v>
      </c>
      <c r="I350" s="116" t="s">
        <v>729</v>
      </c>
      <c r="J350" s="113" t="s">
        <v>55</v>
      </c>
      <c r="K350" s="109" t="s">
        <v>838</v>
      </c>
      <c r="L350" s="109" t="s">
        <v>892</v>
      </c>
      <c r="M350" s="114" t="s">
        <v>868</v>
      </c>
      <c r="N350" s="113" t="s">
        <v>733</v>
      </c>
      <c r="O350" s="114" t="s">
        <v>293</v>
      </c>
      <c r="P350" s="68" t="s">
        <v>733</v>
      </c>
      <c r="Q350" s="113" t="s">
        <v>293</v>
      </c>
      <c r="R350" s="113" t="s">
        <v>733</v>
      </c>
      <c r="S350" s="113" t="s">
        <v>293</v>
      </c>
      <c r="T350" s="113" t="s">
        <v>733</v>
      </c>
      <c r="U350" s="113" t="s">
        <v>733</v>
      </c>
      <c r="V350" s="113" t="s">
        <v>827</v>
      </c>
      <c r="W350" s="113" t="s">
        <v>929</v>
      </c>
      <c r="X350" s="68"/>
      <c r="Y350" s="3">
        <v>1</v>
      </c>
    </row>
    <row r="351" spans="3:25">
      <c r="C351" s="63" t="s">
        <v>36</v>
      </c>
      <c r="D351" s="63" t="s">
        <v>36</v>
      </c>
      <c r="E351" s="110" t="s">
        <v>844</v>
      </c>
      <c r="F351" s="111">
        <v>2672573314</v>
      </c>
      <c r="G351" s="63" t="s">
        <v>803</v>
      </c>
      <c r="H351" s="112">
        <v>28482162</v>
      </c>
      <c r="I351" s="116" t="s">
        <v>729</v>
      </c>
      <c r="J351" s="113" t="s">
        <v>55</v>
      </c>
      <c r="K351" s="109" t="s">
        <v>838</v>
      </c>
      <c r="L351" s="109" t="s">
        <v>892</v>
      </c>
      <c r="M351" s="114" t="s">
        <v>868</v>
      </c>
      <c r="N351" s="113" t="s">
        <v>733</v>
      </c>
      <c r="O351" s="114" t="s">
        <v>293</v>
      </c>
      <c r="P351" s="68" t="s">
        <v>733</v>
      </c>
      <c r="Q351" s="113" t="s">
        <v>293</v>
      </c>
      <c r="R351" s="113" t="s">
        <v>733</v>
      </c>
      <c r="S351" s="113" t="s">
        <v>293</v>
      </c>
      <c r="T351" s="113" t="s">
        <v>733</v>
      </c>
      <c r="U351" s="113" t="s">
        <v>733</v>
      </c>
      <c r="V351" s="113" t="s">
        <v>827</v>
      </c>
      <c r="W351" s="113" t="s">
        <v>929</v>
      </c>
      <c r="X351" s="68"/>
      <c r="Y351" s="3">
        <v>1</v>
      </c>
    </row>
    <row r="352" spans="3:25">
      <c r="C352" s="63" t="s">
        <v>36</v>
      </c>
      <c r="D352" s="63" t="s">
        <v>36</v>
      </c>
      <c r="E352" s="110" t="s">
        <v>844</v>
      </c>
      <c r="F352" s="111">
        <v>2672573314</v>
      </c>
      <c r="G352" s="63" t="s">
        <v>807</v>
      </c>
      <c r="H352" s="112">
        <v>29866305</v>
      </c>
      <c r="I352" s="116" t="s">
        <v>729</v>
      </c>
      <c r="J352" s="113" t="s">
        <v>55</v>
      </c>
      <c r="K352" s="109" t="s">
        <v>838</v>
      </c>
      <c r="L352" s="109" t="s">
        <v>892</v>
      </c>
      <c r="M352" s="114" t="s">
        <v>868</v>
      </c>
      <c r="N352" s="113" t="s">
        <v>733</v>
      </c>
      <c r="O352" s="114" t="s">
        <v>293</v>
      </c>
      <c r="P352" s="68" t="s">
        <v>733</v>
      </c>
      <c r="Q352" s="113" t="s">
        <v>293</v>
      </c>
      <c r="R352" s="113" t="s">
        <v>733</v>
      </c>
      <c r="S352" s="113" t="s">
        <v>293</v>
      </c>
      <c r="T352" s="113" t="s">
        <v>733</v>
      </c>
      <c r="U352" s="113" t="s">
        <v>733</v>
      </c>
      <c r="V352" s="113" t="s">
        <v>827</v>
      </c>
      <c r="W352" s="113" t="s">
        <v>929</v>
      </c>
      <c r="X352" s="68"/>
      <c r="Y352" s="3">
        <v>1</v>
      </c>
    </row>
    <row r="353" spans="3:25">
      <c r="C353" s="63" t="s">
        <v>36</v>
      </c>
      <c r="D353" s="63" t="s">
        <v>36</v>
      </c>
      <c r="E353" s="110" t="s">
        <v>844</v>
      </c>
      <c r="F353" s="111">
        <v>2672573314</v>
      </c>
      <c r="G353" s="63" t="s">
        <v>921</v>
      </c>
      <c r="H353" s="112">
        <v>16619298</v>
      </c>
      <c r="I353" s="116" t="s">
        <v>410</v>
      </c>
      <c r="J353" s="113" t="s">
        <v>56</v>
      </c>
      <c r="K353" s="109" t="s">
        <v>838</v>
      </c>
      <c r="L353" s="109" t="s">
        <v>892</v>
      </c>
      <c r="M353" s="114" t="s">
        <v>868</v>
      </c>
      <c r="N353" s="113" t="s">
        <v>733</v>
      </c>
      <c r="O353" s="114" t="s">
        <v>293</v>
      </c>
      <c r="P353" s="68" t="s">
        <v>733</v>
      </c>
      <c r="Q353" s="113" t="s">
        <v>293</v>
      </c>
      <c r="R353" s="113" t="s">
        <v>733</v>
      </c>
      <c r="S353" s="113" t="s">
        <v>293</v>
      </c>
      <c r="T353" s="113" t="s">
        <v>733</v>
      </c>
      <c r="U353" s="113" t="s">
        <v>733</v>
      </c>
      <c r="V353" s="113" t="s">
        <v>827</v>
      </c>
      <c r="W353" s="113" t="s">
        <v>929</v>
      </c>
      <c r="X353" s="68"/>
      <c r="Y353" s="3">
        <v>1</v>
      </c>
    </row>
    <row r="354" spans="3:25">
      <c r="C354" s="63" t="s">
        <v>642</v>
      </c>
      <c r="D354" s="63" t="s">
        <v>642</v>
      </c>
      <c r="E354" s="110" t="s">
        <v>844</v>
      </c>
      <c r="F354" s="111">
        <v>2672573314</v>
      </c>
      <c r="G354" s="63" t="s">
        <v>643</v>
      </c>
      <c r="H354" s="112">
        <v>18324998</v>
      </c>
      <c r="I354" s="116" t="s">
        <v>725</v>
      </c>
      <c r="J354" s="113" t="s">
        <v>56</v>
      </c>
      <c r="K354" s="109" t="s">
        <v>702</v>
      </c>
      <c r="L354" s="109" t="s">
        <v>904</v>
      </c>
      <c r="M354" s="114" t="s">
        <v>868</v>
      </c>
      <c r="N354" s="113" t="s">
        <v>733</v>
      </c>
      <c r="O354" s="114" t="s">
        <v>292</v>
      </c>
      <c r="P354" s="73">
        <v>45962</v>
      </c>
      <c r="Q354" s="113" t="s">
        <v>293</v>
      </c>
      <c r="R354" s="113" t="s">
        <v>733</v>
      </c>
      <c r="S354" s="113" t="s">
        <v>293</v>
      </c>
      <c r="T354" s="113" t="s">
        <v>733</v>
      </c>
      <c r="U354" s="113" t="s">
        <v>733</v>
      </c>
      <c r="V354" s="113" t="s">
        <v>827</v>
      </c>
      <c r="W354" s="113" t="s">
        <v>929</v>
      </c>
      <c r="X354" s="3"/>
      <c r="Y354" s="3">
        <v>1</v>
      </c>
    </row>
    <row r="355" spans="3:25">
      <c r="C355" s="63" t="s">
        <v>642</v>
      </c>
      <c r="D355" s="63" t="s">
        <v>642</v>
      </c>
      <c r="E355" s="110" t="s">
        <v>844</v>
      </c>
      <c r="F355" s="111">
        <v>2672573314</v>
      </c>
      <c r="G355" s="63" t="s">
        <v>644</v>
      </c>
      <c r="H355" s="112">
        <v>26938811</v>
      </c>
      <c r="I355" s="109" t="s">
        <v>730</v>
      </c>
      <c r="J355" s="113" t="s">
        <v>56</v>
      </c>
      <c r="K355" s="109" t="s">
        <v>702</v>
      </c>
      <c r="L355" s="109" t="s">
        <v>904</v>
      </c>
      <c r="M355" s="114" t="s">
        <v>868</v>
      </c>
      <c r="N355" s="113" t="s">
        <v>733</v>
      </c>
      <c r="O355" s="114" t="s">
        <v>292</v>
      </c>
      <c r="P355" s="73">
        <v>45962</v>
      </c>
      <c r="Q355" s="113" t="s">
        <v>293</v>
      </c>
      <c r="R355" s="113" t="s">
        <v>733</v>
      </c>
      <c r="S355" s="113" t="s">
        <v>293</v>
      </c>
      <c r="T355" s="113" t="s">
        <v>733</v>
      </c>
      <c r="U355" s="113" t="s">
        <v>733</v>
      </c>
      <c r="V355" s="113" t="s">
        <v>827</v>
      </c>
      <c r="W355" s="113" t="s">
        <v>929</v>
      </c>
      <c r="X355" s="3"/>
      <c r="Y355" s="3">
        <v>1</v>
      </c>
    </row>
    <row r="356" spans="3:25">
      <c r="C356" s="63" t="s">
        <v>31</v>
      </c>
      <c r="D356" s="63" t="s">
        <v>31</v>
      </c>
      <c r="E356" s="110" t="s">
        <v>844</v>
      </c>
      <c r="F356" s="111">
        <v>2672573314</v>
      </c>
      <c r="G356" s="63" t="s">
        <v>589</v>
      </c>
      <c r="H356" s="112">
        <v>17196736</v>
      </c>
      <c r="I356" s="109" t="s">
        <v>730</v>
      </c>
      <c r="J356" s="113" t="s">
        <v>56</v>
      </c>
      <c r="K356" s="109" t="s">
        <v>839</v>
      </c>
      <c r="L356" s="109" t="s">
        <v>891</v>
      </c>
      <c r="M356" s="114" t="s">
        <v>868</v>
      </c>
      <c r="N356" s="113" t="s">
        <v>733</v>
      </c>
      <c r="O356" s="114" t="s">
        <v>292</v>
      </c>
      <c r="P356" s="73">
        <v>45992</v>
      </c>
      <c r="Q356" s="113" t="s">
        <v>293</v>
      </c>
      <c r="R356" s="113" t="s">
        <v>733</v>
      </c>
      <c r="S356" s="113" t="s">
        <v>293</v>
      </c>
      <c r="T356" s="113" t="s">
        <v>733</v>
      </c>
      <c r="U356" s="113" t="s">
        <v>733</v>
      </c>
      <c r="V356" s="113" t="s">
        <v>827</v>
      </c>
      <c r="W356" s="113" t="s">
        <v>929</v>
      </c>
      <c r="X356" s="3"/>
      <c r="Y356" s="3">
        <v>1</v>
      </c>
    </row>
    <row r="357" spans="3:25">
      <c r="C357" s="63" t="s">
        <v>31</v>
      </c>
      <c r="D357" s="63" t="s">
        <v>31</v>
      </c>
      <c r="E357" s="110" t="s">
        <v>844</v>
      </c>
      <c r="F357" s="111">
        <v>2672573314</v>
      </c>
      <c r="G357" s="63" t="s">
        <v>166</v>
      </c>
      <c r="H357" s="112">
        <v>20943796</v>
      </c>
      <c r="I357" s="116" t="s">
        <v>725</v>
      </c>
      <c r="J357" s="113" t="s">
        <v>56</v>
      </c>
      <c r="K357" s="109" t="s">
        <v>839</v>
      </c>
      <c r="L357" s="109" t="s">
        <v>891</v>
      </c>
      <c r="M357" s="114" t="s">
        <v>292</v>
      </c>
      <c r="N357" s="115">
        <v>45748</v>
      </c>
      <c r="O357" s="114" t="s">
        <v>292</v>
      </c>
      <c r="P357" s="127">
        <v>45992</v>
      </c>
      <c r="Q357" s="113" t="s">
        <v>292</v>
      </c>
      <c r="R357" s="115">
        <v>46082</v>
      </c>
      <c r="S357" s="113" t="s">
        <v>293</v>
      </c>
      <c r="T357" s="113" t="s">
        <v>733</v>
      </c>
      <c r="U357" s="113" t="s">
        <v>733</v>
      </c>
      <c r="V357" s="113" t="s">
        <v>827</v>
      </c>
      <c r="W357" s="113" t="s">
        <v>929</v>
      </c>
      <c r="X357" s="3"/>
      <c r="Y357" s="3">
        <v>1</v>
      </c>
    </row>
    <row r="358" spans="3:25">
      <c r="C358" s="63" t="s">
        <v>31</v>
      </c>
      <c r="D358" s="63" t="s">
        <v>31</v>
      </c>
      <c r="E358" s="110" t="s">
        <v>844</v>
      </c>
      <c r="F358" s="111">
        <v>2672573314</v>
      </c>
      <c r="G358" s="63" t="s">
        <v>492</v>
      </c>
      <c r="H358" s="112">
        <v>27193698</v>
      </c>
      <c r="I358" s="116" t="s">
        <v>725</v>
      </c>
      <c r="J358" s="113" t="s">
        <v>56</v>
      </c>
      <c r="K358" s="109" t="s">
        <v>839</v>
      </c>
      <c r="L358" s="109" t="s">
        <v>891</v>
      </c>
      <c r="M358" s="114" t="s">
        <v>292</v>
      </c>
      <c r="N358" s="115">
        <v>45748</v>
      </c>
      <c r="O358" s="114" t="s">
        <v>292</v>
      </c>
      <c r="P358" s="127">
        <v>45992</v>
      </c>
      <c r="Q358" s="113" t="s">
        <v>293</v>
      </c>
      <c r="R358" s="113" t="s">
        <v>733</v>
      </c>
      <c r="S358" s="113" t="s">
        <v>293</v>
      </c>
      <c r="T358" s="113" t="s">
        <v>733</v>
      </c>
      <c r="U358" s="113" t="s">
        <v>733</v>
      </c>
      <c r="V358" s="113" t="s">
        <v>827</v>
      </c>
      <c r="W358" s="113" t="s">
        <v>929</v>
      </c>
      <c r="X358" s="3"/>
      <c r="Y358" s="3">
        <v>1</v>
      </c>
    </row>
    <row r="359" spans="3:25">
      <c r="C359" s="63" t="s">
        <v>31</v>
      </c>
      <c r="D359" s="63" t="s">
        <v>31</v>
      </c>
      <c r="E359" s="110" t="s">
        <v>844</v>
      </c>
      <c r="F359" s="111">
        <v>2672573314</v>
      </c>
      <c r="G359" s="63" t="s">
        <v>174</v>
      </c>
      <c r="H359" s="112">
        <v>17372733</v>
      </c>
      <c r="I359" s="109" t="s">
        <v>730</v>
      </c>
      <c r="J359" s="113" t="s">
        <v>56</v>
      </c>
      <c r="K359" s="109" t="s">
        <v>839</v>
      </c>
      <c r="L359" s="109" t="s">
        <v>891</v>
      </c>
      <c r="M359" s="114" t="s">
        <v>868</v>
      </c>
      <c r="N359" s="113" t="s">
        <v>733</v>
      </c>
      <c r="O359" s="114" t="s">
        <v>292</v>
      </c>
      <c r="P359" s="127">
        <v>45992</v>
      </c>
      <c r="Q359" s="113" t="s">
        <v>293</v>
      </c>
      <c r="R359" s="113" t="s">
        <v>733</v>
      </c>
      <c r="S359" s="113" t="s">
        <v>293</v>
      </c>
      <c r="T359" s="113" t="s">
        <v>733</v>
      </c>
      <c r="U359" s="113" t="s">
        <v>733</v>
      </c>
      <c r="V359" s="113" t="s">
        <v>827</v>
      </c>
      <c r="W359" s="113" t="s">
        <v>929</v>
      </c>
      <c r="X359" s="3"/>
      <c r="Y359" s="3">
        <v>1</v>
      </c>
    </row>
    <row r="360" spans="3:25">
      <c r="C360" s="63" t="s">
        <v>31</v>
      </c>
      <c r="D360" s="63" t="s">
        <v>31</v>
      </c>
      <c r="E360" s="110" t="s">
        <v>844</v>
      </c>
      <c r="F360" s="111">
        <v>2672573314</v>
      </c>
      <c r="G360" s="63" t="s">
        <v>172</v>
      </c>
      <c r="H360" s="112">
        <v>15778646</v>
      </c>
      <c r="I360" s="116" t="s">
        <v>725</v>
      </c>
      <c r="J360" s="113" t="s">
        <v>56</v>
      </c>
      <c r="K360" s="109" t="s">
        <v>839</v>
      </c>
      <c r="L360" s="109" t="s">
        <v>891</v>
      </c>
      <c r="M360" s="114" t="s">
        <v>868</v>
      </c>
      <c r="N360" s="113" t="s">
        <v>733</v>
      </c>
      <c r="O360" s="114" t="s">
        <v>292</v>
      </c>
      <c r="P360" s="127">
        <v>45992</v>
      </c>
      <c r="Q360" s="113" t="s">
        <v>293</v>
      </c>
      <c r="R360" s="113" t="s">
        <v>733</v>
      </c>
      <c r="S360" s="113" t="s">
        <v>293</v>
      </c>
      <c r="T360" s="113" t="s">
        <v>733</v>
      </c>
      <c r="U360" s="113" t="s">
        <v>733</v>
      </c>
      <c r="V360" s="113" t="s">
        <v>827</v>
      </c>
      <c r="W360" s="113" t="s">
        <v>929</v>
      </c>
      <c r="X360" s="3"/>
      <c r="Y360" s="3">
        <v>1</v>
      </c>
    </row>
    <row r="361" spans="3:25">
      <c r="C361" s="63" t="s">
        <v>31</v>
      </c>
      <c r="D361" s="63" t="s">
        <v>31</v>
      </c>
      <c r="E361" s="110" t="s">
        <v>844</v>
      </c>
      <c r="F361" s="111">
        <v>2672573314</v>
      </c>
      <c r="G361" s="63" t="s">
        <v>177</v>
      </c>
      <c r="H361" s="112">
        <v>16404187</v>
      </c>
      <c r="I361" s="109" t="s">
        <v>730</v>
      </c>
      <c r="J361" s="113" t="s">
        <v>56</v>
      </c>
      <c r="K361" s="109" t="s">
        <v>839</v>
      </c>
      <c r="L361" s="109" t="s">
        <v>891</v>
      </c>
      <c r="M361" s="114" t="s">
        <v>868</v>
      </c>
      <c r="N361" s="113" t="s">
        <v>733</v>
      </c>
      <c r="O361" s="114" t="s">
        <v>292</v>
      </c>
      <c r="P361" s="73">
        <v>45992</v>
      </c>
      <c r="Q361" s="113" t="s">
        <v>293</v>
      </c>
      <c r="R361" s="113" t="s">
        <v>733</v>
      </c>
      <c r="S361" s="113" t="s">
        <v>293</v>
      </c>
      <c r="T361" s="113" t="s">
        <v>733</v>
      </c>
      <c r="U361" s="113" t="s">
        <v>733</v>
      </c>
      <c r="V361" s="113" t="s">
        <v>827</v>
      </c>
      <c r="W361" s="113" t="s">
        <v>929</v>
      </c>
      <c r="X361" s="3"/>
      <c r="Y361" s="3">
        <v>1</v>
      </c>
    </row>
    <row r="362" spans="3:25">
      <c r="C362" s="63" t="s">
        <v>31</v>
      </c>
      <c r="D362" s="63" t="s">
        <v>31</v>
      </c>
      <c r="E362" s="110" t="s">
        <v>844</v>
      </c>
      <c r="F362" s="111">
        <v>2672573314</v>
      </c>
      <c r="G362" s="63" t="s">
        <v>167</v>
      </c>
      <c r="H362" s="112">
        <v>26584200</v>
      </c>
      <c r="I362" s="116" t="s">
        <v>725</v>
      </c>
      <c r="J362" s="113" t="s">
        <v>56</v>
      </c>
      <c r="K362" s="109" t="s">
        <v>839</v>
      </c>
      <c r="L362" s="109" t="s">
        <v>891</v>
      </c>
      <c r="M362" s="114" t="s">
        <v>868</v>
      </c>
      <c r="N362" s="113" t="s">
        <v>733</v>
      </c>
      <c r="O362" s="114" t="s">
        <v>292</v>
      </c>
      <c r="P362" s="73">
        <v>45992</v>
      </c>
      <c r="Q362" s="113" t="s">
        <v>293</v>
      </c>
      <c r="R362" s="113" t="s">
        <v>733</v>
      </c>
      <c r="S362" s="113" t="s">
        <v>293</v>
      </c>
      <c r="T362" s="113" t="s">
        <v>733</v>
      </c>
      <c r="U362" s="113" t="s">
        <v>733</v>
      </c>
      <c r="V362" s="113" t="s">
        <v>827</v>
      </c>
      <c r="W362" s="113" t="s">
        <v>929</v>
      </c>
      <c r="X362" s="3"/>
      <c r="Y362" s="3">
        <v>1</v>
      </c>
    </row>
    <row r="363" spans="3:25">
      <c r="C363" s="63" t="s">
        <v>31</v>
      </c>
      <c r="D363" s="63" t="s">
        <v>31</v>
      </c>
      <c r="E363" s="110" t="s">
        <v>844</v>
      </c>
      <c r="F363" s="111">
        <v>2672573314</v>
      </c>
      <c r="G363" s="63" t="s">
        <v>341</v>
      </c>
      <c r="H363" s="112">
        <v>27737966</v>
      </c>
      <c r="I363" s="116" t="s">
        <v>725</v>
      </c>
      <c r="J363" s="113" t="s">
        <v>56</v>
      </c>
      <c r="K363" s="109" t="s">
        <v>839</v>
      </c>
      <c r="L363" s="109" t="s">
        <v>891</v>
      </c>
      <c r="M363" s="114" t="s">
        <v>868</v>
      </c>
      <c r="N363" s="113" t="s">
        <v>733</v>
      </c>
      <c r="O363" s="114" t="s">
        <v>292</v>
      </c>
      <c r="P363" s="127">
        <v>45992</v>
      </c>
      <c r="Q363" s="113" t="s">
        <v>293</v>
      </c>
      <c r="R363" s="113" t="s">
        <v>733</v>
      </c>
      <c r="S363" s="113" t="s">
        <v>293</v>
      </c>
      <c r="T363" s="113" t="s">
        <v>733</v>
      </c>
      <c r="U363" s="113" t="s">
        <v>733</v>
      </c>
      <c r="V363" s="113" t="s">
        <v>827</v>
      </c>
      <c r="W363" s="113" t="s">
        <v>929</v>
      </c>
      <c r="X363" s="3"/>
      <c r="Y363" s="3">
        <v>1</v>
      </c>
    </row>
    <row r="364" spans="3:25">
      <c r="C364" s="63" t="s">
        <v>31</v>
      </c>
      <c r="D364" s="63" t="s">
        <v>31</v>
      </c>
      <c r="E364" s="110" t="s">
        <v>844</v>
      </c>
      <c r="F364" s="111">
        <v>2672573314</v>
      </c>
      <c r="G364" s="63" t="s">
        <v>168</v>
      </c>
      <c r="H364" s="112">
        <v>19431115</v>
      </c>
      <c r="I364" s="116" t="s">
        <v>725</v>
      </c>
      <c r="J364" s="113" t="s">
        <v>56</v>
      </c>
      <c r="K364" s="109" t="s">
        <v>839</v>
      </c>
      <c r="L364" s="109" t="s">
        <v>891</v>
      </c>
      <c r="M364" s="114" t="s">
        <v>868</v>
      </c>
      <c r="N364" s="113" t="s">
        <v>733</v>
      </c>
      <c r="O364" s="114" t="s">
        <v>292</v>
      </c>
      <c r="P364" s="73">
        <v>45992</v>
      </c>
      <c r="Q364" s="113" t="s">
        <v>293</v>
      </c>
      <c r="R364" s="113" t="s">
        <v>733</v>
      </c>
      <c r="S364" s="113" t="s">
        <v>293</v>
      </c>
      <c r="T364" s="113" t="s">
        <v>733</v>
      </c>
      <c r="U364" s="113" t="s">
        <v>733</v>
      </c>
      <c r="V364" s="113" t="s">
        <v>827</v>
      </c>
      <c r="W364" s="113" t="s">
        <v>929</v>
      </c>
      <c r="X364" s="3"/>
      <c r="Y364" s="3">
        <v>1</v>
      </c>
    </row>
    <row r="365" spans="3:25">
      <c r="C365" s="63" t="s">
        <v>31</v>
      </c>
      <c r="D365" s="63" t="s">
        <v>31</v>
      </c>
      <c r="E365" s="110" t="s">
        <v>844</v>
      </c>
      <c r="F365" s="111">
        <v>2672573314</v>
      </c>
      <c r="G365" s="63" t="s">
        <v>162</v>
      </c>
      <c r="H365" s="112">
        <v>18057256</v>
      </c>
      <c r="I365" s="109" t="s">
        <v>730</v>
      </c>
      <c r="J365" s="113" t="s">
        <v>53</v>
      </c>
      <c r="K365" s="109" t="s">
        <v>839</v>
      </c>
      <c r="L365" s="109" t="s">
        <v>891</v>
      </c>
      <c r="M365" s="114" t="s">
        <v>292</v>
      </c>
      <c r="N365" s="115">
        <v>45748</v>
      </c>
      <c r="O365" s="114" t="s">
        <v>292</v>
      </c>
      <c r="P365" s="73">
        <v>45992</v>
      </c>
      <c r="Q365" s="113" t="s">
        <v>292</v>
      </c>
      <c r="R365" s="115">
        <v>46082</v>
      </c>
      <c r="S365" s="113" t="s">
        <v>293</v>
      </c>
      <c r="T365" s="113" t="s">
        <v>733</v>
      </c>
      <c r="U365" s="113" t="s">
        <v>733</v>
      </c>
      <c r="V365" s="113" t="s">
        <v>827</v>
      </c>
      <c r="W365" s="113" t="s">
        <v>929</v>
      </c>
      <c r="X365" s="3"/>
      <c r="Y365" s="3">
        <v>1</v>
      </c>
    </row>
    <row r="366" spans="3:25">
      <c r="C366" s="63" t="s">
        <v>31</v>
      </c>
      <c r="D366" s="63" t="s">
        <v>31</v>
      </c>
      <c r="E366" s="110" t="s">
        <v>844</v>
      </c>
      <c r="F366" s="111">
        <v>2672573314</v>
      </c>
      <c r="G366" s="63" t="s">
        <v>171</v>
      </c>
      <c r="H366" s="112">
        <v>26136005</v>
      </c>
      <c r="I366" s="109" t="s">
        <v>730</v>
      </c>
      <c r="J366" s="113" t="s">
        <v>56</v>
      </c>
      <c r="K366" s="109" t="s">
        <v>839</v>
      </c>
      <c r="L366" s="109" t="s">
        <v>891</v>
      </c>
      <c r="M366" s="114" t="s">
        <v>868</v>
      </c>
      <c r="N366" s="113" t="s">
        <v>733</v>
      </c>
      <c r="O366" s="114" t="s">
        <v>292</v>
      </c>
      <c r="P366" s="127">
        <v>45992</v>
      </c>
      <c r="Q366" s="113" t="s">
        <v>293</v>
      </c>
      <c r="R366" s="113" t="s">
        <v>733</v>
      </c>
      <c r="S366" s="113" t="s">
        <v>293</v>
      </c>
      <c r="T366" s="113" t="s">
        <v>733</v>
      </c>
      <c r="U366" s="113" t="s">
        <v>733</v>
      </c>
      <c r="V366" s="113" t="s">
        <v>827</v>
      </c>
      <c r="W366" s="113" t="s">
        <v>929</v>
      </c>
      <c r="X366" s="3"/>
      <c r="Y366" s="3">
        <v>1</v>
      </c>
    </row>
    <row r="367" spans="3:25">
      <c r="C367" s="63" t="s">
        <v>31</v>
      </c>
      <c r="D367" s="63" t="s">
        <v>31</v>
      </c>
      <c r="E367" s="110" t="s">
        <v>844</v>
      </c>
      <c r="F367" s="111">
        <v>2672573314</v>
      </c>
      <c r="G367" s="63" t="s">
        <v>590</v>
      </c>
      <c r="H367" s="112">
        <v>18135786</v>
      </c>
      <c r="I367" s="109" t="s">
        <v>730</v>
      </c>
      <c r="J367" s="113" t="s">
        <v>56</v>
      </c>
      <c r="K367" s="109" t="s">
        <v>839</v>
      </c>
      <c r="L367" s="109" t="s">
        <v>891</v>
      </c>
      <c r="M367" s="114" t="s">
        <v>868</v>
      </c>
      <c r="N367" s="113" t="s">
        <v>733</v>
      </c>
      <c r="O367" s="114" t="s">
        <v>292</v>
      </c>
      <c r="P367" s="127">
        <v>45992</v>
      </c>
      <c r="Q367" s="113" t="s">
        <v>293</v>
      </c>
      <c r="R367" s="113" t="s">
        <v>733</v>
      </c>
      <c r="S367" s="113" t="s">
        <v>293</v>
      </c>
      <c r="T367" s="113" t="s">
        <v>733</v>
      </c>
      <c r="U367" s="113" t="s">
        <v>733</v>
      </c>
      <c r="V367" s="113" t="s">
        <v>827</v>
      </c>
      <c r="W367" s="113" t="s">
        <v>929</v>
      </c>
      <c r="X367" s="3"/>
      <c r="Y367" s="3">
        <v>1</v>
      </c>
    </row>
    <row r="368" spans="3:25">
      <c r="C368" s="63" t="s">
        <v>31</v>
      </c>
      <c r="D368" s="63" t="s">
        <v>31</v>
      </c>
      <c r="E368" s="110" t="s">
        <v>844</v>
      </c>
      <c r="F368" s="111">
        <v>2672573314</v>
      </c>
      <c r="G368" s="63" t="s">
        <v>165</v>
      </c>
      <c r="H368" s="112">
        <v>30446361</v>
      </c>
      <c r="I368" s="116" t="s">
        <v>725</v>
      </c>
      <c r="J368" s="113" t="s">
        <v>53</v>
      </c>
      <c r="K368" s="109" t="s">
        <v>839</v>
      </c>
      <c r="L368" s="109" t="s">
        <v>891</v>
      </c>
      <c r="M368" s="114" t="s">
        <v>292</v>
      </c>
      <c r="N368" s="115">
        <v>45748</v>
      </c>
      <c r="O368" s="114" t="s">
        <v>292</v>
      </c>
      <c r="P368" s="127">
        <v>45992</v>
      </c>
      <c r="Q368" s="113" t="s">
        <v>293</v>
      </c>
      <c r="R368" s="113" t="s">
        <v>733</v>
      </c>
      <c r="S368" s="113" t="s">
        <v>293</v>
      </c>
      <c r="T368" s="113" t="s">
        <v>733</v>
      </c>
      <c r="U368" s="113" t="s">
        <v>733</v>
      </c>
      <c r="V368" s="113" t="s">
        <v>827</v>
      </c>
      <c r="W368" s="113" t="s">
        <v>929</v>
      </c>
      <c r="X368" s="3"/>
      <c r="Y368" s="3">
        <v>1</v>
      </c>
    </row>
    <row r="369" spans="3:25">
      <c r="C369" s="63" t="s">
        <v>31</v>
      </c>
      <c r="D369" s="63" t="s">
        <v>31</v>
      </c>
      <c r="E369" s="110" t="s">
        <v>844</v>
      </c>
      <c r="F369" s="111">
        <v>2672573314</v>
      </c>
      <c r="G369" s="63" t="s">
        <v>179</v>
      </c>
      <c r="H369" s="112">
        <v>29703391</v>
      </c>
      <c r="I369" s="116" t="s">
        <v>725</v>
      </c>
      <c r="J369" s="113" t="s">
        <v>56</v>
      </c>
      <c r="K369" s="109" t="s">
        <v>839</v>
      </c>
      <c r="L369" s="109" t="s">
        <v>891</v>
      </c>
      <c r="M369" s="114" t="s">
        <v>868</v>
      </c>
      <c r="N369" s="113" t="s">
        <v>733</v>
      </c>
      <c r="O369" s="114" t="s">
        <v>292</v>
      </c>
      <c r="P369" s="127">
        <v>45992</v>
      </c>
      <c r="Q369" s="113" t="s">
        <v>293</v>
      </c>
      <c r="R369" s="113" t="s">
        <v>733</v>
      </c>
      <c r="S369" s="113" t="s">
        <v>293</v>
      </c>
      <c r="T369" s="113" t="s">
        <v>733</v>
      </c>
      <c r="U369" s="113" t="s">
        <v>733</v>
      </c>
      <c r="V369" s="113" t="s">
        <v>827</v>
      </c>
      <c r="W369" s="113" t="s">
        <v>929</v>
      </c>
      <c r="X369" s="3"/>
      <c r="Y369" s="3">
        <v>1</v>
      </c>
    </row>
    <row r="370" spans="3:25">
      <c r="C370" s="63" t="s">
        <v>31</v>
      </c>
      <c r="D370" s="63" t="s">
        <v>31</v>
      </c>
      <c r="E370" s="110" t="s">
        <v>844</v>
      </c>
      <c r="F370" s="111">
        <v>2672573314</v>
      </c>
      <c r="G370" s="63" t="s">
        <v>491</v>
      </c>
      <c r="H370" s="112">
        <v>14825900</v>
      </c>
      <c r="I370" s="116" t="s">
        <v>725</v>
      </c>
      <c r="J370" s="113" t="s">
        <v>56</v>
      </c>
      <c r="K370" s="109" t="s">
        <v>839</v>
      </c>
      <c r="L370" s="109" t="s">
        <v>891</v>
      </c>
      <c r="M370" s="114" t="s">
        <v>292</v>
      </c>
      <c r="N370" s="115">
        <v>45748</v>
      </c>
      <c r="O370" s="114" t="s">
        <v>292</v>
      </c>
      <c r="P370" s="127">
        <v>45992</v>
      </c>
      <c r="Q370" s="113" t="s">
        <v>293</v>
      </c>
      <c r="R370" s="113" t="s">
        <v>733</v>
      </c>
      <c r="S370" s="113" t="s">
        <v>293</v>
      </c>
      <c r="T370" s="113" t="s">
        <v>733</v>
      </c>
      <c r="U370" s="113" t="s">
        <v>733</v>
      </c>
      <c r="V370" s="113" t="s">
        <v>827</v>
      </c>
      <c r="W370" s="113" t="s">
        <v>929</v>
      </c>
      <c r="X370" s="3"/>
      <c r="Y370" s="3">
        <v>1</v>
      </c>
    </row>
    <row r="371" spans="3:25">
      <c r="C371" s="63" t="s">
        <v>31</v>
      </c>
      <c r="D371" s="63" t="s">
        <v>31</v>
      </c>
      <c r="E371" s="110" t="s">
        <v>844</v>
      </c>
      <c r="F371" s="111">
        <v>2672573314</v>
      </c>
      <c r="G371" s="63" t="s">
        <v>182</v>
      </c>
      <c r="H371" s="112">
        <v>27554969</v>
      </c>
      <c r="I371" s="109" t="s">
        <v>730</v>
      </c>
      <c r="J371" s="113" t="s">
        <v>389</v>
      </c>
      <c r="K371" s="109" t="s">
        <v>839</v>
      </c>
      <c r="L371" s="109" t="s">
        <v>891</v>
      </c>
      <c r="M371" s="114" t="s">
        <v>868</v>
      </c>
      <c r="N371" s="113" t="s">
        <v>733</v>
      </c>
      <c r="O371" s="114" t="s">
        <v>292</v>
      </c>
      <c r="P371" s="127">
        <v>45992</v>
      </c>
      <c r="Q371" s="113" t="s">
        <v>293</v>
      </c>
      <c r="R371" s="113" t="s">
        <v>733</v>
      </c>
      <c r="S371" s="113" t="s">
        <v>293</v>
      </c>
      <c r="T371" s="113" t="s">
        <v>733</v>
      </c>
      <c r="U371" s="113" t="s">
        <v>733</v>
      </c>
      <c r="V371" s="113" t="s">
        <v>827</v>
      </c>
      <c r="W371" s="113" t="s">
        <v>929</v>
      </c>
      <c r="X371" s="3"/>
      <c r="Y371" s="3">
        <v>1</v>
      </c>
    </row>
    <row r="372" spans="3:25">
      <c r="C372" s="63" t="s">
        <v>31</v>
      </c>
      <c r="D372" s="63" t="s">
        <v>31</v>
      </c>
      <c r="E372" s="110" t="s">
        <v>844</v>
      </c>
      <c r="F372" s="111">
        <v>2672573314</v>
      </c>
      <c r="G372" s="63" t="s">
        <v>588</v>
      </c>
      <c r="H372" s="112">
        <v>15964859</v>
      </c>
      <c r="I372" s="109" t="s">
        <v>730</v>
      </c>
      <c r="J372" s="113" t="s">
        <v>56</v>
      </c>
      <c r="K372" s="109" t="s">
        <v>839</v>
      </c>
      <c r="L372" s="109" t="s">
        <v>891</v>
      </c>
      <c r="M372" s="114" t="s">
        <v>868</v>
      </c>
      <c r="N372" s="113" t="s">
        <v>733</v>
      </c>
      <c r="O372" s="114" t="s">
        <v>292</v>
      </c>
      <c r="P372" s="127">
        <v>45992</v>
      </c>
      <c r="Q372" s="113" t="s">
        <v>293</v>
      </c>
      <c r="R372" s="113" t="s">
        <v>733</v>
      </c>
      <c r="S372" s="113" t="s">
        <v>293</v>
      </c>
      <c r="T372" s="113" t="s">
        <v>733</v>
      </c>
      <c r="U372" s="113" t="s">
        <v>733</v>
      </c>
      <c r="V372" s="113" t="s">
        <v>827</v>
      </c>
      <c r="W372" s="113" t="s">
        <v>929</v>
      </c>
      <c r="X372" s="3"/>
      <c r="Y372" s="3">
        <v>1</v>
      </c>
    </row>
    <row r="373" spans="3:25">
      <c r="C373" s="63" t="s">
        <v>31</v>
      </c>
      <c r="D373" s="63" t="s">
        <v>31</v>
      </c>
      <c r="E373" s="110" t="s">
        <v>844</v>
      </c>
      <c r="F373" s="111">
        <v>2672573314</v>
      </c>
      <c r="G373" s="63" t="s">
        <v>176</v>
      </c>
      <c r="H373" s="112">
        <v>10843697</v>
      </c>
      <c r="I373" s="109" t="s">
        <v>730</v>
      </c>
      <c r="J373" s="113" t="s">
        <v>56</v>
      </c>
      <c r="K373" s="109" t="s">
        <v>839</v>
      </c>
      <c r="L373" s="109" t="s">
        <v>891</v>
      </c>
      <c r="M373" s="114" t="s">
        <v>868</v>
      </c>
      <c r="N373" s="113" t="s">
        <v>733</v>
      </c>
      <c r="O373" s="114" t="s">
        <v>292</v>
      </c>
      <c r="P373" s="73">
        <v>45992</v>
      </c>
      <c r="Q373" s="113" t="s">
        <v>293</v>
      </c>
      <c r="R373" s="113" t="s">
        <v>733</v>
      </c>
      <c r="S373" s="113" t="s">
        <v>293</v>
      </c>
      <c r="T373" s="113" t="s">
        <v>733</v>
      </c>
      <c r="U373" s="113" t="s">
        <v>733</v>
      </c>
      <c r="V373" s="113" t="s">
        <v>827</v>
      </c>
      <c r="W373" s="113" t="s">
        <v>929</v>
      </c>
      <c r="X373" s="3"/>
      <c r="Y373" s="3">
        <v>1</v>
      </c>
    </row>
    <row r="374" spans="3:25">
      <c r="C374" s="63" t="s">
        <v>31</v>
      </c>
      <c r="D374" s="63" t="s">
        <v>31</v>
      </c>
      <c r="E374" s="110" t="s">
        <v>844</v>
      </c>
      <c r="F374" s="111">
        <v>2672573314</v>
      </c>
      <c r="G374" s="63" t="s">
        <v>169</v>
      </c>
      <c r="H374" s="112">
        <v>30146362</v>
      </c>
      <c r="I374" s="116" t="s">
        <v>725</v>
      </c>
      <c r="J374" s="113" t="s">
        <v>56</v>
      </c>
      <c r="K374" s="109" t="s">
        <v>839</v>
      </c>
      <c r="L374" s="109" t="s">
        <v>891</v>
      </c>
      <c r="M374" s="114" t="s">
        <v>868</v>
      </c>
      <c r="N374" s="113" t="s">
        <v>733</v>
      </c>
      <c r="O374" s="114" t="s">
        <v>292</v>
      </c>
      <c r="P374" s="73">
        <v>45992</v>
      </c>
      <c r="Q374" s="113" t="s">
        <v>293</v>
      </c>
      <c r="R374" s="113" t="s">
        <v>733</v>
      </c>
      <c r="S374" s="113" t="s">
        <v>293</v>
      </c>
      <c r="T374" s="113" t="s">
        <v>733</v>
      </c>
      <c r="U374" s="113" t="s">
        <v>733</v>
      </c>
      <c r="V374" s="113" t="s">
        <v>827</v>
      </c>
      <c r="W374" s="113" t="s">
        <v>929</v>
      </c>
      <c r="X374" s="3"/>
      <c r="Y374" s="3">
        <v>1</v>
      </c>
    </row>
    <row r="375" spans="3:25">
      <c r="C375" s="63" t="s">
        <v>31</v>
      </c>
      <c r="D375" s="63" t="s">
        <v>31</v>
      </c>
      <c r="E375" s="110" t="s">
        <v>844</v>
      </c>
      <c r="F375" s="111">
        <v>2672573314</v>
      </c>
      <c r="G375" s="63" t="s">
        <v>586</v>
      </c>
      <c r="H375" s="53">
        <v>22333451</v>
      </c>
      <c r="I375" s="118" t="s">
        <v>410</v>
      </c>
      <c r="J375" s="113" t="s">
        <v>727</v>
      </c>
      <c r="K375" s="109" t="s">
        <v>839</v>
      </c>
      <c r="L375" s="109" t="s">
        <v>891</v>
      </c>
      <c r="M375" s="114" t="s">
        <v>868</v>
      </c>
      <c r="N375" s="113" t="s">
        <v>733</v>
      </c>
      <c r="O375" s="114" t="s">
        <v>292</v>
      </c>
      <c r="P375" s="73">
        <v>45992</v>
      </c>
      <c r="Q375" s="113" t="s">
        <v>293</v>
      </c>
      <c r="R375" s="113" t="s">
        <v>733</v>
      </c>
      <c r="S375" s="113" t="s">
        <v>293</v>
      </c>
      <c r="T375" s="113" t="s">
        <v>733</v>
      </c>
      <c r="U375" s="113" t="s">
        <v>733</v>
      </c>
      <c r="V375" s="113" t="s">
        <v>827</v>
      </c>
      <c r="W375" s="113" t="s">
        <v>929</v>
      </c>
      <c r="X375" s="3"/>
      <c r="Y375" s="3">
        <v>1</v>
      </c>
    </row>
    <row r="376" spans="3:25" s="70" customFormat="1">
      <c r="C376" s="63" t="s">
        <v>31</v>
      </c>
      <c r="D376" s="63" t="s">
        <v>31</v>
      </c>
      <c r="E376" s="110" t="s">
        <v>844</v>
      </c>
      <c r="F376" s="111">
        <v>2672573314</v>
      </c>
      <c r="G376" s="63" t="s">
        <v>788</v>
      </c>
      <c r="H376" s="53">
        <v>20924368</v>
      </c>
      <c r="I376" s="116" t="s">
        <v>729</v>
      </c>
      <c r="J376" s="113" t="s">
        <v>55</v>
      </c>
      <c r="K376" s="109" t="s">
        <v>839</v>
      </c>
      <c r="L376" s="109" t="s">
        <v>891</v>
      </c>
      <c r="M376" s="114" t="s">
        <v>868</v>
      </c>
      <c r="N376" s="113" t="s">
        <v>733</v>
      </c>
      <c r="O376" s="114" t="s">
        <v>293</v>
      </c>
      <c r="P376" s="68" t="s">
        <v>733</v>
      </c>
      <c r="Q376" s="113" t="s">
        <v>293</v>
      </c>
      <c r="R376" s="113" t="s">
        <v>733</v>
      </c>
      <c r="S376" s="113" t="s">
        <v>293</v>
      </c>
      <c r="T376" s="113" t="s">
        <v>733</v>
      </c>
      <c r="U376" s="113" t="s">
        <v>733</v>
      </c>
      <c r="V376" s="113" t="s">
        <v>827</v>
      </c>
      <c r="W376" s="113" t="s">
        <v>929</v>
      </c>
      <c r="X376" s="68"/>
      <c r="Y376" s="3">
        <v>1</v>
      </c>
    </row>
    <row r="377" spans="3:25" s="70" customFormat="1">
      <c r="C377" s="63" t="s">
        <v>31</v>
      </c>
      <c r="D377" s="63" t="s">
        <v>31</v>
      </c>
      <c r="E377" s="110" t="s">
        <v>844</v>
      </c>
      <c r="F377" s="111">
        <v>2672573314</v>
      </c>
      <c r="G377" s="63" t="s">
        <v>734</v>
      </c>
      <c r="H377" s="112">
        <v>25563223</v>
      </c>
      <c r="I377" s="116" t="s">
        <v>729</v>
      </c>
      <c r="J377" s="113" t="s">
        <v>53</v>
      </c>
      <c r="K377" s="109" t="s">
        <v>839</v>
      </c>
      <c r="L377" s="109" t="s">
        <v>891</v>
      </c>
      <c r="M377" s="114" t="s">
        <v>868</v>
      </c>
      <c r="N377" s="113" t="s">
        <v>733</v>
      </c>
      <c r="O377" s="114" t="s">
        <v>292</v>
      </c>
      <c r="P377" s="73">
        <v>45992</v>
      </c>
      <c r="Q377" s="113" t="s">
        <v>293</v>
      </c>
      <c r="R377" s="113" t="s">
        <v>733</v>
      </c>
      <c r="S377" s="113" t="s">
        <v>293</v>
      </c>
      <c r="T377" s="113" t="s">
        <v>733</v>
      </c>
      <c r="U377" s="113" t="s">
        <v>733</v>
      </c>
      <c r="V377" s="113" t="s">
        <v>827</v>
      </c>
      <c r="W377" s="113" t="s">
        <v>929</v>
      </c>
      <c r="X377" s="3"/>
      <c r="Y377" s="3">
        <v>1</v>
      </c>
    </row>
    <row r="378" spans="3:25" s="70" customFormat="1">
      <c r="C378" s="63" t="s">
        <v>31</v>
      </c>
      <c r="D378" s="63" t="s">
        <v>31</v>
      </c>
      <c r="E378" s="110" t="s">
        <v>844</v>
      </c>
      <c r="F378" s="111">
        <v>2672573314</v>
      </c>
      <c r="G378" s="63" t="s">
        <v>724</v>
      </c>
      <c r="H378" s="112">
        <v>20926533</v>
      </c>
      <c r="I378" s="116" t="s">
        <v>729</v>
      </c>
      <c r="J378" s="113" t="s">
        <v>56</v>
      </c>
      <c r="K378" s="109" t="s">
        <v>839</v>
      </c>
      <c r="L378" s="109" t="s">
        <v>891</v>
      </c>
      <c r="M378" s="114" t="s">
        <v>868</v>
      </c>
      <c r="N378" s="113" t="s">
        <v>733</v>
      </c>
      <c r="O378" s="114" t="s">
        <v>292</v>
      </c>
      <c r="P378" s="127">
        <v>45992</v>
      </c>
      <c r="Q378" s="113" t="s">
        <v>293</v>
      </c>
      <c r="R378" s="113" t="s">
        <v>733</v>
      </c>
      <c r="S378" s="113" t="s">
        <v>293</v>
      </c>
      <c r="T378" s="113" t="s">
        <v>733</v>
      </c>
      <c r="U378" s="113" t="s">
        <v>733</v>
      </c>
      <c r="V378" s="113" t="s">
        <v>827</v>
      </c>
      <c r="W378" s="113" t="s">
        <v>929</v>
      </c>
      <c r="X378" s="3"/>
      <c r="Y378" s="3">
        <v>1</v>
      </c>
    </row>
    <row r="379" spans="3:25">
      <c r="C379" s="63" t="s">
        <v>31</v>
      </c>
      <c r="D379" s="63" t="s">
        <v>31</v>
      </c>
      <c r="E379" s="110" t="s">
        <v>844</v>
      </c>
      <c r="F379" s="111">
        <v>2672573314</v>
      </c>
      <c r="G379" s="63" t="s">
        <v>587</v>
      </c>
      <c r="H379" s="112">
        <v>16386133</v>
      </c>
      <c r="I379" s="116" t="s">
        <v>725</v>
      </c>
      <c r="J379" s="113" t="s">
        <v>56</v>
      </c>
      <c r="K379" s="109" t="s">
        <v>839</v>
      </c>
      <c r="L379" s="109" t="s">
        <v>891</v>
      </c>
      <c r="M379" s="114" t="s">
        <v>868</v>
      </c>
      <c r="N379" s="113" t="s">
        <v>733</v>
      </c>
      <c r="O379" s="114" t="s">
        <v>292</v>
      </c>
      <c r="P379" s="73">
        <v>45992</v>
      </c>
      <c r="Q379" s="113" t="s">
        <v>293</v>
      </c>
      <c r="R379" s="113" t="s">
        <v>733</v>
      </c>
      <c r="S379" s="113" t="s">
        <v>293</v>
      </c>
      <c r="T379" s="113" t="s">
        <v>733</v>
      </c>
      <c r="U379" s="113" t="s">
        <v>733</v>
      </c>
      <c r="V379" s="113" t="s">
        <v>827</v>
      </c>
      <c r="W379" s="113" t="s">
        <v>929</v>
      </c>
      <c r="X379" s="3"/>
      <c r="Y379" s="3">
        <v>1</v>
      </c>
    </row>
    <row r="380" spans="3:25">
      <c r="C380" s="63" t="s">
        <v>31</v>
      </c>
      <c r="D380" s="63" t="s">
        <v>31</v>
      </c>
      <c r="E380" s="110" t="s">
        <v>844</v>
      </c>
      <c r="F380" s="111">
        <v>2672573314</v>
      </c>
      <c r="G380" s="63" t="s">
        <v>163</v>
      </c>
      <c r="H380" s="112">
        <v>15730122</v>
      </c>
      <c r="I380" s="116" t="s">
        <v>730</v>
      </c>
      <c r="J380" s="109" t="s">
        <v>763</v>
      </c>
      <c r="K380" s="109" t="s">
        <v>839</v>
      </c>
      <c r="L380" s="109" t="s">
        <v>891</v>
      </c>
      <c r="M380" s="114" t="s">
        <v>868</v>
      </c>
      <c r="N380" s="113" t="s">
        <v>733</v>
      </c>
      <c r="O380" s="114" t="s">
        <v>868</v>
      </c>
      <c r="P380" s="68" t="s">
        <v>733</v>
      </c>
      <c r="Q380" s="113" t="s">
        <v>292</v>
      </c>
      <c r="R380" s="115">
        <v>46082</v>
      </c>
      <c r="S380" s="113" t="s">
        <v>293</v>
      </c>
      <c r="T380" s="113" t="s">
        <v>733</v>
      </c>
      <c r="U380" s="113" t="s">
        <v>733</v>
      </c>
      <c r="V380" s="113" t="s">
        <v>827</v>
      </c>
      <c r="W380" s="113" t="s">
        <v>929</v>
      </c>
      <c r="X380" s="68"/>
      <c r="Y380" s="3">
        <v>1</v>
      </c>
    </row>
    <row r="381" spans="3:25">
      <c r="C381" s="63" t="s">
        <v>31</v>
      </c>
      <c r="D381" s="63" t="s">
        <v>31</v>
      </c>
      <c r="E381" s="110" t="s">
        <v>844</v>
      </c>
      <c r="F381" s="111">
        <v>2672573314</v>
      </c>
      <c r="G381" s="63" t="s">
        <v>170</v>
      </c>
      <c r="H381" s="112">
        <v>27142424</v>
      </c>
      <c r="I381" s="116" t="s">
        <v>725</v>
      </c>
      <c r="J381" s="113" t="s">
        <v>56</v>
      </c>
      <c r="K381" s="109" t="s">
        <v>839</v>
      </c>
      <c r="L381" s="109" t="s">
        <v>891</v>
      </c>
      <c r="M381" s="114" t="s">
        <v>868</v>
      </c>
      <c r="N381" s="113" t="s">
        <v>733</v>
      </c>
      <c r="O381" s="114" t="s">
        <v>292</v>
      </c>
      <c r="P381" s="127">
        <v>45992</v>
      </c>
      <c r="Q381" s="113" t="s">
        <v>293</v>
      </c>
      <c r="R381" s="113" t="s">
        <v>733</v>
      </c>
      <c r="S381" s="113" t="s">
        <v>293</v>
      </c>
      <c r="T381" s="113" t="s">
        <v>733</v>
      </c>
      <c r="U381" s="113" t="s">
        <v>733</v>
      </c>
      <c r="V381" s="113" t="s">
        <v>827</v>
      </c>
      <c r="W381" s="113" t="s">
        <v>929</v>
      </c>
      <c r="X381" s="3"/>
      <c r="Y381" s="3">
        <v>1</v>
      </c>
    </row>
    <row r="382" spans="3:25">
      <c r="C382" s="63" t="s">
        <v>31</v>
      </c>
      <c r="D382" s="63" t="s">
        <v>31</v>
      </c>
      <c r="E382" s="110" t="s">
        <v>844</v>
      </c>
      <c r="F382" s="111">
        <v>2672573314</v>
      </c>
      <c r="G382" s="63" t="s">
        <v>776</v>
      </c>
      <c r="H382" s="53">
        <v>16003925</v>
      </c>
      <c r="I382" s="116" t="s">
        <v>729</v>
      </c>
      <c r="J382" s="113" t="s">
        <v>55</v>
      </c>
      <c r="K382" s="109" t="s">
        <v>839</v>
      </c>
      <c r="L382" s="109" t="s">
        <v>891</v>
      </c>
      <c r="M382" s="114" t="s">
        <v>868</v>
      </c>
      <c r="N382" s="113" t="s">
        <v>733</v>
      </c>
      <c r="O382" s="114" t="s">
        <v>293</v>
      </c>
      <c r="P382" s="68" t="s">
        <v>733</v>
      </c>
      <c r="Q382" s="113" t="s">
        <v>293</v>
      </c>
      <c r="R382" s="113" t="s">
        <v>733</v>
      </c>
      <c r="S382" s="113" t="s">
        <v>293</v>
      </c>
      <c r="T382" s="113" t="s">
        <v>733</v>
      </c>
      <c r="U382" s="113" t="s">
        <v>733</v>
      </c>
      <c r="V382" s="113" t="s">
        <v>827</v>
      </c>
      <c r="W382" s="113" t="s">
        <v>929</v>
      </c>
      <c r="X382" s="68"/>
      <c r="Y382" s="3">
        <v>1</v>
      </c>
    </row>
    <row r="383" spans="3:25">
      <c r="C383" s="63" t="s">
        <v>645</v>
      </c>
      <c r="D383" s="63" t="s">
        <v>645</v>
      </c>
      <c r="E383" s="110" t="s">
        <v>844</v>
      </c>
      <c r="F383" s="111">
        <v>2672573314</v>
      </c>
      <c r="G383" s="63" t="s">
        <v>646</v>
      </c>
      <c r="H383" s="112">
        <v>18599101</v>
      </c>
      <c r="I383" s="116" t="s">
        <v>410</v>
      </c>
      <c r="J383" s="113" t="s">
        <v>56</v>
      </c>
      <c r="K383" s="109" t="s">
        <v>883</v>
      </c>
      <c r="L383" s="109" t="s">
        <v>884</v>
      </c>
      <c r="M383" s="114" t="s">
        <v>868</v>
      </c>
      <c r="N383" s="113" t="s">
        <v>733</v>
      </c>
      <c r="O383" s="114" t="s">
        <v>292</v>
      </c>
      <c r="P383" s="73">
        <v>45962</v>
      </c>
      <c r="Q383" s="113" t="s">
        <v>293</v>
      </c>
      <c r="R383" s="113" t="s">
        <v>733</v>
      </c>
      <c r="S383" s="113" t="s">
        <v>293</v>
      </c>
      <c r="T383" s="113" t="s">
        <v>733</v>
      </c>
      <c r="U383" s="113" t="s">
        <v>733</v>
      </c>
      <c r="V383" s="113" t="s">
        <v>827</v>
      </c>
      <c r="W383" s="113" t="s">
        <v>929</v>
      </c>
      <c r="X383" s="3"/>
      <c r="Y383" s="3">
        <v>1</v>
      </c>
    </row>
    <row r="384" spans="3:25">
      <c r="C384" s="63" t="s">
        <v>645</v>
      </c>
      <c r="D384" s="63" t="s">
        <v>645</v>
      </c>
      <c r="E384" s="110" t="s">
        <v>844</v>
      </c>
      <c r="F384" s="111">
        <v>2672573314</v>
      </c>
      <c r="G384" s="63" t="s">
        <v>647</v>
      </c>
      <c r="H384" s="112">
        <v>26089438</v>
      </c>
      <c r="I384" s="109" t="s">
        <v>730</v>
      </c>
      <c r="J384" s="113" t="s">
        <v>56</v>
      </c>
      <c r="K384" s="109" t="s">
        <v>905</v>
      </c>
      <c r="L384" s="109" t="s">
        <v>906</v>
      </c>
      <c r="M384" s="114" t="s">
        <v>868</v>
      </c>
      <c r="N384" s="113" t="s">
        <v>733</v>
      </c>
      <c r="O384" s="114" t="s">
        <v>292</v>
      </c>
      <c r="P384" s="73">
        <v>45962</v>
      </c>
      <c r="Q384" s="113" t="s">
        <v>293</v>
      </c>
      <c r="R384" s="113" t="s">
        <v>733</v>
      </c>
      <c r="S384" s="113" t="s">
        <v>293</v>
      </c>
      <c r="T384" s="113" t="s">
        <v>733</v>
      </c>
      <c r="U384" s="113" t="s">
        <v>733</v>
      </c>
      <c r="V384" s="113" t="s">
        <v>827</v>
      </c>
      <c r="W384" s="113" t="s">
        <v>929</v>
      </c>
      <c r="X384" s="3"/>
      <c r="Y384" s="3">
        <v>1</v>
      </c>
    </row>
    <row r="385" spans="3:25">
      <c r="C385" s="63" t="s">
        <v>645</v>
      </c>
      <c r="D385" s="63" t="s">
        <v>645</v>
      </c>
      <c r="E385" s="110" t="s">
        <v>844</v>
      </c>
      <c r="F385" s="111">
        <v>2672573314</v>
      </c>
      <c r="G385" s="63" t="s">
        <v>648</v>
      </c>
      <c r="H385" s="112">
        <v>30264717</v>
      </c>
      <c r="I385" s="116" t="s">
        <v>725</v>
      </c>
      <c r="J385" s="113" t="s">
        <v>56</v>
      </c>
      <c r="K385" s="109" t="s">
        <v>905</v>
      </c>
      <c r="L385" s="109" t="s">
        <v>906</v>
      </c>
      <c r="M385" s="114" t="s">
        <v>868</v>
      </c>
      <c r="N385" s="113" t="s">
        <v>733</v>
      </c>
      <c r="O385" s="114" t="s">
        <v>292</v>
      </c>
      <c r="P385" s="73">
        <v>45962</v>
      </c>
      <c r="Q385" s="113" t="s">
        <v>293</v>
      </c>
      <c r="R385" s="113" t="s">
        <v>733</v>
      </c>
      <c r="S385" s="113" t="s">
        <v>293</v>
      </c>
      <c r="T385" s="113" t="s">
        <v>733</v>
      </c>
      <c r="U385" s="113" t="s">
        <v>733</v>
      </c>
      <c r="V385" s="113" t="s">
        <v>827</v>
      </c>
      <c r="W385" s="113" t="s">
        <v>929</v>
      </c>
      <c r="X385" s="3"/>
      <c r="Y385" s="3">
        <v>1</v>
      </c>
    </row>
    <row r="386" spans="3:25">
      <c r="C386" s="63" t="s">
        <v>261</v>
      </c>
      <c r="D386" s="63" t="s">
        <v>261</v>
      </c>
      <c r="E386" s="110" t="s">
        <v>844</v>
      </c>
      <c r="F386" s="111">
        <v>2672573314</v>
      </c>
      <c r="G386" s="63" t="s">
        <v>490</v>
      </c>
      <c r="H386" s="53">
        <v>18926859</v>
      </c>
      <c r="I386" s="109" t="s">
        <v>730</v>
      </c>
      <c r="J386" s="113" t="s">
        <v>56</v>
      </c>
      <c r="K386" s="109" t="s">
        <v>907</v>
      </c>
      <c r="L386" s="109" t="s">
        <v>908</v>
      </c>
      <c r="M386" s="114" t="s">
        <v>868</v>
      </c>
      <c r="N386" s="113" t="s">
        <v>733</v>
      </c>
      <c r="O386" s="114" t="s">
        <v>292</v>
      </c>
      <c r="P386" s="73">
        <v>45962</v>
      </c>
      <c r="Q386" s="113" t="s">
        <v>293</v>
      </c>
      <c r="R386" s="113" t="s">
        <v>733</v>
      </c>
      <c r="S386" s="113" t="s">
        <v>293</v>
      </c>
      <c r="T386" s="113" t="s">
        <v>733</v>
      </c>
      <c r="U386" s="113" t="s">
        <v>733</v>
      </c>
      <c r="V386" s="113" t="s">
        <v>827</v>
      </c>
      <c r="W386" s="113" t="s">
        <v>929</v>
      </c>
      <c r="X386" s="3"/>
      <c r="Y386" s="3">
        <v>1</v>
      </c>
    </row>
    <row r="387" spans="3:25">
      <c r="C387" s="63" t="s">
        <v>261</v>
      </c>
      <c r="D387" s="63" t="s">
        <v>261</v>
      </c>
      <c r="E387" s="110" t="s">
        <v>844</v>
      </c>
      <c r="F387" s="111">
        <v>2672573314</v>
      </c>
      <c r="G387" s="63" t="s">
        <v>489</v>
      </c>
      <c r="H387" s="53">
        <v>14993247</v>
      </c>
      <c r="I387" s="116" t="s">
        <v>725</v>
      </c>
      <c r="J387" s="113" t="s">
        <v>56</v>
      </c>
      <c r="K387" s="109" t="s">
        <v>907</v>
      </c>
      <c r="L387" s="109" t="s">
        <v>908</v>
      </c>
      <c r="M387" s="114" t="s">
        <v>868</v>
      </c>
      <c r="N387" s="113" t="s">
        <v>733</v>
      </c>
      <c r="O387" s="114" t="s">
        <v>292</v>
      </c>
      <c r="P387" s="73">
        <v>45962</v>
      </c>
      <c r="Q387" s="113" t="s">
        <v>293</v>
      </c>
      <c r="R387" s="113" t="s">
        <v>733</v>
      </c>
      <c r="S387" s="113" t="s">
        <v>293</v>
      </c>
      <c r="T387" s="113" t="s">
        <v>733</v>
      </c>
      <c r="U387" s="113" t="s">
        <v>733</v>
      </c>
      <c r="V387" s="113" t="s">
        <v>827</v>
      </c>
      <c r="W387" s="113" t="s">
        <v>929</v>
      </c>
      <c r="X387" s="3"/>
      <c r="Y387" s="3">
        <v>1</v>
      </c>
    </row>
    <row r="388" spans="3:25">
      <c r="C388" s="63" t="s">
        <v>261</v>
      </c>
      <c r="D388" s="63" t="s">
        <v>261</v>
      </c>
      <c r="E388" s="110" t="s">
        <v>844</v>
      </c>
      <c r="F388" s="111">
        <v>2672573314</v>
      </c>
      <c r="G388" s="63" t="s">
        <v>675</v>
      </c>
      <c r="H388" s="53">
        <v>22722734</v>
      </c>
      <c r="I388" s="116" t="s">
        <v>725</v>
      </c>
      <c r="J388" s="113" t="s">
        <v>56</v>
      </c>
      <c r="K388" s="109" t="s">
        <v>907</v>
      </c>
      <c r="L388" s="109" t="s">
        <v>908</v>
      </c>
      <c r="M388" s="114" t="s">
        <v>868</v>
      </c>
      <c r="N388" s="113" t="s">
        <v>733</v>
      </c>
      <c r="O388" s="114" t="s">
        <v>292</v>
      </c>
      <c r="P388" s="73">
        <v>45962</v>
      </c>
      <c r="Q388" s="113" t="s">
        <v>293</v>
      </c>
      <c r="R388" s="113" t="s">
        <v>733</v>
      </c>
      <c r="S388" s="113" t="s">
        <v>293</v>
      </c>
      <c r="T388" s="113" t="s">
        <v>733</v>
      </c>
      <c r="U388" s="113" t="s">
        <v>733</v>
      </c>
      <c r="V388" s="113" t="s">
        <v>827</v>
      </c>
      <c r="W388" s="113" t="s">
        <v>929</v>
      </c>
      <c r="X388" s="3"/>
      <c r="Y388" s="3">
        <v>1</v>
      </c>
    </row>
    <row r="389" spans="3:25">
      <c r="C389" s="63" t="s">
        <v>261</v>
      </c>
      <c r="D389" s="63" t="s">
        <v>261</v>
      </c>
      <c r="E389" s="110" t="s">
        <v>844</v>
      </c>
      <c r="F389" s="111">
        <v>2672573314</v>
      </c>
      <c r="G389" s="63" t="s">
        <v>577</v>
      </c>
      <c r="H389" s="53">
        <v>17754635</v>
      </c>
      <c r="I389" s="116" t="s">
        <v>725</v>
      </c>
      <c r="J389" s="113" t="s">
        <v>56</v>
      </c>
      <c r="K389" s="109" t="s">
        <v>907</v>
      </c>
      <c r="L389" s="109" t="s">
        <v>908</v>
      </c>
      <c r="M389" s="114" t="s">
        <v>868</v>
      </c>
      <c r="N389" s="113" t="s">
        <v>733</v>
      </c>
      <c r="O389" s="114" t="s">
        <v>293</v>
      </c>
      <c r="P389" s="68" t="s">
        <v>733</v>
      </c>
      <c r="Q389" s="113" t="s">
        <v>293</v>
      </c>
      <c r="R389" s="113" t="s">
        <v>733</v>
      </c>
      <c r="S389" s="113" t="s">
        <v>293</v>
      </c>
      <c r="T389" s="113" t="s">
        <v>733</v>
      </c>
      <c r="U389" s="113" t="s">
        <v>733</v>
      </c>
      <c r="V389" s="113" t="s">
        <v>827</v>
      </c>
      <c r="W389" s="113" t="s">
        <v>929</v>
      </c>
      <c r="X389" s="3"/>
      <c r="Y389" s="3">
        <v>1</v>
      </c>
    </row>
    <row r="390" spans="3:25">
      <c r="C390" s="63" t="s">
        <v>261</v>
      </c>
      <c r="D390" s="63" t="s">
        <v>261</v>
      </c>
      <c r="E390" s="110" t="s">
        <v>844</v>
      </c>
      <c r="F390" s="111">
        <v>2672573314</v>
      </c>
      <c r="G390" s="63" t="s">
        <v>663</v>
      </c>
      <c r="H390" s="53">
        <v>14859200</v>
      </c>
      <c r="I390" s="109" t="s">
        <v>730</v>
      </c>
      <c r="J390" s="113" t="s">
        <v>56</v>
      </c>
      <c r="K390" s="109" t="s">
        <v>907</v>
      </c>
      <c r="L390" s="109" t="s">
        <v>908</v>
      </c>
      <c r="M390" s="114" t="s">
        <v>868</v>
      </c>
      <c r="N390" s="113" t="s">
        <v>733</v>
      </c>
      <c r="O390" s="114" t="s">
        <v>292</v>
      </c>
      <c r="P390" s="73">
        <v>45962</v>
      </c>
      <c r="Q390" s="113" t="s">
        <v>293</v>
      </c>
      <c r="R390" s="113" t="s">
        <v>733</v>
      </c>
      <c r="S390" s="113" t="s">
        <v>293</v>
      </c>
      <c r="T390" s="113" t="s">
        <v>733</v>
      </c>
      <c r="U390" s="113" t="s">
        <v>733</v>
      </c>
      <c r="V390" s="113" t="s">
        <v>827</v>
      </c>
      <c r="W390" s="113" t="s">
        <v>929</v>
      </c>
      <c r="X390" s="3"/>
      <c r="Y390" s="3">
        <v>1</v>
      </c>
    </row>
    <row r="391" spans="3:25">
      <c r="C391" s="63" t="s">
        <v>261</v>
      </c>
      <c r="D391" s="63" t="s">
        <v>261</v>
      </c>
      <c r="E391" s="110" t="s">
        <v>844</v>
      </c>
      <c r="F391" s="111">
        <v>2672573314</v>
      </c>
      <c r="G391" s="63" t="s">
        <v>664</v>
      </c>
      <c r="H391" s="53">
        <v>25265091</v>
      </c>
      <c r="I391" s="116" t="s">
        <v>725</v>
      </c>
      <c r="J391" s="113" t="s">
        <v>56</v>
      </c>
      <c r="K391" s="109" t="s">
        <v>907</v>
      </c>
      <c r="L391" s="109" t="s">
        <v>908</v>
      </c>
      <c r="M391" s="114" t="s">
        <v>868</v>
      </c>
      <c r="N391" s="113" t="s">
        <v>733</v>
      </c>
      <c r="O391" s="114" t="s">
        <v>292</v>
      </c>
      <c r="P391" s="73">
        <v>45962</v>
      </c>
      <c r="Q391" s="113" t="s">
        <v>293</v>
      </c>
      <c r="R391" s="113" t="s">
        <v>733</v>
      </c>
      <c r="S391" s="113" t="s">
        <v>293</v>
      </c>
      <c r="T391" s="113" t="s">
        <v>733</v>
      </c>
      <c r="U391" s="113" t="s">
        <v>733</v>
      </c>
      <c r="V391" s="113" t="s">
        <v>827</v>
      </c>
      <c r="W391" s="113" t="s">
        <v>929</v>
      </c>
      <c r="X391" s="3"/>
      <c r="Y391" s="3">
        <v>1</v>
      </c>
    </row>
    <row r="392" spans="3:25">
      <c r="C392" s="63" t="s">
        <v>261</v>
      </c>
      <c r="D392" s="63" t="s">
        <v>261</v>
      </c>
      <c r="E392" s="110" t="s">
        <v>844</v>
      </c>
      <c r="F392" s="111">
        <v>2672573314</v>
      </c>
      <c r="G392" s="63" t="s">
        <v>665</v>
      </c>
      <c r="H392" s="53">
        <v>17486584</v>
      </c>
      <c r="I392" s="116" t="s">
        <v>725</v>
      </c>
      <c r="J392" s="113" t="s">
        <v>56</v>
      </c>
      <c r="K392" s="109" t="s">
        <v>907</v>
      </c>
      <c r="L392" s="109" t="s">
        <v>908</v>
      </c>
      <c r="M392" s="114" t="s">
        <v>868</v>
      </c>
      <c r="N392" s="113" t="s">
        <v>733</v>
      </c>
      <c r="O392" s="114" t="s">
        <v>292</v>
      </c>
      <c r="P392" s="73">
        <v>45962</v>
      </c>
      <c r="Q392" s="113" t="s">
        <v>293</v>
      </c>
      <c r="R392" s="113" t="s">
        <v>733</v>
      </c>
      <c r="S392" s="113" t="s">
        <v>293</v>
      </c>
      <c r="T392" s="113" t="s">
        <v>733</v>
      </c>
      <c r="U392" s="113" t="s">
        <v>733</v>
      </c>
      <c r="V392" s="113" t="s">
        <v>827</v>
      </c>
      <c r="W392" s="113" t="s">
        <v>929</v>
      </c>
      <c r="X392" s="3"/>
      <c r="Y392" s="3">
        <v>1</v>
      </c>
    </row>
    <row r="393" spans="3:25">
      <c r="C393" s="63" t="s">
        <v>39</v>
      </c>
      <c r="D393" s="63" t="s">
        <v>39</v>
      </c>
      <c r="E393" s="110" t="s">
        <v>844</v>
      </c>
      <c r="F393" s="111">
        <v>2672573314</v>
      </c>
      <c r="G393" s="63" t="s">
        <v>407</v>
      </c>
      <c r="H393" s="119">
        <v>30008746</v>
      </c>
      <c r="I393" s="109" t="s">
        <v>730</v>
      </c>
      <c r="J393" s="113" t="s">
        <v>56</v>
      </c>
      <c r="K393" s="110" t="s">
        <v>854</v>
      </c>
      <c r="L393" s="110" t="s">
        <v>887</v>
      </c>
      <c r="M393" s="114" t="s">
        <v>868</v>
      </c>
      <c r="N393" s="113" t="s">
        <v>733</v>
      </c>
      <c r="O393" s="114" t="s">
        <v>292</v>
      </c>
      <c r="P393" s="73">
        <v>45962</v>
      </c>
      <c r="Q393" s="113" t="s">
        <v>293</v>
      </c>
      <c r="R393" s="113" t="s">
        <v>733</v>
      </c>
      <c r="S393" s="113" t="s">
        <v>293</v>
      </c>
      <c r="T393" s="113" t="s">
        <v>733</v>
      </c>
      <c r="U393" s="113" t="s">
        <v>827</v>
      </c>
      <c r="V393" s="113" t="s">
        <v>827</v>
      </c>
      <c r="W393" s="113" t="s">
        <v>929</v>
      </c>
      <c r="X393" s="3"/>
      <c r="Y393" s="3">
        <v>1</v>
      </c>
    </row>
    <row r="394" spans="3:25">
      <c r="C394" s="63" t="s">
        <v>39</v>
      </c>
      <c r="D394" s="63" t="s">
        <v>39</v>
      </c>
      <c r="E394" s="110" t="s">
        <v>844</v>
      </c>
      <c r="F394" s="111">
        <v>2672573314</v>
      </c>
      <c r="G394" s="63" t="s">
        <v>835</v>
      </c>
      <c r="H394" s="119">
        <v>28166432</v>
      </c>
      <c r="I394" s="116" t="s">
        <v>729</v>
      </c>
      <c r="J394" s="113" t="s">
        <v>55</v>
      </c>
      <c r="K394" s="110" t="s">
        <v>854</v>
      </c>
      <c r="L394" s="110" t="s">
        <v>887</v>
      </c>
      <c r="M394" s="114" t="s">
        <v>868</v>
      </c>
      <c r="N394" s="113" t="s">
        <v>733</v>
      </c>
      <c r="O394" s="114" t="s">
        <v>293</v>
      </c>
      <c r="P394" s="68" t="s">
        <v>733</v>
      </c>
      <c r="Q394" s="113" t="s">
        <v>293</v>
      </c>
      <c r="R394" s="113" t="s">
        <v>733</v>
      </c>
      <c r="S394" s="113" t="s">
        <v>293</v>
      </c>
      <c r="T394" s="113" t="s">
        <v>733</v>
      </c>
      <c r="U394" s="113" t="s">
        <v>827</v>
      </c>
      <c r="V394" s="113" t="s">
        <v>827</v>
      </c>
      <c r="W394" s="113" t="s">
        <v>929</v>
      </c>
      <c r="X394" s="3"/>
      <c r="Y394" s="3">
        <v>1</v>
      </c>
    </row>
    <row r="395" spans="3:25">
      <c r="C395" s="63" t="s">
        <v>39</v>
      </c>
      <c r="D395" s="63" t="s">
        <v>39</v>
      </c>
      <c r="E395" s="110" t="s">
        <v>844</v>
      </c>
      <c r="F395" s="111">
        <v>2672573314</v>
      </c>
      <c r="G395" s="63" t="s">
        <v>395</v>
      </c>
      <c r="H395" s="112">
        <v>28468116</v>
      </c>
      <c r="I395" s="116" t="s">
        <v>725</v>
      </c>
      <c r="J395" s="113" t="s">
        <v>56</v>
      </c>
      <c r="K395" s="110" t="s">
        <v>854</v>
      </c>
      <c r="L395" s="110" t="s">
        <v>887</v>
      </c>
      <c r="M395" s="114" t="s">
        <v>868</v>
      </c>
      <c r="N395" s="113" t="s">
        <v>733</v>
      </c>
      <c r="O395" s="114" t="s">
        <v>292</v>
      </c>
      <c r="P395" s="73">
        <v>45962</v>
      </c>
      <c r="Q395" s="113" t="s">
        <v>293</v>
      </c>
      <c r="R395" s="113" t="s">
        <v>733</v>
      </c>
      <c r="S395" s="113" t="s">
        <v>293</v>
      </c>
      <c r="T395" s="113" t="s">
        <v>733</v>
      </c>
      <c r="U395" s="113" t="s">
        <v>827</v>
      </c>
      <c r="V395" s="113" t="s">
        <v>827</v>
      </c>
      <c r="W395" s="113" t="s">
        <v>929</v>
      </c>
      <c r="X395" s="3"/>
      <c r="Y395" s="3">
        <v>1</v>
      </c>
    </row>
    <row r="396" spans="3:25">
      <c r="C396" s="63" t="s">
        <v>39</v>
      </c>
      <c r="D396" s="63" t="s">
        <v>39</v>
      </c>
      <c r="E396" s="110" t="s">
        <v>844</v>
      </c>
      <c r="F396" s="111">
        <v>2672573314</v>
      </c>
      <c r="G396" s="63" t="s">
        <v>408</v>
      </c>
      <c r="H396" s="119">
        <v>23182127</v>
      </c>
      <c r="I396" s="109" t="s">
        <v>730</v>
      </c>
      <c r="J396" s="113" t="s">
        <v>56</v>
      </c>
      <c r="K396" s="110" t="s">
        <v>854</v>
      </c>
      <c r="L396" s="110" t="s">
        <v>887</v>
      </c>
      <c r="M396" s="114" t="s">
        <v>868</v>
      </c>
      <c r="N396" s="113" t="s">
        <v>733</v>
      </c>
      <c r="O396" s="114" t="s">
        <v>292</v>
      </c>
      <c r="P396" s="73">
        <v>45962</v>
      </c>
      <c r="Q396" s="113" t="s">
        <v>293</v>
      </c>
      <c r="R396" s="113" t="s">
        <v>733</v>
      </c>
      <c r="S396" s="113" t="s">
        <v>293</v>
      </c>
      <c r="T396" s="113" t="s">
        <v>733</v>
      </c>
      <c r="U396" s="113" t="s">
        <v>827</v>
      </c>
      <c r="V396" s="113" t="s">
        <v>827</v>
      </c>
      <c r="W396" s="113" t="s">
        <v>929</v>
      </c>
      <c r="X396" s="3"/>
      <c r="Y396" s="3">
        <v>1</v>
      </c>
    </row>
    <row r="397" spans="3:25">
      <c r="C397" s="63" t="s">
        <v>39</v>
      </c>
      <c r="D397" s="63" t="s">
        <v>39</v>
      </c>
      <c r="E397" s="110" t="s">
        <v>844</v>
      </c>
      <c r="F397" s="111">
        <v>2672573314</v>
      </c>
      <c r="G397" s="63" t="s">
        <v>409</v>
      </c>
      <c r="H397" s="119">
        <v>27650985</v>
      </c>
      <c r="I397" s="109" t="s">
        <v>410</v>
      </c>
      <c r="J397" s="113" t="s">
        <v>56</v>
      </c>
      <c r="K397" s="110" t="s">
        <v>854</v>
      </c>
      <c r="L397" s="110" t="s">
        <v>887</v>
      </c>
      <c r="M397" s="114" t="s">
        <v>868</v>
      </c>
      <c r="N397" s="113" t="s">
        <v>733</v>
      </c>
      <c r="O397" s="114" t="s">
        <v>292</v>
      </c>
      <c r="P397" s="73">
        <v>45962</v>
      </c>
      <c r="Q397" s="113" t="s">
        <v>293</v>
      </c>
      <c r="R397" s="113" t="s">
        <v>733</v>
      </c>
      <c r="S397" s="113" t="s">
        <v>293</v>
      </c>
      <c r="T397" s="113" t="s">
        <v>733</v>
      </c>
      <c r="U397" s="113" t="s">
        <v>827</v>
      </c>
      <c r="V397" s="113" t="s">
        <v>827</v>
      </c>
      <c r="W397" s="113" t="s">
        <v>929</v>
      </c>
      <c r="X397" s="3"/>
      <c r="Y397" s="3">
        <v>1</v>
      </c>
    </row>
    <row r="398" spans="3:25">
      <c r="C398" s="63" t="s">
        <v>39</v>
      </c>
      <c r="D398" s="63" t="s">
        <v>39</v>
      </c>
      <c r="E398" s="110" t="s">
        <v>844</v>
      </c>
      <c r="F398" s="111">
        <v>2672573314</v>
      </c>
      <c r="G398" s="63" t="s">
        <v>800</v>
      </c>
      <c r="H398" s="112">
        <v>27899805</v>
      </c>
      <c r="I398" s="116" t="s">
        <v>729</v>
      </c>
      <c r="J398" s="113" t="s">
        <v>55</v>
      </c>
      <c r="K398" s="110" t="s">
        <v>854</v>
      </c>
      <c r="L398" s="110" t="s">
        <v>887</v>
      </c>
      <c r="M398" s="114" t="s">
        <v>868</v>
      </c>
      <c r="N398" s="113" t="s">
        <v>733</v>
      </c>
      <c r="O398" s="114" t="s">
        <v>293</v>
      </c>
      <c r="P398" s="68" t="s">
        <v>733</v>
      </c>
      <c r="Q398" s="113" t="s">
        <v>293</v>
      </c>
      <c r="R398" s="113" t="s">
        <v>733</v>
      </c>
      <c r="S398" s="113" t="s">
        <v>293</v>
      </c>
      <c r="T398" s="113" t="s">
        <v>733</v>
      </c>
      <c r="U398" s="113" t="s">
        <v>829</v>
      </c>
      <c r="V398" s="113" t="s">
        <v>827</v>
      </c>
      <c r="W398" s="113" t="s">
        <v>929</v>
      </c>
      <c r="X398" s="68"/>
      <c r="Y398" s="3">
        <v>1</v>
      </c>
    </row>
    <row r="399" spans="3:25">
      <c r="C399" s="63" t="s">
        <v>39</v>
      </c>
      <c r="D399" s="63" t="s">
        <v>39</v>
      </c>
      <c r="E399" s="110" t="s">
        <v>844</v>
      </c>
      <c r="F399" s="111">
        <v>2672573314</v>
      </c>
      <c r="G399" s="63" t="s">
        <v>726</v>
      </c>
      <c r="H399" s="53">
        <v>25097186</v>
      </c>
      <c r="I399" s="116" t="s">
        <v>706</v>
      </c>
      <c r="J399" s="113" t="s">
        <v>56</v>
      </c>
      <c r="K399" s="110" t="s">
        <v>854</v>
      </c>
      <c r="L399" s="110" t="s">
        <v>887</v>
      </c>
      <c r="M399" s="114" t="s">
        <v>868</v>
      </c>
      <c r="N399" s="113" t="s">
        <v>733</v>
      </c>
      <c r="O399" s="114" t="s">
        <v>292</v>
      </c>
      <c r="P399" s="73">
        <v>45962</v>
      </c>
      <c r="Q399" s="113" t="s">
        <v>293</v>
      </c>
      <c r="R399" s="113" t="s">
        <v>733</v>
      </c>
      <c r="S399" s="113" t="s">
        <v>293</v>
      </c>
      <c r="T399" s="113" t="s">
        <v>733</v>
      </c>
      <c r="U399" s="113" t="s">
        <v>827</v>
      </c>
      <c r="V399" s="113" t="s">
        <v>827</v>
      </c>
      <c r="W399" s="113" t="s">
        <v>929</v>
      </c>
      <c r="X399" s="3"/>
      <c r="Y399" s="3">
        <v>1</v>
      </c>
    </row>
    <row r="400" spans="3:25">
      <c r="C400" s="63" t="s">
        <v>39</v>
      </c>
      <c r="D400" s="63" t="s">
        <v>39</v>
      </c>
      <c r="E400" s="110" t="s">
        <v>844</v>
      </c>
      <c r="F400" s="111">
        <v>2672573314</v>
      </c>
      <c r="G400" s="63" t="s">
        <v>411</v>
      </c>
      <c r="H400" s="119">
        <v>16546352</v>
      </c>
      <c r="I400" s="109" t="s">
        <v>730</v>
      </c>
      <c r="J400" s="113" t="s">
        <v>55</v>
      </c>
      <c r="K400" s="110" t="s">
        <v>854</v>
      </c>
      <c r="L400" s="110" t="s">
        <v>887</v>
      </c>
      <c r="M400" s="114" t="s">
        <v>868</v>
      </c>
      <c r="N400" s="113" t="s">
        <v>733</v>
      </c>
      <c r="O400" s="114" t="s">
        <v>292</v>
      </c>
      <c r="P400" s="73">
        <v>45962</v>
      </c>
      <c r="Q400" s="113" t="s">
        <v>293</v>
      </c>
      <c r="R400" s="113" t="s">
        <v>733</v>
      </c>
      <c r="S400" s="113" t="s">
        <v>293</v>
      </c>
      <c r="T400" s="113" t="s">
        <v>733</v>
      </c>
      <c r="U400" s="113" t="s">
        <v>827</v>
      </c>
      <c r="V400" s="113" t="s">
        <v>827</v>
      </c>
      <c r="W400" s="113" t="s">
        <v>929</v>
      </c>
      <c r="X400" s="3"/>
      <c r="Y400" s="3">
        <v>1</v>
      </c>
    </row>
    <row r="401" spans="3:25">
      <c r="C401" s="63" t="s">
        <v>39</v>
      </c>
      <c r="D401" s="63" t="s">
        <v>39</v>
      </c>
      <c r="E401" s="110" t="s">
        <v>844</v>
      </c>
      <c r="F401" s="111">
        <v>2672573314</v>
      </c>
      <c r="G401" s="63" t="s">
        <v>393</v>
      </c>
      <c r="H401" s="112">
        <v>10877686</v>
      </c>
      <c r="I401" s="116" t="s">
        <v>725</v>
      </c>
      <c r="J401" s="113" t="s">
        <v>56</v>
      </c>
      <c r="K401" s="110" t="s">
        <v>854</v>
      </c>
      <c r="L401" s="110" t="s">
        <v>887</v>
      </c>
      <c r="M401" s="114" t="s">
        <v>868</v>
      </c>
      <c r="N401" s="113" t="s">
        <v>733</v>
      </c>
      <c r="O401" s="114" t="s">
        <v>292</v>
      </c>
      <c r="P401" s="73">
        <v>45962</v>
      </c>
      <c r="Q401" s="113" t="s">
        <v>293</v>
      </c>
      <c r="R401" s="113" t="s">
        <v>733</v>
      </c>
      <c r="S401" s="113" t="s">
        <v>293</v>
      </c>
      <c r="T401" s="113" t="s">
        <v>733</v>
      </c>
      <c r="U401" s="113" t="s">
        <v>827</v>
      </c>
      <c r="V401" s="113" t="s">
        <v>827</v>
      </c>
      <c r="W401" s="113" t="s">
        <v>929</v>
      </c>
      <c r="X401" s="3"/>
      <c r="Y401" s="3">
        <v>1</v>
      </c>
    </row>
    <row r="402" spans="3:25">
      <c r="C402" s="63" t="s">
        <v>39</v>
      </c>
      <c r="D402" s="63" t="s">
        <v>39</v>
      </c>
      <c r="E402" s="110" t="s">
        <v>844</v>
      </c>
      <c r="F402" s="111">
        <v>2672573314</v>
      </c>
      <c r="G402" s="63" t="s">
        <v>404</v>
      </c>
      <c r="H402" s="112">
        <v>25877580</v>
      </c>
      <c r="I402" s="109" t="s">
        <v>730</v>
      </c>
      <c r="J402" s="113" t="s">
        <v>56</v>
      </c>
      <c r="K402" s="110" t="s">
        <v>854</v>
      </c>
      <c r="L402" s="110" t="s">
        <v>887</v>
      </c>
      <c r="M402" s="114" t="s">
        <v>868</v>
      </c>
      <c r="N402" s="113" t="s">
        <v>733</v>
      </c>
      <c r="O402" s="114" t="s">
        <v>292</v>
      </c>
      <c r="P402" s="73">
        <v>45962</v>
      </c>
      <c r="Q402" s="113" t="s">
        <v>293</v>
      </c>
      <c r="R402" s="113" t="s">
        <v>733</v>
      </c>
      <c r="S402" s="113" t="s">
        <v>293</v>
      </c>
      <c r="T402" s="113" t="s">
        <v>733</v>
      </c>
      <c r="U402" s="113" t="s">
        <v>827</v>
      </c>
      <c r="V402" s="113" t="s">
        <v>827</v>
      </c>
      <c r="W402" s="113" t="s">
        <v>929</v>
      </c>
      <c r="X402" s="3"/>
      <c r="Y402" s="3">
        <v>1</v>
      </c>
    </row>
    <row r="403" spans="3:25">
      <c r="C403" s="63" t="s">
        <v>39</v>
      </c>
      <c r="D403" s="63" t="s">
        <v>39</v>
      </c>
      <c r="E403" s="110" t="s">
        <v>844</v>
      </c>
      <c r="F403" s="111">
        <v>2672573314</v>
      </c>
      <c r="G403" s="63" t="s">
        <v>403</v>
      </c>
      <c r="H403" s="112">
        <v>11537163</v>
      </c>
      <c r="I403" s="109" t="s">
        <v>730</v>
      </c>
      <c r="J403" s="113" t="s">
        <v>56</v>
      </c>
      <c r="K403" s="110" t="s">
        <v>854</v>
      </c>
      <c r="L403" s="110" t="s">
        <v>887</v>
      </c>
      <c r="M403" s="114" t="s">
        <v>868</v>
      </c>
      <c r="N403" s="113" t="s">
        <v>733</v>
      </c>
      <c r="O403" s="114" t="s">
        <v>292</v>
      </c>
      <c r="P403" s="73">
        <v>45962</v>
      </c>
      <c r="Q403" s="113" t="s">
        <v>293</v>
      </c>
      <c r="R403" s="113" t="s">
        <v>733</v>
      </c>
      <c r="S403" s="113" t="s">
        <v>293</v>
      </c>
      <c r="T403" s="113" t="s">
        <v>733</v>
      </c>
      <c r="U403" s="113" t="s">
        <v>827</v>
      </c>
      <c r="V403" s="113" t="s">
        <v>827</v>
      </c>
      <c r="W403" s="113" t="s">
        <v>929</v>
      </c>
      <c r="X403" s="3"/>
      <c r="Y403" s="3">
        <v>1</v>
      </c>
    </row>
    <row r="404" spans="3:25">
      <c r="C404" s="63" t="s">
        <v>39</v>
      </c>
      <c r="D404" s="63" t="s">
        <v>39</v>
      </c>
      <c r="E404" s="110" t="s">
        <v>844</v>
      </c>
      <c r="F404" s="111">
        <v>2672573314</v>
      </c>
      <c r="G404" s="63" t="s">
        <v>402</v>
      </c>
      <c r="H404" s="112">
        <v>18788988</v>
      </c>
      <c r="I404" s="116" t="s">
        <v>725</v>
      </c>
      <c r="J404" s="113" t="s">
        <v>56</v>
      </c>
      <c r="K404" s="110" t="s">
        <v>854</v>
      </c>
      <c r="L404" s="110" t="s">
        <v>887</v>
      </c>
      <c r="M404" s="114" t="s">
        <v>868</v>
      </c>
      <c r="N404" s="113" t="s">
        <v>733</v>
      </c>
      <c r="O404" s="114" t="s">
        <v>292</v>
      </c>
      <c r="P404" s="73">
        <v>45962</v>
      </c>
      <c r="Q404" s="113" t="s">
        <v>293</v>
      </c>
      <c r="R404" s="113" t="s">
        <v>733</v>
      </c>
      <c r="S404" s="113" t="s">
        <v>293</v>
      </c>
      <c r="T404" s="113" t="s">
        <v>733</v>
      </c>
      <c r="U404" s="113" t="s">
        <v>827</v>
      </c>
      <c r="V404" s="113" t="s">
        <v>827</v>
      </c>
      <c r="W404" s="113" t="s">
        <v>929</v>
      </c>
      <c r="X404" s="3"/>
      <c r="Y404" s="3">
        <v>1</v>
      </c>
    </row>
    <row r="405" spans="3:25">
      <c r="C405" s="63" t="s">
        <v>39</v>
      </c>
      <c r="D405" s="63" t="s">
        <v>39</v>
      </c>
      <c r="E405" s="110" t="s">
        <v>844</v>
      </c>
      <c r="F405" s="111">
        <v>2672573314</v>
      </c>
      <c r="G405" s="63" t="s">
        <v>397</v>
      </c>
      <c r="H405" s="112">
        <v>30441499</v>
      </c>
      <c r="I405" s="116" t="s">
        <v>725</v>
      </c>
      <c r="J405" s="113" t="s">
        <v>56</v>
      </c>
      <c r="K405" s="110" t="s">
        <v>854</v>
      </c>
      <c r="L405" s="110" t="s">
        <v>887</v>
      </c>
      <c r="M405" s="114" t="s">
        <v>868</v>
      </c>
      <c r="N405" s="113" t="s">
        <v>733</v>
      </c>
      <c r="O405" s="114" t="s">
        <v>292</v>
      </c>
      <c r="P405" s="73">
        <v>45962</v>
      </c>
      <c r="Q405" s="113" t="s">
        <v>868</v>
      </c>
      <c r="R405" s="113" t="s">
        <v>733</v>
      </c>
      <c r="S405" s="113" t="s">
        <v>293</v>
      </c>
      <c r="T405" s="113" t="s">
        <v>733</v>
      </c>
      <c r="U405" s="113" t="s">
        <v>827</v>
      </c>
      <c r="V405" s="113" t="s">
        <v>827</v>
      </c>
      <c r="W405" s="113" t="s">
        <v>931</v>
      </c>
      <c r="X405" s="3" t="s">
        <v>933</v>
      </c>
      <c r="Y405" s="3">
        <v>1</v>
      </c>
    </row>
    <row r="406" spans="3:25" s="70" customFormat="1">
      <c r="C406" s="63" t="s">
        <v>39</v>
      </c>
      <c r="D406" s="63" t="s">
        <v>39</v>
      </c>
      <c r="E406" s="110" t="s">
        <v>844</v>
      </c>
      <c r="F406" s="111">
        <v>2672573314</v>
      </c>
      <c r="G406" s="63" t="s">
        <v>834</v>
      </c>
      <c r="H406" s="119">
        <v>12672190</v>
      </c>
      <c r="I406" s="109" t="s">
        <v>730</v>
      </c>
      <c r="J406" s="113" t="s">
        <v>56</v>
      </c>
      <c r="K406" s="110" t="s">
        <v>854</v>
      </c>
      <c r="L406" s="110" t="s">
        <v>887</v>
      </c>
      <c r="M406" s="114" t="s">
        <v>868</v>
      </c>
      <c r="N406" s="113" t="s">
        <v>733</v>
      </c>
      <c r="O406" s="114" t="s">
        <v>292</v>
      </c>
      <c r="P406" s="73">
        <v>45962</v>
      </c>
      <c r="Q406" s="113" t="s">
        <v>293</v>
      </c>
      <c r="R406" s="113" t="s">
        <v>733</v>
      </c>
      <c r="S406" s="113" t="s">
        <v>293</v>
      </c>
      <c r="T406" s="113" t="s">
        <v>733</v>
      </c>
      <c r="U406" s="113" t="s">
        <v>827</v>
      </c>
      <c r="V406" s="113" t="s">
        <v>827</v>
      </c>
      <c r="W406" s="113" t="s">
        <v>929</v>
      </c>
      <c r="X406" s="3"/>
      <c r="Y406" s="3">
        <v>1</v>
      </c>
    </row>
    <row r="407" spans="3:25">
      <c r="C407" s="63" t="s">
        <v>39</v>
      </c>
      <c r="D407" s="63" t="s">
        <v>39</v>
      </c>
      <c r="E407" s="110" t="s">
        <v>844</v>
      </c>
      <c r="F407" s="111">
        <v>2672573314</v>
      </c>
      <c r="G407" s="63" t="s">
        <v>406</v>
      </c>
      <c r="H407" s="112">
        <v>18215038</v>
      </c>
      <c r="I407" s="116" t="s">
        <v>725</v>
      </c>
      <c r="J407" s="113" t="s">
        <v>56</v>
      </c>
      <c r="K407" s="110" t="s">
        <v>854</v>
      </c>
      <c r="L407" s="110" t="s">
        <v>887</v>
      </c>
      <c r="M407" s="114" t="s">
        <v>868</v>
      </c>
      <c r="N407" s="113" t="s">
        <v>733</v>
      </c>
      <c r="O407" s="114" t="s">
        <v>292</v>
      </c>
      <c r="P407" s="73">
        <v>45962</v>
      </c>
      <c r="Q407" s="113" t="s">
        <v>293</v>
      </c>
      <c r="R407" s="113" t="s">
        <v>733</v>
      </c>
      <c r="S407" s="113" t="s">
        <v>293</v>
      </c>
      <c r="T407" s="113" t="s">
        <v>733</v>
      </c>
      <c r="U407" s="113" t="s">
        <v>827</v>
      </c>
      <c r="V407" s="113" t="s">
        <v>827</v>
      </c>
      <c r="W407" s="113" t="s">
        <v>929</v>
      </c>
      <c r="X407" s="3"/>
      <c r="Y407" s="3">
        <v>1</v>
      </c>
    </row>
    <row r="408" spans="3:25">
      <c r="C408" s="63" t="s">
        <v>39</v>
      </c>
      <c r="D408" s="63" t="s">
        <v>39</v>
      </c>
      <c r="E408" s="110" t="s">
        <v>844</v>
      </c>
      <c r="F408" s="111">
        <v>2672573314</v>
      </c>
      <c r="G408" s="63" t="s">
        <v>399</v>
      </c>
      <c r="H408" s="112">
        <v>12393177</v>
      </c>
      <c r="I408" s="109" t="s">
        <v>730</v>
      </c>
      <c r="J408" s="113" t="s">
        <v>56</v>
      </c>
      <c r="K408" s="110" t="s">
        <v>854</v>
      </c>
      <c r="L408" s="110" t="s">
        <v>887</v>
      </c>
      <c r="M408" s="114" t="s">
        <v>868</v>
      </c>
      <c r="N408" s="113" t="s">
        <v>733</v>
      </c>
      <c r="O408" s="114" t="s">
        <v>292</v>
      </c>
      <c r="P408" s="73">
        <v>45962</v>
      </c>
      <c r="Q408" s="113" t="s">
        <v>293</v>
      </c>
      <c r="R408" s="113" t="s">
        <v>733</v>
      </c>
      <c r="S408" s="113" t="s">
        <v>293</v>
      </c>
      <c r="T408" s="113" t="s">
        <v>733</v>
      </c>
      <c r="U408" s="113" t="s">
        <v>827</v>
      </c>
      <c r="V408" s="113" t="s">
        <v>827</v>
      </c>
      <c r="W408" s="113" t="s">
        <v>929</v>
      </c>
      <c r="X408" s="3"/>
      <c r="Y408" s="3">
        <v>1</v>
      </c>
    </row>
    <row r="409" spans="3:25">
      <c r="C409" s="63" t="s">
        <v>39</v>
      </c>
      <c r="D409" s="63" t="s">
        <v>39</v>
      </c>
      <c r="E409" s="110" t="s">
        <v>844</v>
      </c>
      <c r="F409" s="111">
        <v>2672573314</v>
      </c>
      <c r="G409" s="63" t="s">
        <v>401</v>
      </c>
      <c r="H409" s="112">
        <v>26778197</v>
      </c>
      <c r="I409" s="109" t="s">
        <v>730</v>
      </c>
      <c r="J409" s="113" t="s">
        <v>56</v>
      </c>
      <c r="K409" s="110" t="s">
        <v>854</v>
      </c>
      <c r="L409" s="110" t="s">
        <v>887</v>
      </c>
      <c r="M409" s="114" t="s">
        <v>868</v>
      </c>
      <c r="N409" s="113" t="s">
        <v>733</v>
      </c>
      <c r="O409" s="114" t="s">
        <v>292</v>
      </c>
      <c r="P409" s="73">
        <v>45962</v>
      </c>
      <c r="Q409" s="113" t="s">
        <v>293</v>
      </c>
      <c r="R409" s="113" t="s">
        <v>733</v>
      </c>
      <c r="S409" s="113" t="s">
        <v>293</v>
      </c>
      <c r="T409" s="113" t="s">
        <v>733</v>
      </c>
      <c r="U409" s="113" t="s">
        <v>827</v>
      </c>
      <c r="V409" s="113" t="s">
        <v>827</v>
      </c>
      <c r="W409" s="113" t="s">
        <v>929</v>
      </c>
      <c r="X409" s="3"/>
      <c r="Y409" s="3">
        <v>1</v>
      </c>
    </row>
    <row r="410" spans="3:25">
      <c r="C410" s="63" t="s">
        <v>39</v>
      </c>
      <c r="D410" s="63" t="s">
        <v>39</v>
      </c>
      <c r="E410" s="110" t="s">
        <v>844</v>
      </c>
      <c r="F410" s="111">
        <v>2672573314</v>
      </c>
      <c r="G410" s="63" t="s">
        <v>396</v>
      </c>
      <c r="H410" s="112">
        <v>12032334</v>
      </c>
      <c r="I410" s="116" t="s">
        <v>725</v>
      </c>
      <c r="J410" s="113" t="s">
        <v>56</v>
      </c>
      <c r="K410" s="110" t="s">
        <v>854</v>
      </c>
      <c r="L410" s="110" t="s">
        <v>887</v>
      </c>
      <c r="M410" s="114" t="s">
        <v>868</v>
      </c>
      <c r="N410" s="113" t="s">
        <v>733</v>
      </c>
      <c r="O410" s="114" t="s">
        <v>292</v>
      </c>
      <c r="P410" s="73">
        <v>45962</v>
      </c>
      <c r="Q410" s="113" t="s">
        <v>293</v>
      </c>
      <c r="R410" s="113" t="s">
        <v>733</v>
      </c>
      <c r="S410" s="113" t="s">
        <v>293</v>
      </c>
      <c r="T410" s="113" t="s">
        <v>733</v>
      </c>
      <c r="U410" s="113" t="s">
        <v>827</v>
      </c>
      <c r="V410" s="113" t="s">
        <v>827</v>
      </c>
      <c r="W410" s="113" t="s">
        <v>929</v>
      </c>
      <c r="X410" s="3"/>
      <c r="Y410" s="3">
        <v>1</v>
      </c>
    </row>
    <row r="411" spans="3:25">
      <c r="C411" s="63" t="s">
        <v>66</v>
      </c>
      <c r="D411" s="63" t="s">
        <v>66</v>
      </c>
      <c r="E411" s="110" t="s">
        <v>844</v>
      </c>
      <c r="F411" s="111">
        <v>2672573314</v>
      </c>
      <c r="G411" s="63" t="s">
        <v>110</v>
      </c>
      <c r="H411" s="112">
        <v>27288190</v>
      </c>
      <c r="I411" s="109" t="s">
        <v>730</v>
      </c>
      <c r="J411" s="113" t="s">
        <v>55</v>
      </c>
      <c r="K411" s="109" t="s">
        <v>840</v>
      </c>
      <c r="L411" s="109" t="s">
        <v>888</v>
      </c>
      <c r="M411" s="114" t="s">
        <v>292</v>
      </c>
      <c r="N411" s="115">
        <v>45748</v>
      </c>
      <c r="O411" s="114" t="s">
        <v>292</v>
      </c>
      <c r="P411" s="73">
        <v>45962</v>
      </c>
      <c r="Q411" s="113" t="s">
        <v>293</v>
      </c>
      <c r="R411" s="113" t="s">
        <v>733</v>
      </c>
      <c r="S411" s="113" t="s">
        <v>293</v>
      </c>
      <c r="T411" s="113" t="s">
        <v>733</v>
      </c>
      <c r="U411" s="113" t="s">
        <v>733</v>
      </c>
      <c r="V411" s="113" t="s">
        <v>827</v>
      </c>
      <c r="W411" s="113" t="s">
        <v>929</v>
      </c>
      <c r="X411" s="3"/>
      <c r="Y411" s="3">
        <v>1</v>
      </c>
    </row>
    <row r="412" spans="3:25">
      <c r="C412" s="63" t="s">
        <v>66</v>
      </c>
      <c r="D412" s="63" t="s">
        <v>66</v>
      </c>
      <c r="E412" s="110" t="s">
        <v>844</v>
      </c>
      <c r="F412" s="111">
        <v>2672573314</v>
      </c>
      <c r="G412" s="63" t="s">
        <v>784</v>
      </c>
      <c r="H412" s="53">
        <v>19238197</v>
      </c>
      <c r="I412" s="116" t="s">
        <v>729</v>
      </c>
      <c r="J412" s="113" t="s">
        <v>55</v>
      </c>
      <c r="K412" s="109" t="s">
        <v>840</v>
      </c>
      <c r="L412" s="109" t="s">
        <v>888</v>
      </c>
      <c r="M412" s="114" t="s">
        <v>868</v>
      </c>
      <c r="N412" s="113" t="s">
        <v>733</v>
      </c>
      <c r="O412" s="114" t="s">
        <v>293</v>
      </c>
      <c r="P412" s="68" t="s">
        <v>733</v>
      </c>
      <c r="Q412" s="113" t="s">
        <v>293</v>
      </c>
      <c r="R412" s="113" t="s">
        <v>733</v>
      </c>
      <c r="S412" s="113" t="s">
        <v>293</v>
      </c>
      <c r="T412" s="113" t="s">
        <v>733</v>
      </c>
      <c r="U412" s="113" t="s">
        <v>733</v>
      </c>
      <c r="V412" s="113" t="s">
        <v>827</v>
      </c>
      <c r="W412" s="113" t="s">
        <v>929</v>
      </c>
      <c r="X412" s="68"/>
      <c r="Y412" s="3">
        <v>1</v>
      </c>
    </row>
    <row r="413" spans="3:25">
      <c r="C413" s="63" t="s">
        <v>66</v>
      </c>
      <c r="D413" s="63" t="s">
        <v>66</v>
      </c>
      <c r="E413" s="110" t="s">
        <v>844</v>
      </c>
      <c r="F413" s="111">
        <v>2672573314</v>
      </c>
      <c r="G413" s="63" t="s">
        <v>481</v>
      </c>
      <c r="H413" s="111">
        <v>18212648</v>
      </c>
      <c r="I413" s="116" t="s">
        <v>725</v>
      </c>
      <c r="J413" s="113" t="s">
        <v>56</v>
      </c>
      <c r="K413" s="109" t="s">
        <v>840</v>
      </c>
      <c r="L413" s="109" t="s">
        <v>888</v>
      </c>
      <c r="M413" s="114" t="s">
        <v>292</v>
      </c>
      <c r="N413" s="115">
        <v>45748</v>
      </c>
      <c r="O413" s="114" t="s">
        <v>292</v>
      </c>
      <c r="P413" s="73">
        <v>45962</v>
      </c>
      <c r="Q413" s="113" t="s">
        <v>293</v>
      </c>
      <c r="R413" s="113" t="s">
        <v>733</v>
      </c>
      <c r="S413" s="113" t="s">
        <v>293</v>
      </c>
      <c r="T413" s="113" t="s">
        <v>733</v>
      </c>
      <c r="U413" s="113" t="s">
        <v>733</v>
      </c>
      <c r="V413" s="113" t="s">
        <v>827</v>
      </c>
      <c r="W413" s="113" t="s">
        <v>929</v>
      </c>
      <c r="X413" s="3"/>
      <c r="Y413" s="3">
        <v>1</v>
      </c>
    </row>
    <row r="414" spans="3:25">
      <c r="C414" s="63" t="s">
        <v>66</v>
      </c>
      <c r="D414" s="63" t="s">
        <v>66</v>
      </c>
      <c r="E414" s="110" t="s">
        <v>844</v>
      </c>
      <c r="F414" s="111">
        <v>2672573314</v>
      </c>
      <c r="G414" s="63" t="s">
        <v>584</v>
      </c>
      <c r="H414" s="112">
        <v>18077227</v>
      </c>
      <c r="I414" s="116" t="s">
        <v>725</v>
      </c>
      <c r="J414" s="113" t="s">
        <v>56</v>
      </c>
      <c r="K414" s="109" t="s">
        <v>840</v>
      </c>
      <c r="L414" s="109" t="s">
        <v>888</v>
      </c>
      <c r="M414" s="114" t="s">
        <v>868</v>
      </c>
      <c r="N414" s="113" t="s">
        <v>733</v>
      </c>
      <c r="O414" s="114" t="s">
        <v>292</v>
      </c>
      <c r="P414" s="73">
        <v>45962</v>
      </c>
      <c r="Q414" s="113" t="s">
        <v>293</v>
      </c>
      <c r="R414" s="113" t="s">
        <v>733</v>
      </c>
      <c r="S414" s="113" t="s">
        <v>293</v>
      </c>
      <c r="T414" s="113" t="s">
        <v>733</v>
      </c>
      <c r="U414" s="113" t="s">
        <v>733</v>
      </c>
      <c r="V414" s="113" t="s">
        <v>827</v>
      </c>
      <c r="W414" s="113" t="s">
        <v>929</v>
      </c>
      <c r="X414" s="3"/>
      <c r="Y414" s="3">
        <v>1</v>
      </c>
    </row>
    <row r="415" spans="3:25">
      <c r="C415" s="63" t="s">
        <v>66</v>
      </c>
      <c r="D415" s="63" t="s">
        <v>66</v>
      </c>
      <c r="E415" s="110" t="s">
        <v>844</v>
      </c>
      <c r="F415" s="111">
        <v>2672573314</v>
      </c>
      <c r="G415" s="63" t="s">
        <v>579</v>
      </c>
      <c r="H415" s="53">
        <v>28401512</v>
      </c>
      <c r="I415" s="116" t="s">
        <v>725</v>
      </c>
      <c r="J415" s="113" t="s">
        <v>56</v>
      </c>
      <c r="K415" s="109" t="s">
        <v>840</v>
      </c>
      <c r="L415" s="109" t="s">
        <v>888</v>
      </c>
      <c r="M415" s="114" t="s">
        <v>868</v>
      </c>
      <c r="N415" s="113" t="s">
        <v>733</v>
      </c>
      <c r="O415" s="114" t="s">
        <v>292</v>
      </c>
      <c r="P415" s="73">
        <v>45962</v>
      </c>
      <c r="Q415" s="113" t="s">
        <v>293</v>
      </c>
      <c r="R415" s="113" t="s">
        <v>733</v>
      </c>
      <c r="S415" s="113" t="s">
        <v>293</v>
      </c>
      <c r="T415" s="113" t="s">
        <v>733</v>
      </c>
      <c r="U415" s="113" t="s">
        <v>733</v>
      </c>
      <c r="V415" s="113" t="s">
        <v>827</v>
      </c>
      <c r="W415" s="113" t="s">
        <v>929</v>
      </c>
      <c r="X415" s="3"/>
      <c r="Y415" s="3">
        <v>1</v>
      </c>
    </row>
    <row r="416" spans="3:25">
      <c r="C416" s="63" t="s">
        <v>66</v>
      </c>
      <c r="D416" s="63" t="s">
        <v>66</v>
      </c>
      <c r="E416" s="110" t="s">
        <v>844</v>
      </c>
      <c r="F416" s="111">
        <v>2672573314</v>
      </c>
      <c r="G416" s="63" t="s">
        <v>487</v>
      </c>
      <c r="H416" s="53">
        <v>19346250</v>
      </c>
      <c r="I416" s="109" t="s">
        <v>730</v>
      </c>
      <c r="J416" s="113" t="s">
        <v>389</v>
      </c>
      <c r="K416" s="109" t="s">
        <v>840</v>
      </c>
      <c r="L416" s="109" t="s">
        <v>888</v>
      </c>
      <c r="M416" s="114" t="s">
        <v>292</v>
      </c>
      <c r="N416" s="115">
        <v>45748</v>
      </c>
      <c r="O416" s="114" t="s">
        <v>292</v>
      </c>
      <c r="P416" s="73">
        <v>45962</v>
      </c>
      <c r="Q416" s="113" t="s">
        <v>293</v>
      </c>
      <c r="R416" s="113" t="s">
        <v>733</v>
      </c>
      <c r="S416" s="113" t="s">
        <v>293</v>
      </c>
      <c r="T416" s="113" t="s">
        <v>733</v>
      </c>
      <c r="U416" s="113" t="s">
        <v>733</v>
      </c>
      <c r="V416" s="113" t="s">
        <v>827</v>
      </c>
      <c r="W416" s="113" t="s">
        <v>929</v>
      </c>
      <c r="X416" s="3"/>
      <c r="Y416" s="3">
        <v>1</v>
      </c>
    </row>
    <row r="417" spans="3:25">
      <c r="C417" s="63" t="s">
        <v>66</v>
      </c>
      <c r="D417" s="63" t="s">
        <v>66</v>
      </c>
      <c r="E417" s="110" t="s">
        <v>844</v>
      </c>
      <c r="F417" s="111">
        <v>2672573314</v>
      </c>
      <c r="G417" s="63" t="s">
        <v>480</v>
      </c>
      <c r="H417" s="111">
        <v>17763315</v>
      </c>
      <c r="I417" s="109" t="s">
        <v>730</v>
      </c>
      <c r="J417" s="113" t="s">
        <v>56</v>
      </c>
      <c r="K417" s="109" t="s">
        <v>840</v>
      </c>
      <c r="L417" s="109" t="s">
        <v>888</v>
      </c>
      <c r="M417" s="114" t="s">
        <v>292</v>
      </c>
      <c r="N417" s="115">
        <v>45748</v>
      </c>
      <c r="O417" s="114" t="s">
        <v>292</v>
      </c>
      <c r="P417" s="73">
        <v>45962</v>
      </c>
      <c r="Q417" s="113" t="s">
        <v>293</v>
      </c>
      <c r="R417" s="113" t="s">
        <v>733</v>
      </c>
      <c r="S417" s="113" t="s">
        <v>293</v>
      </c>
      <c r="T417" s="113" t="s">
        <v>733</v>
      </c>
      <c r="U417" s="113" t="s">
        <v>733</v>
      </c>
      <c r="V417" s="113" t="s">
        <v>827</v>
      </c>
      <c r="W417" s="113" t="s">
        <v>929</v>
      </c>
      <c r="X417" s="3"/>
      <c r="Y417" s="3">
        <v>1</v>
      </c>
    </row>
    <row r="418" spans="3:25">
      <c r="C418" s="63" t="s">
        <v>66</v>
      </c>
      <c r="D418" s="63" t="s">
        <v>66</v>
      </c>
      <c r="E418" s="110" t="s">
        <v>844</v>
      </c>
      <c r="F418" s="111">
        <v>2672573314</v>
      </c>
      <c r="G418" s="63" t="s">
        <v>760</v>
      </c>
      <c r="H418" s="53">
        <v>17446806</v>
      </c>
      <c r="I418" s="116" t="s">
        <v>410</v>
      </c>
      <c r="J418" s="113" t="s">
        <v>727</v>
      </c>
      <c r="K418" s="109" t="s">
        <v>840</v>
      </c>
      <c r="L418" s="109" t="s">
        <v>888</v>
      </c>
      <c r="M418" s="114" t="s">
        <v>868</v>
      </c>
      <c r="N418" s="113" t="s">
        <v>733</v>
      </c>
      <c r="O418" s="114" t="s">
        <v>293</v>
      </c>
      <c r="P418" s="68" t="s">
        <v>733</v>
      </c>
      <c r="Q418" s="113" t="s">
        <v>293</v>
      </c>
      <c r="R418" s="113" t="s">
        <v>733</v>
      </c>
      <c r="S418" s="113" t="s">
        <v>293</v>
      </c>
      <c r="T418" s="113" t="s">
        <v>733</v>
      </c>
      <c r="U418" s="113" t="s">
        <v>733</v>
      </c>
      <c r="V418" s="113" t="s">
        <v>827</v>
      </c>
      <c r="W418" s="113" t="s">
        <v>929</v>
      </c>
      <c r="X418" s="3"/>
      <c r="Y418" s="3">
        <v>1</v>
      </c>
    </row>
    <row r="419" spans="3:25">
      <c r="C419" s="63" t="s">
        <v>66</v>
      </c>
      <c r="D419" s="63" t="s">
        <v>66</v>
      </c>
      <c r="E419" s="110" t="s">
        <v>844</v>
      </c>
      <c r="F419" s="111">
        <v>2672573314</v>
      </c>
      <c r="G419" s="63" t="s">
        <v>484</v>
      </c>
      <c r="H419" s="112">
        <v>24849178</v>
      </c>
      <c r="I419" s="116" t="s">
        <v>706</v>
      </c>
      <c r="J419" s="113" t="s">
        <v>56</v>
      </c>
      <c r="K419" s="109" t="s">
        <v>840</v>
      </c>
      <c r="L419" s="109" t="s">
        <v>888</v>
      </c>
      <c r="M419" s="114" t="s">
        <v>292</v>
      </c>
      <c r="N419" s="115">
        <v>45748</v>
      </c>
      <c r="O419" s="114" t="s">
        <v>292</v>
      </c>
      <c r="P419" s="73">
        <v>45962</v>
      </c>
      <c r="Q419" s="113" t="s">
        <v>293</v>
      </c>
      <c r="R419" s="113" t="s">
        <v>733</v>
      </c>
      <c r="S419" s="113" t="s">
        <v>293</v>
      </c>
      <c r="T419" s="113" t="s">
        <v>733</v>
      </c>
      <c r="U419" s="113" t="s">
        <v>733</v>
      </c>
      <c r="V419" s="113" t="s">
        <v>827</v>
      </c>
      <c r="W419" s="113" t="s">
        <v>929</v>
      </c>
      <c r="X419" s="3"/>
      <c r="Y419" s="3">
        <v>1</v>
      </c>
    </row>
    <row r="420" spans="3:25">
      <c r="C420" s="63" t="s">
        <v>66</v>
      </c>
      <c r="D420" s="63" t="s">
        <v>66</v>
      </c>
      <c r="E420" s="110" t="s">
        <v>844</v>
      </c>
      <c r="F420" s="111">
        <v>2672573314</v>
      </c>
      <c r="G420" s="63" t="s">
        <v>479</v>
      </c>
      <c r="H420" s="111">
        <v>26108367</v>
      </c>
      <c r="I420" s="116" t="s">
        <v>725</v>
      </c>
      <c r="J420" s="113" t="s">
        <v>56</v>
      </c>
      <c r="K420" s="109" t="s">
        <v>840</v>
      </c>
      <c r="L420" s="109" t="s">
        <v>888</v>
      </c>
      <c r="M420" s="114" t="s">
        <v>292</v>
      </c>
      <c r="N420" s="115">
        <v>45748</v>
      </c>
      <c r="O420" s="114" t="s">
        <v>292</v>
      </c>
      <c r="P420" s="73">
        <v>45962</v>
      </c>
      <c r="Q420" s="113" t="s">
        <v>293</v>
      </c>
      <c r="R420" s="113" t="s">
        <v>733</v>
      </c>
      <c r="S420" s="113" t="s">
        <v>293</v>
      </c>
      <c r="T420" s="113" t="s">
        <v>733</v>
      </c>
      <c r="U420" s="113" t="s">
        <v>733</v>
      </c>
      <c r="V420" s="113" t="s">
        <v>827</v>
      </c>
      <c r="W420" s="113" t="s">
        <v>929</v>
      </c>
      <c r="X420" s="3"/>
      <c r="Y420" s="3">
        <v>1</v>
      </c>
    </row>
    <row r="421" spans="3:25">
      <c r="C421" s="63" t="s">
        <v>66</v>
      </c>
      <c r="D421" s="63" t="s">
        <v>66</v>
      </c>
      <c r="E421" s="110" t="s">
        <v>844</v>
      </c>
      <c r="F421" s="111">
        <v>2672573314</v>
      </c>
      <c r="G421" s="63" t="s">
        <v>478</v>
      </c>
      <c r="H421" s="111">
        <v>28242185</v>
      </c>
      <c r="I421" s="116" t="s">
        <v>725</v>
      </c>
      <c r="J421" s="113" t="s">
        <v>56</v>
      </c>
      <c r="K421" s="109" t="s">
        <v>840</v>
      </c>
      <c r="L421" s="109" t="s">
        <v>888</v>
      </c>
      <c r="M421" s="114" t="s">
        <v>868</v>
      </c>
      <c r="N421" s="113" t="s">
        <v>733</v>
      </c>
      <c r="O421" s="114" t="s">
        <v>292</v>
      </c>
      <c r="P421" s="73">
        <v>45962</v>
      </c>
      <c r="Q421" s="113" t="s">
        <v>293</v>
      </c>
      <c r="R421" s="113" t="s">
        <v>733</v>
      </c>
      <c r="S421" s="113" t="s">
        <v>293</v>
      </c>
      <c r="T421" s="113" t="s">
        <v>733</v>
      </c>
      <c r="U421" s="113" t="s">
        <v>733</v>
      </c>
      <c r="V421" s="113" t="s">
        <v>827</v>
      </c>
      <c r="W421" s="113" t="s">
        <v>929</v>
      </c>
      <c r="X421" s="3"/>
      <c r="Y421" s="3">
        <v>1</v>
      </c>
    </row>
    <row r="422" spans="3:25">
      <c r="C422" s="63" t="s">
        <v>66</v>
      </c>
      <c r="D422" s="63" t="s">
        <v>66</v>
      </c>
      <c r="E422" s="110" t="s">
        <v>844</v>
      </c>
      <c r="F422" s="111">
        <v>2672573314</v>
      </c>
      <c r="G422" s="63" t="s">
        <v>578</v>
      </c>
      <c r="H422" s="53">
        <v>20574497</v>
      </c>
      <c r="I422" s="116" t="s">
        <v>725</v>
      </c>
      <c r="J422" s="113" t="s">
        <v>56</v>
      </c>
      <c r="K422" s="109" t="s">
        <v>840</v>
      </c>
      <c r="L422" s="109" t="s">
        <v>888</v>
      </c>
      <c r="M422" s="114" t="s">
        <v>868</v>
      </c>
      <c r="N422" s="113" t="s">
        <v>733</v>
      </c>
      <c r="O422" s="114" t="s">
        <v>292</v>
      </c>
      <c r="P422" s="73">
        <v>45962</v>
      </c>
      <c r="Q422" s="113" t="s">
        <v>293</v>
      </c>
      <c r="R422" s="113" t="s">
        <v>733</v>
      </c>
      <c r="S422" s="113" t="s">
        <v>293</v>
      </c>
      <c r="T422" s="113" t="s">
        <v>733</v>
      </c>
      <c r="U422" s="113" t="s">
        <v>733</v>
      </c>
      <c r="V422" s="113" t="s">
        <v>827</v>
      </c>
      <c r="W422" s="113" t="s">
        <v>929</v>
      </c>
      <c r="X422" s="3"/>
      <c r="Y422" s="3">
        <v>1</v>
      </c>
    </row>
    <row r="423" spans="3:25">
      <c r="C423" s="63" t="s">
        <v>66</v>
      </c>
      <c r="D423" s="63" t="s">
        <v>66</v>
      </c>
      <c r="E423" s="110" t="s">
        <v>844</v>
      </c>
      <c r="F423" s="111">
        <v>2672573314</v>
      </c>
      <c r="G423" s="63" t="s">
        <v>580</v>
      </c>
      <c r="H423" s="112">
        <v>28614058</v>
      </c>
      <c r="I423" s="116" t="s">
        <v>725</v>
      </c>
      <c r="J423" s="113" t="s">
        <v>56</v>
      </c>
      <c r="K423" s="109" t="s">
        <v>840</v>
      </c>
      <c r="L423" s="109" t="s">
        <v>888</v>
      </c>
      <c r="M423" s="114" t="s">
        <v>868</v>
      </c>
      <c r="N423" s="113" t="s">
        <v>733</v>
      </c>
      <c r="O423" s="114" t="s">
        <v>292</v>
      </c>
      <c r="P423" s="73">
        <v>45962</v>
      </c>
      <c r="Q423" s="113" t="s">
        <v>293</v>
      </c>
      <c r="R423" s="113" t="s">
        <v>733</v>
      </c>
      <c r="S423" s="113" t="s">
        <v>293</v>
      </c>
      <c r="T423" s="113" t="s">
        <v>733</v>
      </c>
      <c r="U423" s="113" t="s">
        <v>733</v>
      </c>
      <c r="V423" s="113" t="s">
        <v>827</v>
      </c>
      <c r="W423" s="113" t="s">
        <v>929</v>
      </c>
      <c r="X423" s="3"/>
      <c r="Y423" s="3">
        <v>1</v>
      </c>
    </row>
    <row r="424" spans="3:25">
      <c r="C424" s="63" t="s">
        <v>66</v>
      </c>
      <c r="D424" s="63" t="s">
        <v>66</v>
      </c>
      <c r="E424" s="110" t="s">
        <v>844</v>
      </c>
      <c r="F424" s="111">
        <v>2672573314</v>
      </c>
      <c r="G424" s="63" t="s">
        <v>486</v>
      </c>
      <c r="H424" s="53">
        <v>25528094</v>
      </c>
      <c r="I424" s="116" t="s">
        <v>725</v>
      </c>
      <c r="J424" s="113" t="s">
        <v>389</v>
      </c>
      <c r="K424" s="109" t="s">
        <v>840</v>
      </c>
      <c r="L424" s="109" t="s">
        <v>888</v>
      </c>
      <c r="M424" s="114" t="s">
        <v>292</v>
      </c>
      <c r="N424" s="115">
        <v>45748</v>
      </c>
      <c r="O424" s="114" t="s">
        <v>292</v>
      </c>
      <c r="P424" s="73">
        <v>45962</v>
      </c>
      <c r="Q424" s="113" t="s">
        <v>293</v>
      </c>
      <c r="R424" s="113" t="s">
        <v>733</v>
      </c>
      <c r="S424" s="113" t="s">
        <v>293</v>
      </c>
      <c r="T424" s="113" t="s">
        <v>733</v>
      </c>
      <c r="U424" s="113" t="s">
        <v>733</v>
      </c>
      <c r="V424" s="113" t="s">
        <v>827</v>
      </c>
      <c r="W424" s="113" t="s">
        <v>929</v>
      </c>
      <c r="X424" s="3"/>
      <c r="Y424" s="3">
        <v>1</v>
      </c>
    </row>
    <row r="425" spans="3:25">
      <c r="C425" s="63" t="s">
        <v>66</v>
      </c>
      <c r="D425" s="63" t="s">
        <v>66</v>
      </c>
      <c r="E425" s="110" t="s">
        <v>844</v>
      </c>
      <c r="F425" s="111">
        <v>2672573314</v>
      </c>
      <c r="G425" s="63" t="s">
        <v>667</v>
      </c>
      <c r="H425" s="53">
        <v>19893313</v>
      </c>
      <c r="I425" s="116" t="s">
        <v>725</v>
      </c>
      <c r="J425" s="113" t="s">
        <v>56</v>
      </c>
      <c r="K425" s="109" t="s">
        <v>840</v>
      </c>
      <c r="L425" s="109" t="s">
        <v>888</v>
      </c>
      <c r="M425" s="114" t="s">
        <v>868</v>
      </c>
      <c r="N425" s="113" t="s">
        <v>733</v>
      </c>
      <c r="O425" s="114" t="s">
        <v>292</v>
      </c>
      <c r="P425" s="73">
        <v>45962</v>
      </c>
      <c r="Q425" s="113" t="s">
        <v>293</v>
      </c>
      <c r="R425" s="113" t="s">
        <v>733</v>
      </c>
      <c r="S425" s="113" t="s">
        <v>293</v>
      </c>
      <c r="T425" s="113" t="s">
        <v>733</v>
      </c>
      <c r="U425" s="113" t="s">
        <v>733</v>
      </c>
      <c r="V425" s="113" t="s">
        <v>827</v>
      </c>
      <c r="W425" s="113" t="s">
        <v>929</v>
      </c>
      <c r="X425" s="3"/>
      <c r="Y425" s="3">
        <v>1</v>
      </c>
    </row>
    <row r="426" spans="3:25">
      <c r="C426" s="63" t="s">
        <v>66</v>
      </c>
      <c r="D426" s="63" t="s">
        <v>66</v>
      </c>
      <c r="E426" s="110" t="s">
        <v>844</v>
      </c>
      <c r="F426" s="111">
        <v>2672573314</v>
      </c>
      <c r="G426" s="63" t="s">
        <v>477</v>
      </c>
      <c r="H426" s="112">
        <v>21398841</v>
      </c>
      <c r="I426" s="109" t="s">
        <v>730</v>
      </c>
      <c r="J426" s="113" t="s">
        <v>56</v>
      </c>
      <c r="K426" s="109" t="s">
        <v>840</v>
      </c>
      <c r="L426" s="109" t="s">
        <v>888</v>
      </c>
      <c r="M426" s="114" t="s">
        <v>868</v>
      </c>
      <c r="N426" s="113" t="s">
        <v>733</v>
      </c>
      <c r="O426" s="114" t="s">
        <v>292</v>
      </c>
      <c r="P426" s="73">
        <v>45962</v>
      </c>
      <c r="Q426" s="113" t="s">
        <v>293</v>
      </c>
      <c r="R426" s="113" t="s">
        <v>733</v>
      </c>
      <c r="S426" s="113" t="s">
        <v>293</v>
      </c>
      <c r="T426" s="113" t="s">
        <v>733</v>
      </c>
      <c r="U426" s="113" t="s">
        <v>733</v>
      </c>
      <c r="V426" s="113" t="s">
        <v>827</v>
      </c>
      <c r="W426" s="113" t="s">
        <v>929</v>
      </c>
      <c r="X426" s="3"/>
      <c r="Y426" s="3">
        <v>1</v>
      </c>
    </row>
    <row r="427" spans="3:25">
      <c r="C427" s="63" t="s">
        <v>66</v>
      </c>
      <c r="D427" s="63" t="s">
        <v>66</v>
      </c>
      <c r="E427" s="110" t="s">
        <v>844</v>
      </c>
      <c r="F427" s="111">
        <v>2672573314</v>
      </c>
      <c r="G427" s="63" t="s">
        <v>582</v>
      </c>
      <c r="H427" s="112">
        <v>16703470</v>
      </c>
      <c r="I427" s="109" t="s">
        <v>730</v>
      </c>
      <c r="J427" s="113" t="s">
        <v>56</v>
      </c>
      <c r="K427" s="109" t="s">
        <v>840</v>
      </c>
      <c r="L427" s="109" t="s">
        <v>888</v>
      </c>
      <c r="M427" s="114" t="s">
        <v>868</v>
      </c>
      <c r="N427" s="113" t="s">
        <v>733</v>
      </c>
      <c r="O427" s="114" t="s">
        <v>292</v>
      </c>
      <c r="P427" s="73">
        <v>45962</v>
      </c>
      <c r="Q427" s="113" t="s">
        <v>293</v>
      </c>
      <c r="R427" s="113" t="s">
        <v>733</v>
      </c>
      <c r="S427" s="113" t="s">
        <v>293</v>
      </c>
      <c r="T427" s="113" t="s">
        <v>733</v>
      </c>
      <c r="U427" s="113" t="s">
        <v>733</v>
      </c>
      <c r="V427" s="113" t="s">
        <v>827</v>
      </c>
      <c r="W427" s="113" t="s">
        <v>929</v>
      </c>
      <c r="X427" s="3"/>
      <c r="Y427" s="3">
        <v>1</v>
      </c>
    </row>
    <row r="428" spans="3:25">
      <c r="C428" s="63" t="s">
        <v>66</v>
      </c>
      <c r="D428" s="63" t="s">
        <v>66</v>
      </c>
      <c r="E428" s="110" t="s">
        <v>844</v>
      </c>
      <c r="F428" s="111">
        <v>2672573314</v>
      </c>
      <c r="G428" s="63" t="s">
        <v>482</v>
      </c>
      <c r="H428" s="111">
        <v>15612027</v>
      </c>
      <c r="I428" s="109" t="s">
        <v>730</v>
      </c>
      <c r="J428" s="113" t="s">
        <v>56</v>
      </c>
      <c r="K428" s="109" t="s">
        <v>840</v>
      </c>
      <c r="L428" s="109" t="s">
        <v>888</v>
      </c>
      <c r="M428" s="114" t="s">
        <v>292</v>
      </c>
      <c r="N428" s="115">
        <v>45748</v>
      </c>
      <c r="O428" s="114" t="s">
        <v>292</v>
      </c>
      <c r="P428" s="73">
        <v>45962</v>
      </c>
      <c r="Q428" s="113" t="s">
        <v>293</v>
      </c>
      <c r="R428" s="113" t="s">
        <v>733</v>
      </c>
      <c r="S428" s="113" t="s">
        <v>293</v>
      </c>
      <c r="T428" s="113" t="s">
        <v>733</v>
      </c>
      <c r="U428" s="113" t="s">
        <v>733</v>
      </c>
      <c r="V428" s="113" t="s">
        <v>827</v>
      </c>
      <c r="W428" s="113" t="s">
        <v>929</v>
      </c>
      <c r="X428" s="3"/>
      <c r="Y428" s="3">
        <v>1</v>
      </c>
    </row>
    <row r="429" spans="3:25">
      <c r="C429" s="63" t="s">
        <v>66</v>
      </c>
      <c r="D429" s="63" t="s">
        <v>66</v>
      </c>
      <c r="E429" s="110" t="s">
        <v>844</v>
      </c>
      <c r="F429" s="111">
        <v>2672573314</v>
      </c>
      <c r="G429" s="63" t="s">
        <v>109</v>
      </c>
      <c r="H429" s="112">
        <v>27897019</v>
      </c>
      <c r="I429" s="109" t="s">
        <v>730</v>
      </c>
      <c r="J429" s="113" t="s">
        <v>55</v>
      </c>
      <c r="K429" s="109" t="s">
        <v>840</v>
      </c>
      <c r="L429" s="109" t="s">
        <v>888</v>
      </c>
      <c r="M429" s="114" t="s">
        <v>292</v>
      </c>
      <c r="N429" s="115">
        <v>45748</v>
      </c>
      <c r="O429" s="114" t="s">
        <v>292</v>
      </c>
      <c r="P429" s="73">
        <v>45962</v>
      </c>
      <c r="Q429" s="113" t="s">
        <v>293</v>
      </c>
      <c r="R429" s="113" t="s">
        <v>733</v>
      </c>
      <c r="S429" s="113" t="s">
        <v>293</v>
      </c>
      <c r="T429" s="113" t="s">
        <v>733</v>
      </c>
      <c r="U429" s="113" t="s">
        <v>733</v>
      </c>
      <c r="V429" s="113" t="s">
        <v>827</v>
      </c>
      <c r="W429" s="113" t="s">
        <v>929</v>
      </c>
      <c r="X429" s="3"/>
      <c r="Y429" s="3">
        <v>1</v>
      </c>
    </row>
    <row r="430" spans="3:25">
      <c r="C430" s="63" t="s">
        <v>66</v>
      </c>
      <c r="D430" s="63" t="s">
        <v>66</v>
      </c>
      <c r="E430" s="110" t="s">
        <v>844</v>
      </c>
      <c r="F430" s="111">
        <v>2672573314</v>
      </c>
      <c r="G430" s="63" t="s">
        <v>581</v>
      </c>
      <c r="H430" s="112">
        <v>28383462</v>
      </c>
      <c r="I430" s="116" t="s">
        <v>725</v>
      </c>
      <c r="J430" s="113" t="s">
        <v>56</v>
      </c>
      <c r="K430" s="109" t="s">
        <v>840</v>
      </c>
      <c r="L430" s="109" t="s">
        <v>888</v>
      </c>
      <c r="M430" s="114" t="s">
        <v>868</v>
      </c>
      <c r="N430" s="113" t="s">
        <v>733</v>
      </c>
      <c r="O430" s="114" t="s">
        <v>292</v>
      </c>
      <c r="P430" s="73">
        <v>45962</v>
      </c>
      <c r="Q430" s="113" t="s">
        <v>293</v>
      </c>
      <c r="R430" s="113" t="s">
        <v>733</v>
      </c>
      <c r="S430" s="113" t="s">
        <v>293</v>
      </c>
      <c r="T430" s="113" t="s">
        <v>733</v>
      </c>
      <c r="U430" s="113" t="s">
        <v>733</v>
      </c>
      <c r="V430" s="113" t="s">
        <v>827</v>
      </c>
      <c r="W430" s="113" t="s">
        <v>929</v>
      </c>
      <c r="X430" s="3"/>
      <c r="Y430" s="3">
        <v>1</v>
      </c>
    </row>
    <row r="431" spans="3:25">
      <c r="C431" s="63" t="s">
        <v>66</v>
      </c>
      <c r="D431" s="63" t="s">
        <v>66</v>
      </c>
      <c r="E431" s="110" t="s">
        <v>844</v>
      </c>
      <c r="F431" s="111">
        <v>2672573314</v>
      </c>
      <c r="G431" s="63" t="s">
        <v>668</v>
      </c>
      <c r="H431" s="53">
        <v>20358418</v>
      </c>
      <c r="I431" s="116" t="s">
        <v>725</v>
      </c>
      <c r="J431" s="113" t="s">
        <v>56</v>
      </c>
      <c r="K431" s="109" t="s">
        <v>840</v>
      </c>
      <c r="L431" s="109" t="s">
        <v>888</v>
      </c>
      <c r="M431" s="114" t="s">
        <v>868</v>
      </c>
      <c r="N431" s="113" t="s">
        <v>733</v>
      </c>
      <c r="O431" s="114" t="s">
        <v>292</v>
      </c>
      <c r="P431" s="73">
        <v>45962</v>
      </c>
      <c r="Q431" s="113" t="s">
        <v>293</v>
      </c>
      <c r="R431" s="113" t="s">
        <v>733</v>
      </c>
      <c r="S431" s="113" t="s">
        <v>293</v>
      </c>
      <c r="T431" s="113" t="s">
        <v>733</v>
      </c>
      <c r="U431" s="113" t="s">
        <v>733</v>
      </c>
      <c r="V431" s="113" t="s">
        <v>827</v>
      </c>
      <c r="W431" s="113" t="s">
        <v>929</v>
      </c>
      <c r="X431" s="3"/>
      <c r="Y431" s="3">
        <v>1</v>
      </c>
    </row>
    <row r="432" spans="3:25">
      <c r="C432" s="63" t="s">
        <v>66</v>
      </c>
      <c r="D432" s="63" t="s">
        <v>66</v>
      </c>
      <c r="E432" s="110" t="s">
        <v>844</v>
      </c>
      <c r="F432" s="111">
        <v>2672573314</v>
      </c>
      <c r="G432" s="63" t="s">
        <v>795</v>
      </c>
      <c r="H432" s="112">
        <v>24873145</v>
      </c>
      <c r="I432" s="116" t="s">
        <v>729</v>
      </c>
      <c r="J432" s="113" t="s">
        <v>55</v>
      </c>
      <c r="K432" s="109" t="s">
        <v>840</v>
      </c>
      <c r="L432" s="109" t="s">
        <v>888</v>
      </c>
      <c r="M432" s="114" t="s">
        <v>868</v>
      </c>
      <c r="N432" s="113" t="s">
        <v>733</v>
      </c>
      <c r="O432" s="114" t="s">
        <v>293</v>
      </c>
      <c r="P432" s="68" t="s">
        <v>733</v>
      </c>
      <c r="Q432" s="113" t="s">
        <v>293</v>
      </c>
      <c r="R432" s="113" t="s">
        <v>733</v>
      </c>
      <c r="S432" s="113" t="s">
        <v>293</v>
      </c>
      <c r="T432" s="113" t="s">
        <v>733</v>
      </c>
      <c r="U432" s="113" t="s">
        <v>733</v>
      </c>
      <c r="V432" s="113" t="s">
        <v>827</v>
      </c>
      <c r="W432" s="113" t="s">
        <v>929</v>
      </c>
      <c r="X432" s="68"/>
      <c r="Y432" s="3">
        <v>1</v>
      </c>
    </row>
    <row r="433" spans="3:25">
      <c r="C433" s="63" t="s">
        <v>66</v>
      </c>
      <c r="D433" s="63" t="s">
        <v>66</v>
      </c>
      <c r="E433" s="110" t="s">
        <v>844</v>
      </c>
      <c r="F433" s="111">
        <v>2672573314</v>
      </c>
      <c r="G433" s="63" t="s">
        <v>483</v>
      </c>
      <c r="H433" s="111">
        <v>17539249</v>
      </c>
      <c r="I433" s="109" t="s">
        <v>410</v>
      </c>
      <c r="J433" s="113" t="s">
        <v>56</v>
      </c>
      <c r="K433" s="109" t="s">
        <v>840</v>
      </c>
      <c r="L433" s="109" t="s">
        <v>888</v>
      </c>
      <c r="M433" s="114" t="s">
        <v>292</v>
      </c>
      <c r="N433" s="115">
        <v>45748</v>
      </c>
      <c r="O433" s="114" t="s">
        <v>292</v>
      </c>
      <c r="P433" s="73">
        <v>45962</v>
      </c>
      <c r="Q433" s="113" t="s">
        <v>293</v>
      </c>
      <c r="R433" s="113" t="s">
        <v>733</v>
      </c>
      <c r="S433" s="113" t="s">
        <v>293</v>
      </c>
      <c r="T433" s="113" t="s">
        <v>733</v>
      </c>
      <c r="U433" s="113" t="s">
        <v>733</v>
      </c>
      <c r="V433" s="113" t="s">
        <v>827</v>
      </c>
      <c r="W433" s="113" t="s">
        <v>929</v>
      </c>
      <c r="X433" s="3"/>
      <c r="Y433" s="3">
        <v>1</v>
      </c>
    </row>
    <row r="434" spans="3:25">
      <c r="C434" s="63" t="s">
        <v>66</v>
      </c>
      <c r="D434" s="63" t="s">
        <v>66</v>
      </c>
      <c r="E434" s="110" t="s">
        <v>844</v>
      </c>
      <c r="F434" s="111">
        <v>2672573314</v>
      </c>
      <c r="G434" s="63" t="s">
        <v>583</v>
      </c>
      <c r="H434" s="112">
        <v>18212884</v>
      </c>
      <c r="I434" s="116" t="s">
        <v>725</v>
      </c>
      <c r="J434" s="113" t="s">
        <v>56</v>
      </c>
      <c r="K434" s="109" t="s">
        <v>840</v>
      </c>
      <c r="L434" s="109" t="s">
        <v>888</v>
      </c>
      <c r="M434" s="114" t="s">
        <v>868</v>
      </c>
      <c r="N434" s="113" t="s">
        <v>733</v>
      </c>
      <c r="O434" s="114" t="s">
        <v>292</v>
      </c>
      <c r="P434" s="73">
        <v>45962</v>
      </c>
      <c r="Q434" s="113" t="s">
        <v>293</v>
      </c>
      <c r="R434" s="113" t="s">
        <v>733</v>
      </c>
      <c r="S434" s="113" t="s">
        <v>293</v>
      </c>
      <c r="T434" s="113" t="s">
        <v>733</v>
      </c>
      <c r="U434" s="113" t="s">
        <v>733</v>
      </c>
      <c r="V434" s="113" t="s">
        <v>827</v>
      </c>
      <c r="W434" s="113" t="s">
        <v>929</v>
      </c>
      <c r="X434" s="3"/>
      <c r="Y434" s="3">
        <v>1</v>
      </c>
    </row>
    <row r="435" spans="3:25">
      <c r="C435" s="63" t="s">
        <v>66</v>
      </c>
      <c r="D435" s="63" t="s">
        <v>66</v>
      </c>
      <c r="E435" s="110" t="s">
        <v>844</v>
      </c>
      <c r="F435" s="111">
        <v>2672573314</v>
      </c>
      <c r="G435" s="63" t="s">
        <v>488</v>
      </c>
      <c r="H435" s="53">
        <v>25897770</v>
      </c>
      <c r="I435" s="109" t="s">
        <v>730</v>
      </c>
      <c r="J435" s="113" t="s">
        <v>389</v>
      </c>
      <c r="K435" s="109" t="s">
        <v>840</v>
      </c>
      <c r="L435" s="109" t="s">
        <v>888</v>
      </c>
      <c r="M435" s="114" t="s">
        <v>292</v>
      </c>
      <c r="N435" s="115">
        <v>45748</v>
      </c>
      <c r="O435" s="114" t="s">
        <v>292</v>
      </c>
      <c r="P435" s="73">
        <v>45962</v>
      </c>
      <c r="Q435" s="113" t="s">
        <v>293</v>
      </c>
      <c r="R435" s="113" t="s">
        <v>733</v>
      </c>
      <c r="S435" s="113" t="s">
        <v>293</v>
      </c>
      <c r="T435" s="113" t="s">
        <v>733</v>
      </c>
      <c r="U435" s="113" t="s">
        <v>733</v>
      </c>
      <c r="V435" s="113" t="s">
        <v>827</v>
      </c>
      <c r="W435" s="113" t="s">
        <v>931</v>
      </c>
      <c r="X435" s="3" t="s">
        <v>934</v>
      </c>
      <c r="Y435" s="3">
        <v>1</v>
      </c>
    </row>
    <row r="436" spans="3:25">
      <c r="C436" s="63" t="s">
        <v>66</v>
      </c>
      <c r="D436" s="63" t="s">
        <v>66</v>
      </c>
      <c r="E436" s="110" t="s">
        <v>844</v>
      </c>
      <c r="F436" s="111">
        <v>2672573314</v>
      </c>
      <c r="G436" s="63" t="s">
        <v>485</v>
      </c>
      <c r="H436" s="53">
        <v>26704442</v>
      </c>
      <c r="I436" s="116" t="s">
        <v>725</v>
      </c>
      <c r="J436" s="113" t="s">
        <v>389</v>
      </c>
      <c r="K436" s="109" t="s">
        <v>840</v>
      </c>
      <c r="L436" s="109" t="s">
        <v>888</v>
      </c>
      <c r="M436" s="114" t="s">
        <v>292</v>
      </c>
      <c r="N436" s="115">
        <v>45748</v>
      </c>
      <c r="O436" s="114" t="s">
        <v>292</v>
      </c>
      <c r="P436" s="73">
        <v>45962</v>
      </c>
      <c r="Q436" s="113" t="s">
        <v>293</v>
      </c>
      <c r="R436" s="113" t="s">
        <v>733</v>
      </c>
      <c r="S436" s="113" t="s">
        <v>293</v>
      </c>
      <c r="T436" s="113" t="s">
        <v>733</v>
      </c>
      <c r="U436" s="113" t="s">
        <v>733</v>
      </c>
      <c r="V436" s="113" t="s">
        <v>827</v>
      </c>
      <c r="W436" s="113" t="s">
        <v>929</v>
      </c>
      <c r="X436" s="3"/>
      <c r="Y436" s="3">
        <v>1</v>
      </c>
    </row>
    <row r="437" spans="3:25">
      <c r="C437" s="63" t="s">
        <v>66</v>
      </c>
      <c r="D437" s="63" t="s">
        <v>66</v>
      </c>
      <c r="E437" s="110" t="s">
        <v>844</v>
      </c>
      <c r="F437" s="111">
        <v>2672573314</v>
      </c>
      <c r="G437" s="63" t="s">
        <v>585</v>
      </c>
      <c r="H437" s="112">
        <v>18417228</v>
      </c>
      <c r="I437" s="109" t="s">
        <v>730</v>
      </c>
      <c r="J437" s="113" t="s">
        <v>56</v>
      </c>
      <c r="K437" s="109" t="s">
        <v>840</v>
      </c>
      <c r="L437" s="109" t="s">
        <v>888</v>
      </c>
      <c r="M437" s="114" t="s">
        <v>868</v>
      </c>
      <c r="N437" s="113" t="s">
        <v>733</v>
      </c>
      <c r="O437" s="114" t="s">
        <v>292</v>
      </c>
      <c r="P437" s="73">
        <v>45962</v>
      </c>
      <c r="Q437" s="113" t="s">
        <v>293</v>
      </c>
      <c r="R437" s="113" t="s">
        <v>733</v>
      </c>
      <c r="S437" s="113" t="s">
        <v>293</v>
      </c>
      <c r="T437" s="113" t="s">
        <v>733</v>
      </c>
      <c r="U437" s="113" t="s">
        <v>733</v>
      </c>
      <c r="V437" s="113" t="s">
        <v>827</v>
      </c>
      <c r="W437" s="113" t="s">
        <v>929</v>
      </c>
      <c r="X437" s="3"/>
      <c r="Y437" s="3">
        <v>1</v>
      </c>
    </row>
    <row r="438" spans="3:25">
      <c r="C438" s="1" t="s">
        <v>290</v>
      </c>
      <c r="H438" s="1">
        <f>SUBTOTAL(103,Tabla25711[C.I.])</f>
        <v>433</v>
      </c>
      <c r="I438" s="3"/>
      <c r="K438" s="70"/>
      <c r="L438" s="70"/>
      <c r="M438" s="3">
        <f>SUBTOTAL(103,Tabla25711[TECNICO INICIAL])</f>
        <v>433</v>
      </c>
      <c r="N438" s="1"/>
      <c r="O438" s="65">
        <f>SUBTOTAL(103,Tabla25711[[ TECNICO BASICO]])</f>
        <v>433</v>
      </c>
      <c r="P438" s="70"/>
      <c r="Q438" s="68">
        <f>SUBTOTAL(103,Tabla25711[TECNICO INTEGRAL])</f>
        <v>433</v>
      </c>
      <c r="R438" s="70"/>
      <c r="S438" s="68">
        <f>SUBTOTAL(103,Tabla25711[[ TECNICO PREMIUM]])</f>
        <v>433</v>
      </c>
      <c r="T438" s="70"/>
      <c r="U438" s="70"/>
      <c r="V438" s="70"/>
      <c r="W438" s="70"/>
      <c r="X438" s="70"/>
      <c r="Y438" s="70"/>
    </row>
  </sheetData>
  <conditionalFormatting sqref="G439:G1048576 H438 G1:G3">
    <cfRule type="duplicateValues" dxfId="1294" priority="22"/>
  </conditionalFormatting>
  <conditionalFormatting sqref="F439:F1048576 G438 F1:F3">
    <cfRule type="duplicateValues" dxfId="1293" priority="23"/>
  </conditionalFormatting>
  <conditionalFormatting sqref="F439:F1048576 G438 F1:F3">
    <cfRule type="duplicateValues" dxfId="1292" priority="24"/>
  </conditionalFormatting>
  <conditionalFormatting sqref="G217:G223">
    <cfRule type="duplicateValues" dxfId="1291" priority="14"/>
  </conditionalFormatting>
  <conditionalFormatting sqref="G5:G6">
    <cfRule type="duplicateValues" dxfId="1290" priority="13"/>
  </conditionalFormatting>
  <conditionalFormatting sqref="G66:G74 G62">
    <cfRule type="duplicateValues" dxfId="1289" priority="17"/>
  </conditionalFormatting>
  <conditionalFormatting sqref="H409:H424 H4">
    <cfRule type="duplicateValues" dxfId="1288" priority="18"/>
  </conditionalFormatting>
  <conditionalFormatting sqref="G275">
    <cfRule type="duplicateValues" dxfId="1287" priority="10"/>
  </conditionalFormatting>
  <conditionalFormatting sqref="G275">
    <cfRule type="duplicateValues" dxfId="1286" priority="11"/>
  </conditionalFormatting>
  <conditionalFormatting sqref="H275">
    <cfRule type="duplicateValues" dxfId="1285" priority="12"/>
  </conditionalFormatting>
  <conditionalFormatting sqref="G376:G377 G4 G63:G65 G10:G61 G181:G216 G75:G179 G233:G274 G409:G424 G276:G324 G224:G231 G354:G374 G330:G352">
    <cfRule type="duplicateValues" dxfId="1284" priority="312"/>
  </conditionalFormatting>
  <conditionalFormatting sqref="G409:G424 G233:G274 G4:G179 G181:G231 G354:G377 G276:G352">
    <cfRule type="duplicateValues" dxfId="1283" priority="325"/>
  </conditionalFormatting>
  <conditionalFormatting sqref="H233:H274 H5:H179 H181:H231 H354:H377 H276:H352">
    <cfRule type="duplicateValues" dxfId="1282" priority="334"/>
  </conditionalFormatting>
  <conditionalFormatting sqref="G353">
    <cfRule type="duplicateValues" dxfId="1281" priority="1"/>
  </conditionalFormatting>
  <conditionalFormatting sqref="G353">
    <cfRule type="duplicateValues" dxfId="1280" priority="2"/>
  </conditionalFormatting>
  <conditionalFormatting sqref="H353">
    <cfRule type="duplicateValues" dxfId="1279" priority="3"/>
  </conditionalFormatting>
  <dataValidations count="1">
    <dataValidation type="list" allowBlank="1" showInputMessage="1" showErrorMessage="1" sqref="J5:J231 J233:J377">
      <formula1>$AA$5:$AA$12</formula1>
    </dataValidation>
  </dataValidations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19"/>
  <sheetViews>
    <sheetView workbookViewId="0">
      <selection activeCell="H23" sqref="H23"/>
    </sheetView>
  </sheetViews>
  <sheetFormatPr baseColWidth="10" defaultRowHeight="15"/>
  <cols>
    <col min="1" max="1" width="25.28515625" customWidth="1"/>
    <col min="2" max="2" width="22.42578125" bestFit="1" customWidth="1"/>
    <col min="3" max="4" width="12.5703125" bestFit="1" customWidth="1"/>
  </cols>
  <sheetData>
    <row r="3" spans="1:4">
      <c r="A3" s="4" t="s">
        <v>875</v>
      </c>
      <c r="B3" s="4" t="s">
        <v>859</v>
      </c>
    </row>
    <row r="4" spans="1:4">
      <c r="A4" s="4" t="s">
        <v>383</v>
      </c>
      <c r="B4" s="135" t="s">
        <v>292</v>
      </c>
      <c r="C4" s="135" t="s">
        <v>293</v>
      </c>
      <c r="D4" s="135" t="s">
        <v>288</v>
      </c>
    </row>
    <row r="5" spans="1:4">
      <c r="A5" s="5" t="s">
        <v>15</v>
      </c>
      <c r="B5" s="34">
        <v>1</v>
      </c>
      <c r="C5" s="34">
        <v>47</v>
      </c>
      <c r="D5" s="34">
        <v>48</v>
      </c>
    </row>
    <row r="6" spans="1:4">
      <c r="A6" s="5" t="s">
        <v>257</v>
      </c>
      <c r="B6" s="34"/>
      <c r="C6" s="34">
        <v>4</v>
      </c>
      <c r="D6" s="34">
        <v>4</v>
      </c>
    </row>
    <row r="7" spans="1:4">
      <c r="A7" s="5" t="s">
        <v>69</v>
      </c>
      <c r="B7" s="34">
        <v>14</v>
      </c>
      <c r="C7" s="34"/>
      <c r="D7" s="34">
        <v>14</v>
      </c>
    </row>
    <row r="8" spans="1:4">
      <c r="A8" s="5" t="s">
        <v>0</v>
      </c>
      <c r="B8" s="34">
        <v>93</v>
      </c>
      <c r="C8" s="34">
        <v>46</v>
      </c>
      <c r="D8" s="34">
        <v>139</v>
      </c>
    </row>
    <row r="9" spans="1:4">
      <c r="A9" s="5" t="s">
        <v>531</v>
      </c>
      <c r="B9" s="34">
        <v>6</v>
      </c>
      <c r="C9" s="34">
        <v>6</v>
      </c>
      <c r="D9" s="34">
        <v>12</v>
      </c>
    </row>
    <row r="10" spans="1:4">
      <c r="A10" s="5" t="s">
        <v>27</v>
      </c>
      <c r="B10" s="34">
        <v>38</v>
      </c>
      <c r="C10" s="34">
        <v>18</v>
      </c>
      <c r="D10" s="34">
        <v>56</v>
      </c>
    </row>
    <row r="11" spans="1:4">
      <c r="A11" s="5" t="s">
        <v>20</v>
      </c>
      <c r="B11" s="34">
        <v>33</v>
      </c>
      <c r="C11" s="34">
        <v>3</v>
      </c>
      <c r="D11" s="34">
        <v>36</v>
      </c>
    </row>
    <row r="12" spans="1:4">
      <c r="A12" s="5" t="s">
        <v>36</v>
      </c>
      <c r="B12" s="34"/>
      <c r="C12" s="34">
        <v>40</v>
      </c>
      <c r="D12" s="34">
        <v>40</v>
      </c>
    </row>
    <row r="13" spans="1:4">
      <c r="A13" s="5" t="s">
        <v>642</v>
      </c>
      <c r="B13" s="34">
        <v>2</v>
      </c>
      <c r="C13" s="34"/>
      <c r="D13" s="34">
        <v>2</v>
      </c>
    </row>
    <row r="14" spans="1:4">
      <c r="A14" s="5" t="s">
        <v>31</v>
      </c>
      <c r="B14" s="34">
        <v>25</v>
      </c>
      <c r="C14" s="34">
        <v>3</v>
      </c>
      <c r="D14" s="34">
        <v>28</v>
      </c>
    </row>
    <row r="15" spans="1:4">
      <c r="A15" s="5" t="s">
        <v>645</v>
      </c>
      <c r="B15" s="34">
        <v>3</v>
      </c>
      <c r="C15" s="34"/>
      <c r="D15" s="34">
        <v>3</v>
      </c>
    </row>
    <row r="16" spans="1:4">
      <c r="A16" s="5" t="s">
        <v>261</v>
      </c>
      <c r="B16" s="34">
        <v>6</v>
      </c>
      <c r="C16" s="34">
        <v>1</v>
      </c>
      <c r="D16" s="34">
        <v>7</v>
      </c>
    </row>
    <row r="17" spans="1:4">
      <c r="A17" s="5" t="s">
        <v>39</v>
      </c>
      <c r="B17" s="34">
        <v>16</v>
      </c>
      <c r="C17" s="34">
        <v>2</v>
      </c>
      <c r="D17" s="34">
        <v>18</v>
      </c>
    </row>
    <row r="18" spans="1:4">
      <c r="A18" s="5" t="s">
        <v>66</v>
      </c>
      <c r="B18" s="34">
        <v>24</v>
      </c>
      <c r="C18" s="34">
        <v>3</v>
      </c>
      <c r="D18" s="34">
        <v>27</v>
      </c>
    </row>
    <row r="19" spans="1:4">
      <c r="A19" s="5" t="s">
        <v>288</v>
      </c>
      <c r="B19" s="34">
        <v>261</v>
      </c>
      <c r="C19" s="34">
        <v>173</v>
      </c>
      <c r="D19" s="28">
        <v>434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Views>
    <sheetView showGridLines="0" workbookViewId="0">
      <selection activeCell="B10" sqref="B10"/>
    </sheetView>
  </sheetViews>
  <sheetFormatPr baseColWidth="10" defaultRowHeight="15"/>
  <cols>
    <col min="1" max="1" width="11.42578125" style="1"/>
    <col min="2" max="2" width="19.28515625" customWidth="1"/>
    <col min="3" max="3" width="9.7109375" customWidth="1"/>
    <col min="4" max="4" width="9.28515625" customWidth="1"/>
    <col min="5" max="5" width="12.140625" customWidth="1"/>
    <col min="6" max="6" width="8.7109375" customWidth="1"/>
    <col min="7" max="7" width="14.5703125" customWidth="1"/>
    <col min="8" max="8" width="41.28515625" customWidth="1"/>
    <col min="9" max="9" width="12.5703125" customWidth="1"/>
    <col min="10" max="10" width="12.140625" customWidth="1"/>
    <col min="11" max="11" width="8.7109375" customWidth="1"/>
    <col min="12" max="12" width="14.5703125" customWidth="1"/>
    <col min="13" max="13" width="34.5703125" customWidth="1"/>
    <col min="14" max="14" width="12.5703125" customWidth="1"/>
    <col min="15" max="15" width="9.28515625" customWidth="1"/>
    <col min="16" max="16" width="12.140625" customWidth="1"/>
    <col min="17" max="17" width="8.7109375" customWidth="1"/>
    <col min="18" max="18" width="14.5703125" customWidth="1"/>
    <col min="19" max="19" width="34.5703125" customWidth="1"/>
    <col min="20" max="21" width="12.5703125" customWidth="1"/>
    <col min="22" max="22" width="8.7109375" customWidth="1"/>
    <col min="23" max="23" width="14.42578125" customWidth="1"/>
    <col min="24" max="24" width="9.28515625" customWidth="1"/>
    <col min="25" max="25" width="12.140625" customWidth="1"/>
    <col min="26" max="26" width="8.7109375" customWidth="1"/>
    <col min="27" max="27" width="14.5703125" customWidth="1"/>
    <col min="28" max="28" width="34.5703125" customWidth="1"/>
    <col min="29" max="29" width="12.5703125" customWidth="1"/>
    <col min="30" max="30" width="15.5703125" customWidth="1"/>
    <col min="31" max="31" width="17.5703125" bestFit="1" customWidth="1"/>
    <col min="32" max="32" width="5.85546875" customWidth="1"/>
    <col min="33" max="33" width="20.7109375" bestFit="1" customWidth="1"/>
    <col min="34" max="34" width="8.5703125" customWidth="1"/>
    <col min="35" max="35" width="11.5703125" bestFit="1" customWidth="1"/>
    <col min="36" max="36" width="12.5703125" bestFit="1" customWidth="1"/>
  </cols>
  <sheetData>
    <row r="1" spans="1:9">
      <c r="A1"/>
    </row>
    <row r="2" spans="1:9">
      <c r="A2"/>
    </row>
    <row r="3" spans="1:9">
      <c r="A3"/>
    </row>
    <row r="7" spans="1:9">
      <c r="B7" t="s">
        <v>876</v>
      </c>
    </row>
    <row r="8" spans="1:9">
      <c r="B8" s="4" t="s">
        <v>875</v>
      </c>
      <c r="C8" s="4" t="s">
        <v>47</v>
      </c>
    </row>
    <row r="9" spans="1:9">
      <c r="B9" s="4" t="s">
        <v>876</v>
      </c>
      <c r="C9" s="3" t="s">
        <v>729</v>
      </c>
      <c r="D9" s="3" t="s">
        <v>725</v>
      </c>
      <c r="E9" s="3" t="s">
        <v>410</v>
      </c>
      <c r="F9" s="3" t="s">
        <v>730</v>
      </c>
      <c r="G9" s="3" t="s">
        <v>706</v>
      </c>
      <c r="H9" s="3" t="s">
        <v>754</v>
      </c>
      <c r="I9" s="1" t="s">
        <v>288</v>
      </c>
    </row>
    <row r="10" spans="1:9">
      <c r="B10" s="5" t="s">
        <v>292</v>
      </c>
      <c r="C10" s="28"/>
      <c r="D10" s="28">
        <v>53</v>
      </c>
      <c r="E10" s="28">
        <v>3</v>
      </c>
      <c r="F10" s="28">
        <v>69</v>
      </c>
      <c r="G10" s="28">
        <v>3</v>
      </c>
      <c r="H10" s="28"/>
      <c r="I10" s="28">
        <v>128</v>
      </c>
    </row>
    <row r="11" spans="1:9">
      <c r="B11" s="5" t="s">
        <v>868</v>
      </c>
      <c r="C11" s="28">
        <v>60</v>
      </c>
      <c r="D11" s="28">
        <v>114</v>
      </c>
      <c r="E11" s="28">
        <v>21</v>
      </c>
      <c r="F11" s="28">
        <v>92</v>
      </c>
      <c r="G11" s="28">
        <v>17</v>
      </c>
      <c r="H11" s="28">
        <v>2</v>
      </c>
      <c r="I11" s="28">
        <v>306</v>
      </c>
    </row>
    <row r="12" spans="1:9">
      <c r="B12" s="5" t="s">
        <v>288</v>
      </c>
      <c r="C12" s="28">
        <v>60</v>
      </c>
      <c r="D12" s="28">
        <v>167</v>
      </c>
      <c r="E12" s="28">
        <v>24</v>
      </c>
      <c r="F12" s="28">
        <v>161</v>
      </c>
      <c r="G12" s="28">
        <v>20</v>
      </c>
      <c r="H12" s="28">
        <v>2</v>
      </c>
      <c r="I12" s="28">
        <v>434</v>
      </c>
    </row>
    <row r="14" spans="1:9">
      <c r="B14" s="5" t="s">
        <v>639</v>
      </c>
    </row>
    <row r="15" spans="1:9">
      <c r="B15" s="4" t="s">
        <v>875</v>
      </c>
      <c r="C15" s="4" t="s">
        <v>47</v>
      </c>
    </row>
    <row r="16" spans="1:9">
      <c r="B16" s="4" t="s">
        <v>639</v>
      </c>
      <c r="C16" s="6" t="s">
        <v>729</v>
      </c>
      <c r="D16" s="6" t="s">
        <v>725</v>
      </c>
      <c r="E16" s="6" t="s">
        <v>410</v>
      </c>
      <c r="F16" s="6" t="s">
        <v>730</v>
      </c>
      <c r="G16" s="6" t="s">
        <v>706</v>
      </c>
      <c r="H16" s="6" t="s">
        <v>754</v>
      </c>
      <c r="I16" s="1" t="s">
        <v>288</v>
      </c>
    </row>
    <row r="17" spans="2:9">
      <c r="B17" s="5" t="s">
        <v>292</v>
      </c>
      <c r="C17" s="28">
        <v>3</v>
      </c>
      <c r="D17" s="28">
        <v>122</v>
      </c>
      <c r="E17" s="28">
        <v>11</v>
      </c>
      <c r="F17" s="28">
        <v>118</v>
      </c>
      <c r="G17" s="28">
        <v>7</v>
      </c>
      <c r="H17" s="28"/>
      <c r="I17" s="28">
        <v>261</v>
      </c>
    </row>
    <row r="18" spans="2:9">
      <c r="B18" s="5" t="s">
        <v>293</v>
      </c>
      <c r="C18" s="28">
        <v>57</v>
      </c>
      <c r="D18" s="28">
        <v>45</v>
      </c>
      <c r="E18" s="28">
        <v>13</v>
      </c>
      <c r="F18" s="28">
        <v>43</v>
      </c>
      <c r="G18" s="28">
        <v>13</v>
      </c>
      <c r="H18" s="28">
        <v>2</v>
      </c>
      <c r="I18" s="28">
        <v>173</v>
      </c>
    </row>
    <row r="19" spans="2:9">
      <c r="B19" s="5" t="s">
        <v>288</v>
      </c>
      <c r="C19" s="28">
        <v>60</v>
      </c>
      <c r="D19" s="28">
        <v>167</v>
      </c>
      <c r="E19" s="28">
        <v>24</v>
      </c>
      <c r="F19" s="28">
        <v>161</v>
      </c>
      <c r="G19" s="28">
        <v>20</v>
      </c>
      <c r="H19" s="28">
        <v>2</v>
      </c>
      <c r="I19" s="28">
        <v>434</v>
      </c>
    </row>
    <row r="21" spans="2:9">
      <c r="B21" s="5" t="s">
        <v>877</v>
      </c>
    </row>
    <row r="22" spans="2:9">
      <c r="B22" s="4" t="s">
        <v>875</v>
      </c>
      <c r="C22" s="4" t="s">
        <v>47</v>
      </c>
    </row>
    <row r="23" spans="2:9">
      <c r="B23" s="4" t="s">
        <v>877</v>
      </c>
      <c r="C23" s="6" t="s">
        <v>729</v>
      </c>
      <c r="D23" s="6" t="s">
        <v>725</v>
      </c>
      <c r="E23" s="6" t="s">
        <v>410</v>
      </c>
      <c r="F23" s="6" t="s">
        <v>730</v>
      </c>
      <c r="G23" s="6" t="s">
        <v>706</v>
      </c>
      <c r="H23" s="6" t="s">
        <v>754</v>
      </c>
      <c r="I23" s="1" t="s">
        <v>288</v>
      </c>
    </row>
    <row r="24" spans="2:9">
      <c r="B24" s="5" t="s">
        <v>293</v>
      </c>
      <c r="C24" s="28">
        <v>60</v>
      </c>
      <c r="D24" s="28">
        <v>167</v>
      </c>
      <c r="E24" s="28">
        <v>24</v>
      </c>
      <c r="F24" s="28">
        <v>161</v>
      </c>
      <c r="G24" s="28">
        <v>20</v>
      </c>
      <c r="H24" s="28">
        <v>2</v>
      </c>
      <c r="I24" s="28">
        <v>434</v>
      </c>
    </row>
    <row r="25" spans="2:9">
      <c r="B25" s="5" t="s">
        <v>288</v>
      </c>
      <c r="C25" s="28">
        <v>60</v>
      </c>
      <c r="D25" s="28">
        <v>167</v>
      </c>
      <c r="E25" s="28">
        <v>24</v>
      </c>
      <c r="F25" s="28">
        <v>161</v>
      </c>
      <c r="G25" s="28">
        <v>20</v>
      </c>
      <c r="H25" s="28">
        <v>2</v>
      </c>
      <c r="I25" s="28">
        <v>434</v>
      </c>
    </row>
    <row r="28" spans="2:9">
      <c r="B28" s="5" t="s">
        <v>878</v>
      </c>
    </row>
    <row r="29" spans="2:9">
      <c r="B29" s="4" t="s">
        <v>875</v>
      </c>
      <c r="C29" s="4" t="s">
        <v>47</v>
      </c>
    </row>
    <row r="30" spans="2:9">
      <c r="B30" s="4" t="s">
        <v>878</v>
      </c>
      <c r="C30" s="6" t="s">
        <v>729</v>
      </c>
      <c r="D30" s="6" t="s">
        <v>725</v>
      </c>
      <c r="E30" s="6" t="s">
        <v>410</v>
      </c>
      <c r="F30" s="6" t="s">
        <v>730</v>
      </c>
      <c r="G30" s="6" t="s">
        <v>706</v>
      </c>
      <c r="H30" s="6" t="s">
        <v>754</v>
      </c>
      <c r="I30" s="1" t="s">
        <v>288</v>
      </c>
    </row>
    <row r="31" spans="2:9">
      <c r="B31" s="5" t="s">
        <v>293</v>
      </c>
      <c r="C31" s="28">
        <v>60</v>
      </c>
      <c r="D31" s="28">
        <v>167</v>
      </c>
      <c r="E31" s="28">
        <v>24</v>
      </c>
      <c r="F31" s="28">
        <v>161</v>
      </c>
      <c r="G31" s="28">
        <v>20</v>
      </c>
      <c r="H31" s="28">
        <v>2</v>
      </c>
      <c r="I31" s="28">
        <v>434</v>
      </c>
    </row>
    <row r="32" spans="2:9">
      <c r="B32" s="5" t="s">
        <v>288</v>
      </c>
      <c r="C32" s="28">
        <v>60</v>
      </c>
      <c r="D32" s="28">
        <v>167</v>
      </c>
      <c r="E32" s="28">
        <v>24</v>
      </c>
      <c r="F32" s="28">
        <v>161</v>
      </c>
      <c r="G32" s="28">
        <v>20</v>
      </c>
      <c r="H32" s="28">
        <v>2</v>
      </c>
      <c r="I32" s="28">
        <v>434</v>
      </c>
    </row>
  </sheetData>
  <pageMargins left="0.7" right="0.7" top="0.75" bottom="0.75" header="0.3" footer="0.3"/>
  <pageSetup orientation="portrait" verticalDpi="0" r:id="rId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S326"/>
  <sheetViews>
    <sheetView workbookViewId="0">
      <selection activeCell="K138" sqref="K138"/>
    </sheetView>
  </sheetViews>
  <sheetFormatPr baseColWidth="10" defaultRowHeight="15"/>
  <cols>
    <col min="1" max="2" width="11.42578125" style="1"/>
    <col min="3" max="3" width="15.5703125" style="1" customWidth="1"/>
    <col min="4" max="4" width="55.140625" style="1" bestFit="1" customWidth="1"/>
    <col min="5" max="5" width="19.85546875" style="1" customWidth="1"/>
    <col min="6" max="6" width="14.85546875" style="1" customWidth="1"/>
    <col min="7" max="7" width="15.7109375" style="1" customWidth="1"/>
    <col min="8" max="8" width="16" style="1" customWidth="1"/>
    <col min="9" max="9" width="13.28515625" style="1" customWidth="1"/>
    <col min="10" max="10" width="13.140625" style="1" customWidth="1"/>
    <col min="11" max="11" width="11.85546875" style="1" customWidth="1"/>
    <col min="12" max="12" width="14.7109375" style="1" customWidth="1"/>
    <col min="13" max="14" width="12" style="1" customWidth="1"/>
    <col min="15" max="15" width="12.140625" style="1" customWidth="1"/>
    <col min="16" max="16" width="19" style="1" customWidth="1"/>
    <col min="17" max="16384" width="11.42578125" style="1"/>
  </cols>
  <sheetData>
    <row r="4" spans="3:19" ht="45">
      <c r="C4" s="6" t="s">
        <v>44</v>
      </c>
      <c r="D4" s="6" t="s">
        <v>45</v>
      </c>
      <c r="E4" s="6" t="s">
        <v>46</v>
      </c>
      <c r="F4" s="6" t="s">
        <v>47</v>
      </c>
      <c r="G4" s="6" t="s">
        <v>48</v>
      </c>
      <c r="H4" s="7" t="s">
        <v>377</v>
      </c>
      <c r="I4" s="7" t="s">
        <v>147</v>
      </c>
      <c r="J4" s="7" t="s">
        <v>148</v>
      </c>
      <c r="K4" s="7" t="s">
        <v>149</v>
      </c>
      <c r="L4" s="7" t="s">
        <v>150</v>
      </c>
      <c r="M4" s="7" t="s">
        <v>378</v>
      </c>
      <c r="N4" s="7" t="s">
        <v>379</v>
      </c>
      <c r="O4" s="7" t="s">
        <v>380</v>
      </c>
      <c r="P4" s="7" t="s">
        <v>337</v>
      </c>
      <c r="S4" s="1" t="s">
        <v>52</v>
      </c>
    </row>
    <row r="5" spans="3:19">
      <c r="C5" s="1" t="s">
        <v>0</v>
      </c>
      <c r="D5" s="1" t="s">
        <v>1</v>
      </c>
      <c r="E5" s="2">
        <v>19772009</v>
      </c>
      <c r="F5" s="1" t="s">
        <v>50</v>
      </c>
      <c r="G5" s="1" t="s">
        <v>53</v>
      </c>
      <c r="I5" s="3" t="s">
        <v>151</v>
      </c>
      <c r="J5" s="3" t="s">
        <v>151</v>
      </c>
      <c r="K5" s="3" t="s">
        <v>151</v>
      </c>
      <c r="L5" s="3" t="s">
        <v>151</v>
      </c>
      <c r="M5" s="3"/>
      <c r="N5" s="3" t="s">
        <v>381</v>
      </c>
      <c r="O5" s="3"/>
      <c r="P5" s="3">
        <v>1</v>
      </c>
      <c r="S5" s="1" t="s">
        <v>53</v>
      </c>
    </row>
    <row r="6" spans="3:19">
      <c r="C6" s="1" t="s">
        <v>0</v>
      </c>
      <c r="D6" s="1" t="s">
        <v>3</v>
      </c>
      <c r="E6" s="2">
        <v>20729516</v>
      </c>
      <c r="F6" s="1" t="s">
        <v>50</v>
      </c>
      <c r="G6" s="1" t="s">
        <v>53</v>
      </c>
      <c r="I6" s="3" t="s">
        <v>151</v>
      </c>
      <c r="J6" s="3" t="s">
        <v>151</v>
      </c>
      <c r="K6" s="3" t="s">
        <v>151</v>
      </c>
      <c r="L6" s="3" t="s">
        <v>151</v>
      </c>
      <c r="M6" s="3"/>
      <c r="N6" s="3" t="s">
        <v>381</v>
      </c>
      <c r="O6" s="3"/>
      <c r="P6" s="3">
        <v>1</v>
      </c>
      <c r="S6" s="1" t="s">
        <v>54</v>
      </c>
    </row>
    <row r="7" spans="3:19">
      <c r="C7" s="1" t="s">
        <v>0</v>
      </c>
      <c r="D7" s="1" t="s">
        <v>13</v>
      </c>
      <c r="E7" s="2">
        <v>16309906</v>
      </c>
      <c r="F7" s="1" t="s">
        <v>50</v>
      </c>
      <c r="G7" s="1" t="s">
        <v>53</v>
      </c>
      <c r="I7" s="3" t="s">
        <v>151</v>
      </c>
      <c r="J7" s="3" t="s">
        <v>151</v>
      </c>
      <c r="K7" s="3" t="s">
        <v>151</v>
      </c>
      <c r="L7" s="3" t="s">
        <v>151</v>
      </c>
      <c r="M7" s="3"/>
      <c r="N7" s="3" t="s">
        <v>381</v>
      </c>
      <c r="O7" s="3"/>
      <c r="P7" s="3">
        <v>1</v>
      </c>
      <c r="S7" s="1" t="s">
        <v>55</v>
      </c>
    </row>
    <row r="8" spans="3:19">
      <c r="C8" s="1" t="s">
        <v>0</v>
      </c>
      <c r="D8" s="1" t="s">
        <v>49</v>
      </c>
      <c r="E8" s="2">
        <v>26195951</v>
      </c>
      <c r="F8" s="1" t="s">
        <v>50</v>
      </c>
      <c r="G8" s="1" t="s">
        <v>53</v>
      </c>
      <c r="I8" s="3" t="s">
        <v>151</v>
      </c>
      <c r="J8" s="3" t="s">
        <v>151</v>
      </c>
      <c r="K8" s="3" t="s">
        <v>151</v>
      </c>
      <c r="L8" s="3" t="s">
        <v>151</v>
      </c>
      <c r="M8" s="3"/>
      <c r="N8" s="3" t="s">
        <v>381</v>
      </c>
      <c r="O8" s="3"/>
      <c r="P8" s="3">
        <v>1</v>
      </c>
      <c r="S8" s="1" t="s">
        <v>56</v>
      </c>
    </row>
    <row r="9" spans="3:19">
      <c r="C9" s="1" t="s">
        <v>0</v>
      </c>
      <c r="D9" s="1" t="s">
        <v>2</v>
      </c>
      <c r="E9" s="2">
        <v>30046821</v>
      </c>
      <c r="F9" s="1" t="s">
        <v>51</v>
      </c>
      <c r="G9" s="1" t="s">
        <v>53</v>
      </c>
      <c r="I9" s="3" t="s">
        <v>151</v>
      </c>
      <c r="J9" s="3" t="s">
        <v>151</v>
      </c>
      <c r="K9" s="3" t="s">
        <v>151</v>
      </c>
      <c r="L9" s="3" t="s">
        <v>151</v>
      </c>
      <c r="M9" s="3"/>
      <c r="N9" s="3" t="s">
        <v>381</v>
      </c>
      <c r="O9" s="3"/>
      <c r="P9" s="3">
        <v>1</v>
      </c>
    </row>
    <row r="10" spans="3:19">
      <c r="C10" s="1" t="s">
        <v>0</v>
      </c>
      <c r="D10" s="1" t="s">
        <v>10</v>
      </c>
      <c r="E10" s="2">
        <v>28465788</v>
      </c>
      <c r="F10" s="1" t="s">
        <v>51</v>
      </c>
      <c r="G10" s="1" t="s">
        <v>53</v>
      </c>
      <c r="I10" s="3" t="s">
        <v>151</v>
      </c>
      <c r="J10" s="3" t="s">
        <v>151</v>
      </c>
      <c r="K10" s="3" t="s">
        <v>151</v>
      </c>
      <c r="L10" s="3" t="s">
        <v>151</v>
      </c>
      <c r="M10" s="3"/>
      <c r="N10" s="3" t="s">
        <v>381</v>
      </c>
      <c r="O10" s="3"/>
      <c r="P10" s="3">
        <v>1</v>
      </c>
    </row>
    <row r="11" spans="3:19">
      <c r="C11" s="1" t="s">
        <v>0</v>
      </c>
      <c r="D11" s="1" t="s">
        <v>12</v>
      </c>
      <c r="E11" s="2">
        <v>31139417</v>
      </c>
      <c r="F11" s="1" t="s">
        <v>51</v>
      </c>
      <c r="G11" s="1" t="s">
        <v>53</v>
      </c>
      <c r="I11" s="3" t="s">
        <v>151</v>
      </c>
      <c r="J11" s="3" t="s">
        <v>151</v>
      </c>
      <c r="K11" s="3" t="s">
        <v>151</v>
      </c>
      <c r="L11" s="3" t="s">
        <v>151</v>
      </c>
      <c r="M11" s="3"/>
      <c r="N11" s="3" t="s">
        <v>381</v>
      </c>
      <c r="O11" s="3"/>
      <c r="P11" s="3">
        <v>1</v>
      </c>
    </row>
    <row r="12" spans="3:19">
      <c r="C12" s="1" t="s">
        <v>15</v>
      </c>
      <c r="D12" s="1" t="s">
        <v>16</v>
      </c>
      <c r="E12" s="2">
        <v>24827965</v>
      </c>
      <c r="F12" s="1" t="s">
        <v>50</v>
      </c>
      <c r="G12" s="1" t="s">
        <v>53</v>
      </c>
      <c r="I12" s="3" t="s">
        <v>151</v>
      </c>
      <c r="J12" s="3" t="s">
        <v>151</v>
      </c>
      <c r="K12" s="3" t="s">
        <v>151</v>
      </c>
      <c r="L12" s="3" t="s">
        <v>151</v>
      </c>
      <c r="M12" s="3"/>
      <c r="N12" s="3" t="s">
        <v>381</v>
      </c>
      <c r="O12" s="3"/>
      <c r="P12" s="3">
        <v>1</v>
      </c>
    </row>
    <row r="13" spans="3:19">
      <c r="C13" s="1" t="s">
        <v>15</v>
      </c>
      <c r="D13" s="1" t="s">
        <v>18</v>
      </c>
      <c r="E13" s="2">
        <v>25478858</v>
      </c>
      <c r="F13" s="1" t="s">
        <v>50</v>
      </c>
      <c r="G13" s="1" t="s">
        <v>53</v>
      </c>
      <c r="I13" s="3" t="s">
        <v>151</v>
      </c>
      <c r="J13" s="3" t="s">
        <v>151</v>
      </c>
      <c r="K13" s="3" t="s">
        <v>151</v>
      </c>
      <c r="L13" s="3" t="s">
        <v>151</v>
      </c>
      <c r="M13" s="3"/>
      <c r="N13" s="3" t="s">
        <v>381</v>
      </c>
      <c r="O13" s="3"/>
      <c r="P13" s="3">
        <v>1</v>
      </c>
    </row>
    <row r="14" spans="3:19">
      <c r="C14" s="1" t="s">
        <v>15</v>
      </c>
      <c r="D14" s="1" t="s">
        <v>17</v>
      </c>
      <c r="E14" s="2">
        <v>28069528</v>
      </c>
      <c r="F14" s="1" t="s">
        <v>51</v>
      </c>
      <c r="G14" s="1" t="s">
        <v>53</v>
      </c>
      <c r="I14" s="3" t="s">
        <v>151</v>
      </c>
      <c r="J14" s="3" t="s">
        <v>151</v>
      </c>
      <c r="K14" s="3" t="s">
        <v>151</v>
      </c>
      <c r="L14" s="3" t="s">
        <v>151</v>
      </c>
      <c r="M14" s="3"/>
      <c r="N14" s="3" t="s">
        <v>381</v>
      </c>
      <c r="O14" s="3"/>
      <c r="P14" s="3">
        <v>1</v>
      </c>
    </row>
    <row r="15" spans="3:19">
      <c r="C15" s="1" t="s">
        <v>20</v>
      </c>
      <c r="D15" s="1" t="s">
        <v>21</v>
      </c>
      <c r="E15" s="2">
        <v>20700330</v>
      </c>
      <c r="F15" s="1" t="s">
        <v>50</v>
      </c>
      <c r="G15" s="1" t="s">
        <v>53</v>
      </c>
      <c r="I15" s="3" t="s">
        <v>151</v>
      </c>
      <c r="J15" s="3" t="s">
        <v>151</v>
      </c>
      <c r="K15" s="3" t="s">
        <v>151</v>
      </c>
      <c r="L15" s="3" t="s">
        <v>151</v>
      </c>
      <c r="M15" s="3"/>
      <c r="N15" s="3" t="s">
        <v>381</v>
      </c>
      <c r="O15" s="3"/>
      <c r="P15" s="3">
        <v>1</v>
      </c>
    </row>
    <row r="16" spans="3:19">
      <c r="C16" s="1" t="s">
        <v>20</v>
      </c>
      <c r="D16" s="1" t="s">
        <v>23</v>
      </c>
      <c r="E16" s="2">
        <v>30371821</v>
      </c>
      <c r="F16" s="1" t="s">
        <v>50</v>
      </c>
      <c r="G16" s="1" t="s">
        <v>53</v>
      </c>
      <c r="I16" s="3" t="s">
        <v>151</v>
      </c>
      <c r="J16" s="3" t="s">
        <v>151</v>
      </c>
      <c r="K16" s="3" t="s">
        <v>151</v>
      </c>
      <c r="L16" s="3" t="s">
        <v>151</v>
      </c>
      <c r="M16" s="3"/>
      <c r="N16" s="3" t="s">
        <v>381</v>
      </c>
      <c r="O16" s="3"/>
      <c r="P16" s="3">
        <v>1</v>
      </c>
    </row>
    <row r="17" spans="3:16">
      <c r="C17" s="1" t="s">
        <v>31</v>
      </c>
      <c r="D17" s="1" t="s">
        <v>32</v>
      </c>
      <c r="E17" s="2">
        <v>18057256</v>
      </c>
      <c r="F17" s="1" t="s">
        <v>50</v>
      </c>
      <c r="G17" s="1" t="s">
        <v>53</v>
      </c>
      <c r="I17" s="3" t="s">
        <v>151</v>
      </c>
      <c r="J17" s="3" t="s">
        <v>151</v>
      </c>
      <c r="K17" s="3" t="s">
        <v>151</v>
      </c>
      <c r="L17" s="3" t="s">
        <v>151</v>
      </c>
      <c r="M17" s="3"/>
      <c r="N17" s="3" t="s">
        <v>381</v>
      </c>
      <c r="O17" s="3"/>
      <c r="P17" s="3">
        <v>1</v>
      </c>
    </row>
    <row r="18" spans="3:16">
      <c r="C18" s="1" t="s">
        <v>31</v>
      </c>
      <c r="D18" s="1" t="s">
        <v>34</v>
      </c>
      <c r="E18" s="2">
        <v>15730122</v>
      </c>
      <c r="F18" s="1" t="s">
        <v>50</v>
      </c>
      <c r="G18" s="1" t="s">
        <v>53</v>
      </c>
      <c r="I18" s="3" t="s">
        <v>151</v>
      </c>
      <c r="J18" s="3" t="s">
        <v>151</v>
      </c>
      <c r="K18" s="3" t="s">
        <v>151</v>
      </c>
      <c r="L18" s="3" t="s">
        <v>151</v>
      </c>
      <c r="M18" s="3"/>
      <c r="N18" s="3" t="s">
        <v>381</v>
      </c>
      <c r="O18" s="3"/>
      <c r="P18" s="3">
        <v>1</v>
      </c>
    </row>
    <row r="19" spans="3:16">
      <c r="C19" s="1" t="s">
        <v>31</v>
      </c>
      <c r="D19" s="1" t="s">
        <v>33</v>
      </c>
      <c r="E19" s="2">
        <v>30446361</v>
      </c>
      <c r="F19" s="1" t="s">
        <v>51</v>
      </c>
      <c r="G19" s="1" t="s">
        <v>53</v>
      </c>
      <c r="I19" s="3" t="s">
        <v>151</v>
      </c>
      <c r="J19" s="3" t="s">
        <v>151</v>
      </c>
      <c r="K19" s="3" t="s">
        <v>151</v>
      </c>
      <c r="L19" s="3" t="s">
        <v>151</v>
      </c>
      <c r="M19" s="3"/>
      <c r="N19" s="3" t="s">
        <v>381</v>
      </c>
      <c r="O19" s="3"/>
      <c r="P19" s="3">
        <v>1</v>
      </c>
    </row>
    <row r="20" spans="3:16">
      <c r="C20" s="1" t="s">
        <v>31</v>
      </c>
      <c r="D20" s="1" t="s">
        <v>35</v>
      </c>
      <c r="E20" s="2">
        <v>20943796</v>
      </c>
      <c r="F20" s="1" t="s">
        <v>51</v>
      </c>
      <c r="G20" s="1" t="s">
        <v>53</v>
      </c>
      <c r="I20" s="3" t="s">
        <v>151</v>
      </c>
      <c r="J20" s="3" t="s">
        <v>151</v>
      </c>
      <c r="K20" s="3" t="s">
        <v>151</v>
      </c>
      <c r="L20" s="3" t="s">
        <v>151</v>
      </c>
      <c r="M20" s="3"/>
      <c r="N20" s="3" t="s">
        <v>381</v>
      </c>
      <c r="O20" s="3"/>
      <c r="P20" s="3">
        <v>1</v>
      </c>
    </row>
    <row r="21" spans="3:16">
      <c r="C21" s="1" t="s">
        <v>15</v>
      </c>
      <c r="D21" s="1" t="s">
        <v>57</v>
      </c>
      <c r="E21" s="2">
        <v>22842272</v>
      </c>
      <c r="F21" s="1" t="s">
        <v>50</v>
      </c>
      <c r="G21" s="1" t="s">
        <v>54</v>
      </c>
      <c r="I21" s="3" t="s">
        <v>151</v>
      </c>
      <c r="J21" s="3" t="s">
        <v>151</v>
      </c>
      <c r="K21" s="3" t="s">
        <v>151</v>
      </c>
      <c r="L21" s="3" t="s">
        <v>151</v>
      </c>
      <c r="M21" s="3"/>
      <c r="N21" s="3" t="s">
        <v>381</v>
      </c>
      <c r="O21" s="3"/>
      <c r="P21" s="3">
        <v>1</v>
      </c>
    </row>
    <row r="22" spans="3:16">
      <c r="C22" s="1" t="s">
        <v>15</v>
      </c>
      <c r="D22" s="1" t="s">
        <v>58</v>
      </c>
      <c r="E22" s="2">
        <v>10227502</v>
      </c>
      <c r="F22" s="1" t="s">
        <v>50</v>
      </c>
      <c r="G22" s="1" t="s">
        <v>54</v>
      </c>
      <c r="I22" s="3" t="s">
        <v>151</v>
      </c>
      <c r="J22" s="3" t="s">
        <v>151</v>
      </c>
      <c r="K22" s="3" t="s">
        <v>151</v>
      </c>
      <c r="L22" s="3" t="s">
        <v>151</v>
      </c>
      <c r="M22" s="3"/>
      <c r="N22" s="3" t="s">
        <v>381</v>
      </c>
      <c r="O22" s="3"/>
      <c r="P22" s="3">
        <v>1</v>
      </c>
    </row>
    <row r="23" spans="3:16">
      <c r="C23" s="1" t="s">
        <v>15</v>
      </c>
      <c r="D23" s="1" t="s">
        <v>59</v>
      </c>
      <c r="E23" s="2">
        <v>21311779</v>
      </c>
      <c r="F23" s="1" t="s">
        <v>50</v>
      </c>
      <c r="G23" s="1" t="s">
        <v>54</v>
      </c>
      <c r="I23" s="3" t="s">
        <v>151</v>
      </c>
      <c r="J23" s="3" t="s">
        <v>151</v>
      </c>
      <c r="K23" s="3" t="s">
        <v>151</v>
      </c>
      <c r="L23" s="3" t="s">
        <v>151</v>
      </c>
      <c r="M23" s="3"/>
      <c r="N23" s="3" t="s">
        <v>381</v>
      </c>
      <c r="O23" s="3"/>
      <c r="P23" s="3">
        <v>1</v>
      </c>
    </row>
    <row r="24" spans="3:16">
      <c r="C24" s="1" t="s">
        <v>15</v>
      </c>
      <c r="D24" s="1" t="s">
        <v>60</v>
      </c>
      <c r="E24" s="2">
        <v>25721872</v>
      </c>
      <c r="F24" s="1" t="s">
        <v>51</v>
      </c>
      <c r="G24" s="1" t="s">
        <v>54</v>
      </c>
      <c r="I24" s="3" t="s">
        <v>151</v>
      </c>
      <c r="J24" s="3" t="s">
        <v>151</v>
      </c>
      <c r="K24" s="3" t="s">
        <v>151</v>
      </c>
      <c r="L24" s="3" t="s">
        <v>151</v>
      </c>
      <c r="M24" s="3"/>
      <c r="N24" s="3" t="s">
        <v>381</v>
      </c>
      <c r="O24" s="3"/>
      <c r="P24" s="3">
        <v>1</v>
      </c>
    </row>
    <row r="25" spans="3:16">
      <c r="C25" s="1" t="s">
        <v>15</v>
      </c>
      <c r="D25" s="1" t="s">
        <v>61</v>
      </c>
      <c r="E25" s="2">
        <v>27345748</v>
      </c>
      <c r="F25" s="1" t="s">
        <v>51</v>
      </c>
      <c r="G25" s="1" t="s">
        <v>54</v>
      </c>
      <c r="I25" s="3" t="s">
        <v>151</v>
      </c>
      <c r="J25" s="3" t="s">
        <v>151</v>
      </c>
      <c r="K25" s="3" t="s">
        <v>151</v>
      </c>
      <c r="L25" s="3" t="s">
        <v>151</v>
      </c>
      <c r="M25" s="3"/>
      <c r="N25" s="3" t="s">
        <v>381</v>
      </c>
      <c r="O25" s="3"/>
      <c r="P25" s="3">
        <v>1</v>
      </c>
    </row>
    <row r="26" spans="3:16">
      <c r="C26" s="1" t="s">
        <v>66</v>
      </c>
      <c r="D26" s="1" t="s">
        <v>62</v>
      </c>
      <c r="E26" s="2">
        <v>25897770</v>
      </c>
      <c r="F26" s="1" t="s">
        <v>50</v>
      </c>
      <c r="G26" s="1" t="s">
        <v>54</v>
      </c>
      <c r="I26" s="3" t="s">
        <v>151</v>
      </c>
      <c r="J26" s="3" t="s">
        <v>151</v>
      </c>
      <c r="K26" s="3" t="s">
        <v>151</v>
      </c>
      <c r="L26" s="3" t="s">
        <v>151</v>
      </c>
      <c r="M26" s="3"/>
      <c r="N26" s="3" t="s">
        <v>381</v>
      </c>
      <c r="O26" s="3"/>
      <c r="P26" s="3">
        <v>1</v>
      </c>
    </row>
    <row r="27" spans="3:16">
      <c r="C27" s="1" t="s">
        <v>66</v>
      </c>
      <c r="D27" s="1" t="s">
        <v>63</v>
      </c>
      <c r="E27" s="2">
        <v>19346250</v>
      </c>
      <c r="F27" s="1" t="s">
        <v>50</v>
      </c>
      <c r="G27" s="1" t="s">
        <v>54</v>
      </c>
      <c r="I27" s="3" t="s">
        <v>151</v>
      </c>
      <c r="J27" s="3" t="s">
        <v>151</v>
      </c>
      <c r="K27" s="3" t="s">
        <v>151</v>
      </c>
      <c r="L27" s="3" t="s">
        <v>151</v>
      </c>
      <c r="M27" s="3"/>
      <c r="N27" s="3" t="s">
        <v>381</v>
      </c>
      <c r="O27" s="3"/>
      <c r="P27" s="3">
        <v>1</v>
      </c>
    </row>
    <row r="28" spans="3:16">
      <c r="C28" s="1" t="s">
        <v>66</v>
      </c>
      <c r="D28" s="1" t="s">
        <v>64</v>
      </c>
      <c r="E28" s="2">
        <v>25528094</v>
      </c>
      <c r="F28" s="1" t="s">
        <v>51</v>
      </c>
      <c r="G28" s="1" t="s">
        <v>54</v>
      </c>
      <c r="I28" s="3" t="s">
        <v>151</v>
      </c>
      <c r="J28" s="3" t="s">
        <v>151</v>
      </c>
      <c r="K28" s="3" t="s">
        <v>151</v>
      </c>
      <c r="L28" s="3" t="s">
        <v>151</v>
      </c>
      <c r="M28" s="3"/>
      <c r="N28" s="3" t="s">
        <v>381</v>
      </c>
      <c r="O28" s="3"/>
      <c r="P28" s="3">
        <v>1</v>
      </c>
    </row>
    <row r="29" spans="3:16">
      <c r="C29" s="1" t="s">
        <v>66</v>
      </c>
      <c r="D29" s="1" t="s">
        <v>65</v>
      </c>
      <c r="E29" s="2">
        <v>26704442</v>
      </c>
      <c r="F29" s="1" t="s">
        <v>51</v>
      </c>
      <c r="G29" s="1" t="s">
        <v>54</v>
      </c>
      <c r="I29" s="3" t="s">
        <v>151</v>
      </c>
      <c r="J29" s="3" t="s">
        <v>151</v>
      </c>
      <c r="K29" s="3" t="s">
        <v>151</v>
      </c>
      <c r="L29" s="3" t="s">
        <v>151</v>
      </c>
      <c r="M29" s="3"/>
      <c r="N29" s="3" t="s">
        <v>381</v>
      </c>
      <c r="O29" s="3"/>
      <c r="P29" s="3">
        <v>1</v>
      </c>
    </row>
    <row r="30" spans="3:16">
      <c r="C30" s="1" t="s">
        <v>69</v>
      </c>
      <c r="D30" s="1" t="s">
        <v>67</v>
      </c>
      <c r="E30" s="2">
        <v>18558936</v>
      </c>
      <c r="F30" s="1" t="s">
        <v>50</v>
      </c>
      <c r="G30" s="1" t="s">
        <v>54</v>
      </c>
      <c r="I30" s="3" t="s">
        <v>151</v>
      </c>
      <c r="J30" s="3" t="s">
        <v>151</v>
      </c>
      <c r="K30" s="3" t="s">
        <v>151</v>
      </c>
      <c r="L30" s="3" t="s">
        <v>151</v>
      </c>
      <c r="M30" s="3"/>
      <c r="N30" s="3" t="s">
        <v>381</v>
      </c>
      <c r="O30" s="3"/>
      <c r="P30" s="3">
        <v>1</v>
      </c>
    </row>
    <row r="31" spans="3:16">
      <c r="C31" s="1" t="s">
        <v>69</v>
      </c>
      <c r="D31" s="1" t="s">
        <v>68</v>
      </c>
      <c r="E31" s="2">
        <v>16791597</v>
      </c>
      <c r="F31" s="1" t="s">
        <v>50</v>
      </c>
      <c r="G31" s="1" t="s">
        <v>54</v>
      </c>
      <c r="I31" s="3" t="s">
        <v>151</v>
      </c>
      <c r="J31" s="3" t="s">
        <v>151</v>
      </c>
      <c r="K31" s="3" t="s">
        <v>151</v>
      </c>
      <c r="L31" s="3" t="s">
        <v>151</v>
      </c>
      <c r="M31" s="3"/>
      <c r="N31" s="3" t="s">
        <v>381</v>
      </c>
      <c r="O31" s="3"/>
      <c r="P31" s="3">
        <v>1</v>
      </c>
    </row>
    <row r="32" spans="3:16">
      <c r="C32" s="1" t="s">
        <v>0</v>
      </c>
      <c r="D32" s="1" t="s">
        <v>70</v>
      </c>
      <c r="E32" s="2">
        <v>18501116</v>
      </c>
      <c r="F32" s="1" t="s">
        <v>50</v>
      </c>
      <c r="G32" s="1" t="s">
        <v>54</v>
      </c>
      <c r="I32" s="3" t="s">
        <v>151</v>
      </c>
      <c r="J32" s="3" t="s">
        <v>151</v>
      </c>
      <c r="K32" s="3" t="s">
        <v>151</v>
      </c>
      <c r="L32" s="3" t="s">
        <v>151</v>
      </c>
      <c r="M32" s="3"/>
      <c r="N32" s="3" t="s">
        <v>381</v>
      </c>
      <c r="O32" s="3"/>
      <c r="P32" s="3">
        <v>1</v>
      </c>
    </row>
    <row r="33" spans="3:16">
      <c r="C33" s="1" t="s">
        <v>0</v>
      </c>
      <c r="D33" s="1" t="s">
        <v>71</v>
      </c>
      <c r="E33" s="2">
        <v>15653907</v>
      </c>
      <c r="F33" s="1" t="s">
        <v>50</v>
      </c>
      <c r="G33" s="1" t="s">
        <v>54</v>
      </c>
      <c r="I33" s="3" t="s">
        <v>151</v>
      </c>
      <c r="J33" s="3" t="s">
        <v>151</v>
      </c>
      <c r="K33" s="3" t="s">
        <v>151</v>
      </c>
      <c r="L33" s="3" t="s">
        <v>151</v>
      </c>
      <c r="M33" s="3"/>
      <c r="N33" s="3" t="s">
        <v>381</v>
      </c>
      <c r="O33" s="3"/>
      <c r="P33" s="3">
        <v>1</v>
      </c>
    </row>
    <row r="34" spans="3:16">
      <c r="C34" s="1" t="s">
        <v>0</v>
      </c>
      <c r="D34" s="1" t="s">
        <v>72</v>
      </c>
      <c r="E34" s="2">
        <v>12035109</v>
      </c>
      <c r="F34" s="1" t="s">
        <v>50</v>
      </c>
      <c r="G34" s="1" t="s">
        <v>54</v>
      </c>
      <c r="I34" s="3" t="s">
        <v>151</v>
      </c>
      <c r="J34" s="3" t="s">
        <v>151</v>
      </c>
      <c r="K34" s="3" t="s">
        <v>151</v>
      </c>
      <c r="L34" s="3" t="s">
        <v>151</v>
      </c>
      <c r="M34" s="3"/>
      <c r="N34" s="3" t="s">
        <v>381</v>
      </c>
      <c r="O34" s="3"/>
      <c r="P34" s="3">
        <v>1</v>
      </c>
    </row>
    <row r="35" spans="3:16">
      <c r="C35" s="1" t="s">
        <v>0</v>
      </c>
      <c r="D35" s="1" t="s">
        <v>73</v>
      </c>
      <c r="E35" s="2">
        <v>20622416</v>
      </c>
      <c r="F35" s="1" t="s">
        <v>50</v>
      </c>
      <c r="G35" s="1" t="s">
        <v>54</v>
      </c>
      <c r="I35" s="3" t="s">
        <v>151</v>
      </c>
      <c r="J35" s="3" t="s">
        <v>151</v>
      </c>
      <c r="K35" s="3" t="s">
        <v>151</v>
      </c>
      <c r="L35" s="3" t="s">
        <v>151</v>
      </c>
      <c r="M35" s="3"/>
      <c r="N35" s="3" t="s">
        <v>381</v>
      </c>
      <c r="O35" s="3"/>
      <c r="P35" s="3">
        <v>1</v>
      </c>
    </row>
    <row r="36" spans="3:16">
      <c r="C36" s="1" t="s">
        <v>0</v>
      </c>
      <c r="D36" s="1" t="s">
        <v>74</v>
      </c>
      <c r="E36" s="2">
        <v>19320480</v>
      </c>
      <c r="F36" s="1" t="s">
        <v>50</v>
      </c>
      <c r="G36" s="1" t="s">
        <v>54</v>
      </c>
      <c r="I36" s="3" t="s">
        <v>151</v>
      </c>
      <c r="J36" s="3" t="s">
        <v>151</v>
      </c>
      <c r="K36" s="3" t="s">
        <v>151</v>
      </c>
      <c r="L36" s="3" t="s">
        <v>151</v>
      </c>
      <c r="M36" s="3"/>
      <c r="N36" s="3" t="s">
        <v>381</v>
      </c>
      <c r="O36" s="3"/>
      <c r="P36" s="3">
        <v>1</v>
      </c>
    </row>
    <row r="37" spans="3:16">
      <c r="C37" s="1" t="s">
        <v>0</v>
      </c>
      <c r="D37" s="1" t="s">
        <v>75</v>
      </c>
      <c r="E37" s="2">
        <v>26233269</v>
      </c>
      <c r="F37" s="1" t="s">
        <v>50</v>
      </c>
      <c r="G37" s="1" t="s">
        <v>54</v>
      </c>
      <c r="I37" s="3" t="s">
        <v>151</v>
      </c>
      <c r="J37" s="3" t="s">
        <v>151</v>
      </c>
      <c r="K37" s="3" t="s">
        <v>151</v>
      </c>
      <c r="L37" s="3" t="s">
        <v>151</v>
      </c>
      <c r="M37" s="3"/>
      <c r="N37" s="3" t="s">
        <v>381</v>
      </c>
      <c r="O37" s="3"/>
      <c r="P37" s="3">
        <v>1</v>
      </c>
    </row>
    <row r="38" spans="3:16">
      <c r="C38" s="1" t="s">
        <v>0</v>
      </c>
      <c r="D38" s="1" t="s">
        <v>76</v>
      </c>
      <c r="E38" s="2">
        <v>19188704</v>
      </c>
      <c r="F38" s="1" t="s">
        <v>50</v>
      </c>
      <c r="G38" s="1" t="s">
        <v>54</v>
      </c>
      <c r="I38" s="3" t="s">
        <v>151</v>
      </c>
      <c r="J38" s="3" t="s">
        <v>151</v>
      </c>
      <c r="K38" s="3" t="s">
        <v>151</v>
      </c>
      <c r="L38" s="3" t="s">
        <v>151</v>
      </c>
      <c r="M38" s="3"/>
      <c r="N38" s="3" t="s">
        <v>381</v>
      </c>
      <c r="O38" s="3"/>
      <c r="P38" s="3">
        <v>1</v>
      </c>
    </row>
    <row r="39" spans="3:16">
      <c r="C39" s="1" t="s">
        <v>0</v>
      </c>
      <c r="D39" s="1" t="s">
        <v>77</v>
      </c>
      <c r="E39" s="2">
        <v>13271486</v>
      </c>
      <c r="F39" s="1" t="s">
        <v>50</v>
      </c>
      <c r="G39" s="1" t="s">
        <v>54</v>
      </c>
      <c r="I39" s="3" t="s">
        <v>151</v>
      </c>
      <c r="J39" s="3" t="s">
        <v>151</v>
      </c>
      <c r="K39" s="3" t="s">
        <v>151</v>
      </c>
      <c r="L39" s="3" t="s">
        <v>151</v>
      </c>
      <c r="M39" s="3"/>
      <c r="N39" s="3" t="s">
        <v>381</v>
      </c>
      <c r="O39" s="3"/>
      <c r="P39" s="3">
        <v>1</v>
      </c>
    </row>
    <row r="40" spans="3:16">
      <c r="C40" s="1" t="s">
        <v>0</v>
      </c>
      <c r="D40" s="1" t="s">
        <v>78</v>
      </c>
      <c r="E40" s="2">
        <v>22213364</v>
      </c>
      <c r="F40" s="1" t="s">
        <v>50</v>
      </c>
      <c r="G40" s="1" t="s">
        <v>54</v>
      </c>
      <c r="I40" s="3" t="s">
        <v>151</v>
      </c>
      <c r="J40" s="3" t="s">
        <v>151</v>
      </c>
      <c r="K40" s="3" t="s">
        <v>151</v>
      </c>
      <c r="L40" s="3" t="s">
        <v>151</v>
      </c>
      <c r="M40" s="3"/>
      <c r="N40" s="3" t="s">
        <v>381</v>
      </c>
      <c r="O40" s="3"/>
      <c r="P40" s="3">
        <v>1</v>
      </c>
    </row>
    <row r="41" spans="3:16">
      <c r="C41" s="1" t="s">
        <v>0</v>
      </c>
      <c r="D41" s="1" t="s">
        <v>79</v>
      </c>
      <c r="E41" s="2">
        <v>19843415</v>
      </c>
      <c r="F41" s="1" t="s">
        <v>51</v>
      </c>
      <c r="G41" s="1" t="s">
        <v>54</v>
      </c>
      <c r="I41" s="3" t="s">
        <v>151</v>
      </c>
      <c r="J41" s="3" t="s">
        <v>151</v>
      </c>
      <c r="K41" s="3" t="s">
        <v>151</v>
      </c>
      <c r="L41" s="3" t="s">
        <v>151</v>
      </c>
      <c r="M41" s="3"/>
      <c r="N41" s="3" t="s">
        <v>381</v>
      </c>
      <c r="O41" s="3"/>
      <c r="P41" s="3">
        <v>1</v>
      </c>
    </row>
    <row r="42" spans="3:16">
      <c r="C42" s="1" t="s">
        <v>0</v>
      </c>
      <c r="D42" s="1" t="s">
        <v>80</v>
      </c>
      <c r="E42" s="2">
        <v>19130427</v>
      </c>
      <c r="F42" s="1" t="s">
        <v>51</v>
      </c>
      <c r="G42" s="1" t="s">
        <v>54</v>
      </c>
      <c r="I42" s="3" t="s">
        <v>151</v>
      </c>
      <c r="J42" s="3" t="s">
        <v>151</v>
      </c>
      <c r="K42" s="3" t="s">
        <v>151</v>
      </c>
      <c r="L42" s="3" t="s">
        <v>151</v>
      </c>
      <c r="M42" s="3"/>
      <c r="N42" s="3" t="s">
        <v>381</v>
      </c>
      <c r="O42" s="3"/>
      <c r="P42" s="3">
        <v>1</v>
      </c>
    </row>
    <row r="43" spans="3:16">
      <c r="C43" s="1" t="s">
        <v>0</v>
      </c>
      <c r="D43" s="1" t="s">
        <v>81</v>
      </c>
      <c r="E43" s="2">
        <v>18999575</v>
      </c>
      <c r="F43" s="1" t="s">
        <v>51</v>
      </c>
      <c r="G43" s="1" t="s">
        <v>54</v>
      </c>
      <c r="I43" s="3" t="s">
        <v>151</v>
      </c>
      <c r="J43" s="3" t="s">
        <v>151</v>
      </c>
      <c r="K43" s="3" t="s">
        <v>151</v>
      </c>
      <c r="L43" s="3" t="s">
        <v>151</v>
      </c>
      <c r="M43" s="3"/>
      <c r="N43" s="3" t="s">
        <v>381</v>
      </c>
      <c r="O43" s="3"/>
      <c r="P43" s="3">
        <v>1</v>
      </c>
    </row>
    <row r="44" spans="3:16">
      <c r="C44" s="1" t="s">
        <v>0</v>
      </c>
      <c r="D44" s="1" t="s">
        <v>82</v>
      </c>
      <c r="E44" s="2">
        <v>15897980</v>
      </c>
      <c r="F44" s="1" t="s">
        <v>51</v>
      </c>
      <c r="G44" s="1" t="s">
        <v>54</v>
      </c>
      <c r="I44" s="3" t="s">
        <v>151</v>
      </c>
      <c r="J44" s="3" t="s">
        <v>151</v>
      </c>
      <c r="K44" s="3" t="s">
        <v>151</v>
      </c>
      <c r="L44" s="3" t="s">
        <v>151</v>
      </c>
      <c r="M44" s="3"/>
      <c r="N44" s="3" t="s">
        <v>381</v>
      </c>
      <c r="O44" s="3"/>
      <c r="P44" s="3">
        <v>1</v>
      </c>
    </row>
    <row r="45" spans="3:16">
      <c r="C45" s="1" t="s">
        <v>0</v>
      </c>
      <c r="D45" s="1" t="s">
        <v>83</v>
      </c>
      <c r="E45" s="2">
        <v>26019988</v>
      </c>
      <c r="F45" s="1" t="s">
        <v>51</v>
      </c>
      <c r="G45" s="1" t="s">
        <v>54</v>
      </c>
      <c r="I45" s="3" t="s">
        <v>151</v>
      </c>
      <c r="J45" s="3" t="s">
        <v>151</v>
      </c>
      <c r="K45" s="3" t="s">
        <v>151</v>
      </c>
      <c r="L45" s="3" t="s">
        <v>151</v>
      </c>
      <c r="M45" s="3"/>
      <c r="N45" s="3" t="s">
        <v>381</v>
      </c>
      <c r="O45" s="3"/>
      <c r="P45" s="3">
        <v>1</v>
      </c>
    </row>
    <row r="46" spans="3:16">
      <c r="C46" s="1" t="s">
        <v>0</v>
      </c>
      <c r="D46" s="1" t="s">
        <v>84</v>
      </c>
      <c r="E46" s="2">
        <v>30639871</v>
      </c>
      <c r="F46" s="1" t="s">
        <v>51</v>
      </c>
      <c r="G46" s="1" t="s">
        <v>54</v>
      </c>
      <c r="I46" s="3" t="s">
        <v>151</v>
      </c>
      <c r="J46" s="3" t="s">
        <v>151</v>
      </c>
      <c r="K46" s="3" t="s">
        <v>151</v>
      </c>
      <c r="L46" s="3" t="s">
        <v>151</v>
      </c>
      <c r="M46" s="3"/>
      <c r="N46" s="3" t="s">
        <v>381</v>
      </c>
      <c r="O46" s="3"/>
      <c r="P46" s="3">
        <v>1</v>
      </c>
    </row>
    <row r="47" spans="3:16">
      <c r="C47" s="1" t="s">
        <v>0</v>
      </c>
      <c r="D47" s="1" t="s">
        <v>85</v>
      </c>
      <c r="E47" s="2">
        <v>21029364</v>
      </c>
      <c r="F47" s="1" t="s">
        <v>51</v>
      </c>
      <c r="G47" s="1" t="s">
        <v>54</v>
      </c>
      <c r="I47" s="3" t="s">
        <v>151</v>
      </c>
      <c r="J47" s="3" t="s">
        <v>151</v>
      </c>
      <c r="K47" s="3" t="s">
        <v>151</v>
      </c>
      <c r="L47" s="3" t="s">
        <v>151</v>
      </c>
      <c r="M47" s="3"/>
      <c r="N47" s="3" t="s">
        <v>381</v>
      </c>
      <c r="O47" s="3"/>
      <c r="P47" s="3">
        <v>1</v>
      </c>
    </row>
    <row r="48" spans="3:16">
      <c r="C48" s="1" t="s">
        <v>0</v>
      </c>
      <c r="D48" s="1" t="s">
        <v>86</v>
      </c>
      <c r="E48" s="2">
        <v>24443641</v>
      </c>
      <c r="F48" s="1" t="s">
        <v>51</v>
      </c>
      <c r="G48" s="1" t="s">
        <v>54</v>
      </c>
      <c r="I48" s="3" t="s">
        <v>151</v>
      </c>
      <c r="J48" s="3" t="s">
        <v>151</v>
      </c>
      <c r="K48" s="3" t="s">
        <v>151</v>
      </c>
      <c r="L48" s="3" t="s">
        <v>151</v>
      </c>
      <c r="M48" s="3"/>
      <c r="N48" s="3" t="s">
        <v>381</v>
      </c>
      <c r="O48" s="3"/>
      <c r="P48" s="3">
        <v>1</v>
      </c>
    </row>
    <row r="49" spans="3:16">
      <c r="C49" s="1" t="s">
        <v>0</v>
      </c>
      <c r="D49" s="1" t="s">
        <v>87</v>
      </c>
      <c r="E49" s="2">
        <v>18748734</v>
      </c>
      <c r="F49" s="1" t="s">
        <v>51</v>
      </c>
      <c r="G49" s="1" t="s">
        <v>54</v>
      </c>
      <c r="I49" s="3" t="s">
        <v>151</v>
      </c>
      <c r="J49" s="3" t="s">
        <v>151</v>
      </c>
      <c r="K49" s="3" t="s">
        <v>151</v>
      </c>
      <c r="L49" s="3" t="s">
        <v>151</v>
      </c>
      <c r="M49" s="3"/>
      <c r="N49" s="3" t="s">
        <v>381</v>
      </c>
      <c r="O49" s="3"/>
      <c r="P49" s="3">
        <v>1</v>
      </c>
    </row>
    <row r="50" spans="3:16">
      <c r="C50" s="1" t="s">
        <v>27</v>
      </c>
      <c r="D50" s="1" t="s">
        <v>88</v>
      </c>
      <c r="E50" s="2"/>
      <c r="F50" s="1" t="s">
        <v>50</v>
      </c>
      <c r="G50" s="1" t="s">
        <v>54</v>
      </c>
      <c r="I50" s="3" t="s">
        <v>151</v>
      </c>
      <c r="J50" s="3" t="s">
        <v>151</v>
      </c>
      <c r="K50" s="3" t="s">
        <v>151</v>
      </c>
      <c r="L50" s="3" t="s">
        <v>151</v>
      </c>
      <c r="M50" s="3"/>
      <c r="N50" s="3" t="s">
        <v>381</v>
      </c>
      <c r="O50" s="3"/>
      <c r="P50" s="3">
        <v>1</v>
      </c>
    </row>
    <row r="51" spans="3:16">
      <c r="C51" s="1" t="s">
        <v>27</v>
      </c>
      <c r="D51" s="1" t="s">
        <v>89</v>
      </c>
      <c r="E51" s="2"/>
      <c r="F51" s="1" t="s">
        <v>51</v>
      </c>
      <c r="G51" s="1" t="s">
        <v>54</v>
      </c>
      <c r="I51" s="3" t="s">
        <v>151</v>
      </c>
      <c r="J51" s="3" t="s">
        <v>151</v>
      </c>
      <c r="K51" s="3" t="s">
        <v>151</v>
      </c>
      <c r="L51" s="3" t="s">
        <v>151</v>
      </c>
      <c r="M51" s="3"/>
      <c r="N51" s="3" t="s">
        <v>381</v>
      </c>
      <c r="O51" s="3"/>
      <c r="P51" s="3">
        <v>1</v>
      </c>
    </row>
    <row r="52" spans="3:16">
      <c r="C52" s="1" t="s">
        <v>0</v>
      </c>
      <c r="D52" s="1" t="s">
        <v>97</v>
      </c>
      <c r="E52" s="2">
        <v>24629986</v>
      </c>
      <c r="F52" s="1" t="s">
        <v>50</v>
      </c>
      <c r="G52" s="1" t="s">
        <v>55</v>
      </c>
      <c r="I52" s="3" t="s">
        <v>151</v>
      </c>
      <c r="J52" s="3" t="s">
        <v>151</v>
      </c>
      <c r="K52" s="3" t="s">
        <v>151</v>
      </c>
      <c r="L52" s="3" t="s">
        <v>151</v>
      </c>
      <c r="M52" s="3"/>
      <c r="N52" s="3" t="s">
        <v>381</v>
      </c>
      <c r="O52" s="3"/>
      <c r="P52" s="3">
        <v>1</v>
      </c>
    </row>
    <row r="53" spans="3:16">
      <c r="C53" s="1" t="s">
        <v>0</v>
      </c>
      <c r="D53" s="1" t="s">
        <v>98</v>
      </c>
      <c r="E53" s="2">
        <v>16449647</v>
      </c>
      <c r="F53" s="1" t="s">
        <v>51</v>
      </c>
      <c r="G53" s="1" t="s">
        <v>55</v>
      </c>
      <c r="I53" s="3" t="s">
        <v>151</v>
      </c>
      <c r="J53" s="3" t="s">
        <v>151</v>
      </c>
      <c r="K53" s="3" t="s">
        <v>151</v>
      </c>
      <c r="L53" s="3" t="s">
        <v>151</v>
      </c>
      <c r="M53" s="3"/>
      <c r="N53" s="3" t="s">
        <v>381</v>
      </c>
      <c r="O53" s="3"/>
      <c r="P53" s="3">
        <v>1</v>
      </c>
    </row>
    <row r="54" spans="3:16">
      <c r="C54" s="1" t="s">
        <v>0</v>
      </c>
      <c r="D54" s="1" t="s">
        <v>99</v>
      </c>
      <c r="E54" s="2">
        <v>27111205</v>
      </c>
      <c r="F54" s="1" t="s">
        <v>50</v>
      </c>
      <c r="G54" s="1" t="s">
        <v>55</v>
      </c>
      <c r="I54" s="3" t="s">
        <v>151</v>
      </c>
      <c r="J54" s="3" t="s">
        <v>151</v>
      </c>
      <c r="K54" s="3" t="s">
        <v>151</v>
      </c>
      <c r="L54" s="3" t="s">
        <v>151</v>
      </c>
      <c r="M54" s="3"/>
      <c r="N54" s="3" t="s">
        <v>381</v>
      </c>
      <c r="O54" s="3"/>
      <c r="P54" s="3">
        <v>1</v>
      </c>
    </row>
    <row r="55" spans="3:16">
      <c r="C55" s="1" t="s">
        <v>0</v>
      </c>
      <c r="D55" s="1" t="s">
        <v>100</v>
      </c>
      <c r="E55" s="2">
        <v>27548643</v>
      </c>
      <c r="F55" s="1" t="s">
        <v>51</v>
      </c>
      <c r="G55" s="1" t="s">
        <v>55</v>
      </c>
      <c r="I55" s="3" t="s">
        <v>151</v>
      </c>
      <c r="J55" s="3" t="s">
        <v>151</v>
      </c>
      <c r="K55" s="3" t="s">
        <v>151</v>
      </c>
      <c r="L55" s="3" t="s">
        <v>151</v>
      </c>
      <c r="M55" s="3"/>
      <c r="N55" s="3" t="s">
        <v>381</v>
      </c>
      <c r="O55" s="3"/>
      <c r="P55" s="3">
        <v>1</v>
      </c>
    </row>
    <row r="56" spans="3:16">
      <c r="C56" s="1" t="s">
        <v>0</v>
      </c>
      <c r="D56" s="1" t="s">
        <v>101</v>
      </c>
      <c r="E56" s="2">
        <v>28113122</v>
      </c>
      <c r="F56" s="1" t="s">
        <v>50</v>
      </c>
      <c r="G56" s="1" t="s">
        <v>55</v>
      </c>
      <c r="I56" s="3" t="s">
        <v>151</v>
      </c>
      <c r="J56" s="3" t="s">
        <v>151</v>
      </c>
      <c r="K56" s="3" t="s">
        <v>151</v>
      </c>
      <c r="L56" s="3" t="s">
        <v>151</v>
      </c>
      <c r="M56" s="3"/>
      <c r="N56" s="3" t="s">
        <v>381</v>
      </c>
      <c r="O56" s="3"/>
      <c r="P56" s="3">
        <v>1</v>
      </c>
    </row>
    <row r="57" spans="3:16">
      <c r="C57" s="1" t="s">
        <v>0</v>
      </c>
      <c r="D57" s="1" t="s">
        <v>102</v>
      </c>
      <c r="E57" s="2">
        <v>19021730</v>
      </c>
      <c r="F57" s="1" t="s">
        <v>51</v>
      </c>
      <c r="G57" s="1" t="s">
        <v>55</v>
      </c>
      <c r="I57" s="3" t="s">
        <v>151</v>
      </c>
      <c r="J57" s="3" t="s">
        <v>151</v>
      </c>
      <c r="K57" s="3" t="s">
        <v>151</v>
      </c>
      <c r="L57" s="3" t="s">
        <v>151</v>
      </c>
      <c r="M57" s="3"/>
      <c r="N57" s="3" t="s">
        <v>381</v>
      </c>
      <c r="O57" s="3"/>
      <c r="P57" s="3">
        <v>1</v>
      </c>
    </row>
    <row r="58" spans="3:16">
      <c r="C58" s="1" t="s">
        <v>0</v>
      </c>
      <c r="D58" s="1" t="s">
        <v>103</v>
      </c>
      <c r="E58" s="2">
        <v>20700562</v>
      </c>
      <c r="F58" s="1" t="s">
        <v>50</v>
      </c>
      <c r="G58" s="1" t="s">
        <v>55</v>
      </c>
      <c r="I58" s="3" t="s">
        <v>151</v>
      </c>
      <c r="J58" s="3" t="s">
        <v>151</v>
      </c>
      <c r="K58" s="3" t="s">
        <v>151</v>
      </c>
      <c r="L58" s="3" t="s">
        <v>151</v>
      </c>
      <c r="M58" s="3"/>
      <c r="N58" s="3" t="s">
        <v>381</v>
      </c>
      <c r="O58" s="3"/>
      <c r="P58" s="3">
        <v>1</v>
      </c>
    </row>
    <row r="59" spans="3:16">
      <c r="C59" s="1" t="s">
        <v>0</v>
      </c>
      <c r="D59" s="1" t="s">
        <v>104</v>
      </c>
      <c r="E59" s="2">
        <v>30096039</v>
      </c>
      <c r="F59" s="1" t="s">
        <v>51</v>
      </c>
      <c r="G59" s="1" t="s">
        <v>55</v>
      </c>
      <c r="I59" s="3" t="s">
        <v>151</v>
      </c>
      <c r="J59" s="3" t="s">
        <v>151</v>
      </c>
      <c r="K59" s="3" t="s">
        <v>151</v>
      </c>
      <c r="L59" s="3" t="s">
        <v>151</v>
      </c>
      <c r="M59" s="3"/>
      <c r="N59" s="3" t="s">
        <v>381</v>
      </c>
      <c r="O59" s="3"/>
      <c r="P59" s="3">
        <v>1</v>
      </c>
    </row>
    <row r="60" spans="3:16">
      <c r="C60" s="1" t="s">
        <v>0</v>
      </c>
      <c r="D60" s="1" t="s">
        <v>105</v>
      </c>
      <c r="E60" s="2">
        <v>19781281</v>
      </c>
      <c r="F60" s="1" t="s">
        <v>51</v>
      </c>
      <c r="G60" s="1" t="s">
        <v>55</v>
      </c>
      <c r="I60" s="3" t="s">
        <v>151</v>
      </c>
      <c r="J60" s="3" t="s">
        <v>151</v>
      </c>
      <c r="K60" s="3" t="s">
        <v>151</v>
      </c>
      <c r="L60" s="3" t="s">
        <v>151</v>
      </c>
      <c r="M60" s="3"/>
      <c r="N60" s="3" t="s">
        <v>381</v>
      </c>
      <c r="O60" s="3"/>
      <c r="P60" s="3">
        <v>1</v>
      </c>
    </row>
    <row r="61" spans="3:16">
      <c r="C61" s="1" t="s">
        <v>0</v>
      </c>
      <c r="D61" s="1" t="s">
        <v>106</v>
      </c>
      <c r="E61" s="2">
        <v>14571391</v>
      </c>
      <c r="F61" s="1" t="s">
        <v>51</v>
      </c>
      <c r="G61" s="1" t="s">
        <v>55</v>
      </c>
      <c r="I61" s="3" t="s">
        <v>151</v>
      </c>
      <c r="J61" s="3" t="s">
        <v>151</v>
      </c>
      <c r="K61" s="3" t="s">
        <v>151</v>
      </c>
      <c r="L61" s="3" t="s">
        <v>151</v>
      </c>
      <c r="M61" s="3"/>
      <c r="N61" s="3" t="s">
        <v>381</v>
      </c>
      <c r="O61" s="3"/>
      <c r="P61" s="3">
        <v>1</v>
      </c>
    </row>
    <row r="62" spans="3:16">
      <c r="C62" s="1" t="s">
        <v>0</v>
      </c>
      <c r="D62" s="1" t="s">
        <v>107</v>
      </c>
      <c r="E62" s="2">
        <v>25969677</v>
      </c>
      <c r="F62" s="1" t="s">
        <v>50</v>
      </c>
      <c r="G62" s="1" t="s">
        <v>55</v>
      </c>
      <c r="I62" s="3" t="s">
        <v>151</v>
      </c>
      <c r="J62" s="3" t="s">
        <v>151</v>
      </c>
      <c r="K62" s="3" t="s">
        <v>151</v>
      </c>
      <c r="L62" s="3" t="s">
        <v>151</v>
      </c>
      <c r="M62" s="3"/>
      <c r="N62" s="3" t="s">
        <v>381</v>
      </c>
      <c r="O62" s="3"/>
      <c r="P62" s="3">
        <v>1</v>
      </c>
    </row>
    <row r="63" spans="3:16">
      <c r="C63" s="1" t="s">
        <v>0</v>
      </c>
      <c r="D63" s="1" t="s">
        <v>108</v>
      </c>
      <c r="E63" s="2">
        <v>24968477</v>
      </c>
      <c r="F63" s="1" t="s">
        <v>51</v>
      </c>
      <c r="G63" s="1" t="s">
        <v>55</v>
      </c>
      <c r="I63" s="3" t="s">
        <v>151</v>
      </c>
      <c r="J63" s="3" t="s">
        <v>151</v>
      </c>
      <c r="K63" s="3" t="s">
        <v>151</v>
      </c>
      <c r="L63" s="3" t="s">
        <v>151</v>
      </c>
      <c r="M63" s="3"/>
      <c r="N63" s="3" t="s">
        <v>381</v>
      </c>
      <c r="O63" s="3"/>
      <c r="P63" s="3">
        <v>1</v>
      </c>
    </row>
    <row r="64" spans="3:16">
      <c r="C64" s="1" t="s">
        <v>66</v>
      </c>
      <c r="D64" s="1" t="s">
        <v>109</v>
      </c>
      <c r="E64" s="2"/>
      <c r="F64" s="1" t="s">
        <v>50</v>
      </c>
      <c r="G64" s="1" t="s">
        <v>55</v>
      </c>
      <c r="I64" s="3" t="s">
        <v>151</v>
      </c>
      <c r="J64" s="3" t="s">
        <v>151</v>
      </c>
      <c r="K64" s="3" t="s">
        <v>151</v>
      </c>
      <c r="L64" s="3" t="s">
        <v>151</v>
      </c>
      <c r="M64" s="3"/>
      <c r="N64" s="3" t="s">
        <v>381</v>
      </c>
      <c r="O64" s="3"/>
      <c r="P64" s="3">
        <v>1</v>
      </c>
    </row>
    <row r="65" spans="3:16">
      <c r="C65" s="1" t="s">
        <v>66</v>
      </c>
      <c r="D65" s="1" t="s">
        <v>110</v>
      </c>
      <c r="E65" s="2"/>
      <c r="F65" s="1" t="s">
        <v>50</v>
      </c>
      <c r="G65" s="1" t="s">
        <v>55</v>
      </c>
      <c r="I65" s="3" t="s">
        <v>151</v>
      </c>
      <c r="J65" s="3" t="s">
        <v>151</v>
      </c>
      <c r="K65" s="3" t="s">
        <v>151</v>
      </c>
      <c r="L65" s="3" t="s">
        <v>151</v>
      </c>
      <c r="M65" s="3"/>
      <c r="N65" s="3" t="s">
        <v>381</v>
      </c>
      <c r="O65" s="3"/>
      <c r="P65" s="3">
        <v>1</v>
      </c>
    </row>
    <row r="66" spans="3:16">
      <c r="C66" s="1" t="s">
        <v>31</v>
      </c>
      <c r="D66" s="1" t="s">
        <v>111</v>
      </c>
      <c r="E66" s="2"/>
      <c r="F66" s="1" t="s">
        <v>51</v>
      </c>
      <c r="G66" s="1" t="s">
        <v>55</v>
      </c>
      <c r="I66" s="3" t="s">
        <v>151</v>
      </c>
      <c r="J66" s="3" t="s">
        <v>151</v>
      </c>
      <c r="K66" s="3" t="s">
        <v>151</v>
      </c>
      <c r="L66" s="3" t="s">
        <v>151</v>
      </c>
      <c r="M66" s="3"/>
      <c r="N66" s="3" t="s">
        <v>381</v>
      </c>
      <c r="O66" s="3"/>
      <c r="P66" s="3">
        <v>1</v>
      </c>
    </row>
    <row r="67" spans="3:16">
      <c r="C67" s="1" t="s">
        <v>31</v>
      </c>
      <c r="D67" s="1" t="s">
        <v>112</v>
      </c>
      <c r="E67" s="2"/>
      <c r="F67" s="1" t="s">
        <v>50</v>
      </c>
      <c r="G67" s="1" t="s">
        <v>55</v>
      </c>
      <c r="I67" s="3" t="s">
        <v>151</v>
      </c>
      <c r="J67" s="3" t="s">
        <v>151</v>
      </c>
      <c r="K67" s="3" t="s">
        <v>151</v>
      </c>
      <c r="L67" s="3" t="s">
        <v>151</v>
      </c>
      <c r="M67" s="3"/>
      <c r="N67" s="3" t="s">
        <v>381</v>
      </c>
      <c r="O67" s="3"/>
      <c r="P67" s="3">
        <v>1</v>
      </c>
    </row>
    <row r="68" spans="3:16">
      <c r="C68" s="1" t="s">
        <v>15</v>
      </c>
      <c r="D68" s="1" t="s">
        <v>113</v>
      </c>
      <c r="E68" s="2"/>
      <c r="F68" s="1" t="s">
        <v>50</v>
      </c>
      <c r="G68" s="1" t="s">
        <v>55</v>
      </c>
      <c r="I68" s="3" t="s">
        <v>151</v>
      </c>
      <c r="J68" s="3" t="s">
        <v>151</v>
      </c>
      <c r="K68" s="3" t="s">
        <v>151</v>
      </c>
      <c r="L68" s="3" t="s">
        <v>151</v>
      </c>
      <c r="M68" s="3"/>
      <c r="N68" s="3" t="s">
        <v>381</v>
      </c>
      <c r="O68" s="3"/>
      <c r="P68" s="3">
        <v>1</v>
      </c>
    </row>
    <row r="69" spans="3:16">
      <c r="C69" s="1" t="s">
        <v>15</v>
      </c>
      <c r="D69" s="1" t="s">
        <v>114</v>
      </c>
      <c r="E69" s="2"/>
      <c r="F69" s="1" t="s">
        <v>50</v>
      </c>
      <c r="G69" s="1" t="s">
        <v>55</v>
      </c>
      <c r="I69" s="3" t="s">
        <v>151</v>
      </c>
      <c r="J69" s="3" t="s">
        <v>151</v>
      </c>
      <c r="K69" s="3" t="s">
        <v>151</v>
      </c>
      <c r="L69" s="3" t="s">
        <v>151</v>
      </c>
      <c r="M69" s="3"/>
      <c r="N69" s="3" t="s">
        <v>381</v>
      </c>
      <c r="O69" s="3"/>
      <c r="P69" s="3">
        <v>1</v>
      </c>
    </row>
    <row r="70" spans="3:16">
      <c r="C70" s="1" t="s">
        <v>15</v>
      </c>
      <c r="D70" s="1" t="s">
        <v>115</v>
      </c>
      <c r="E70" s="2"/>
      <c r="F70" s="1" t="s">
        <v>50</v>
      </c>
      <c r="G70" s="1" t="s">
        <v>55</v>
      </c>
      <c r="I70" s="3" t="s">
        <v>151</v>
      </c>
      <c r="J70" s="3" t="s">
        <v>151</v>
      </c>
      <c r="K70" s="3" t="s">
        <v>151</v>
      </c>
      <c r="L70" s="3" t="s">
        <v>151</v>
      </c>
      <c r="M70" s="3"/>
      <c r="N70" s="3" t="s">
        <v>381</v>
      </c>
      <c r="O70" s="3"/>
      <c r="P70" s="3">
        <v>1</v>
      </c>
    </row>
    <row r="71" spans="3:16">
      <c r="C71" s="1" t="s">
        <v>15</v>
      </c>
      <c r="D71" s="1" t="s">
        <v>116</v>
      </c>
      <c r="E71" s="2"/>
      <c r="F71" s="1" t="s">
        <v>50</v>
      </c>
      <c r="G71" s="1" t="s">
        <v>55</v>
      </c>
      <c r="I71" s="3" t="s">
        <v>151</v>
      </c>
      <c r="J71" s="3" t="s">
        <v>151</v>
      </c>
      <c r="K71" s="3" t="s">
        <v>151</v>
      </c>
      <c r="L71" s="3" t="s">
        <v>151</v>
      </c>
      <c r="M71" s="3"/>
      <c r="N71" s="3" t="s">
        <v>381</v>
      </c>
      <c r="O71" s="3"/>
      <c r="P71" s="3">
        <v>1</v>
      </c>
    </row>
    <row r="72" spans="3:16">
      <c r="C72" s="1" t="s">
        <v>15</v>
      </c>
      <c r="D72" s="1" t="s">
        <v>117</v>
      </c>
      <c r="E72" s="2"/>
      <c r="F72" s="1" t="s">
        <v>50</v>
      </c>
      <c r="G72" s="1" t="s">
        <v>55</v>
      </c>
      <c r="I72" s="3" t="s">
        <v>151</v>
      </c>
      <c r="J72" s="3" t="s">
        <v>151</v>
      </c>
      <c r="K72" s="3" t="s">
        <v>151</v>
      </c>
      <c r="L72" s="3" t="s">
        <v>151</v>
      </c>
      <c r="M72" s="3"/>
      <c r="N72" s="3" t="s">
        <v>381</v>
      </c>
      <c r="O72" s="3"/>
      <c r="P72" s="3">
        <v>1</v>
      </c>
    </row>
    <row r="73" spans="3:16">
      <c r="C73" s="1" t="s">
        <v>15</v>
      </c>
      <c r="D73" s="1" t="s">
        <v>118</v>
      </c>
      <c r="E73" s="2"/>
      <c r="F73" s="1" t="s">
        <v>50</v>
      </c>
      <c r="G73" s="1" t="s">
        <v>55</v>
      </c>
      <c r="I73" s="3" t="s">
        <v>151</v>
      </c>
      <c r="J73" s="3" t="s">
        <v>151</v>
      </c>
      <c r="K73" s="3" t="s">
        <v>151</v>
      </c>
      <c r="L73" s="3" t="s">
        <v>151</v>
      </c>
      <c r="M73" s="3"/>
      <c r="N73" s="3" t="s">
        <v>381</v>
      </c>
      <c r="O73" s="3"/>
      <c r="P73" s="3">
        <v>1</v>
      </c>
    </row>
    <row r="74" spans="3:16">
      <c r="C74" s="1" t="s">
        <v>15</v>
      </c>
      <c r="D74" s="1" t="s">
        <v>119</v>
      </c>
      <c r="E74" s="2"/>
      <c r="F74" s="1" t="s">
        <v>51</v>
      </c>
      <c r="G74" s="1" t="s">
        <v>55</v>
      </c>
      <c r="I74" s="3" t="s">
        <v>151</v>
      </c>
      <c r="J74" s="3" t="s">
        <v>151</v>
      </c>
      <c r="K74" s="3" t="s">
        <v>151</v>
      </c>
      <c r="L74" s="3" t="s">
        <v>151</v>
      </c>
      <c r="M74" s="3"/>
      <c r="N74" s="3" t="s">
        <v>381</v>
      </c>
      <c r="O74" s="3"/>
      <c r="P74" s="3">
        <v>1</v>
      </c>
    </row>
    <row r="75" spans="3:16">
      <c r="C75" s="1" t="s">
        <v>15</v>
      </c>
      <c r="D75" s="1" t="s">
        <v>183</v>
      </c>
      <c r="E75" s="2">
        <v>23517606</v>
      </c>
      <c r="F75" s="1" t="s">
        <v>50</v>
      </c>
      <c r="G75" s="1" t="s">
        <v>56</v>
      </c>
      <c r="I75" s="3" t="s">
        <v>151</v>
      </c>
      <c r="J75" s="3" t="s">
        <v>151</v>
      </c>
      <c r="K75" s="3" t="s">
        <v>151</v>
      </c>
      <c r="L75" s="3" t="s">
        <v>151</v>
      </c>
      <c r="M75" s="3"/>
      <c r="N75" s="3" t="s">
        <v>381</v>
      </c>
      <c r="O75" s="3"/>
      <c r="P75" s="3">
        <v>1</v>
      </c>
    </row>
    <row r="76" spans="3:16">
      <c r="C76" s="1" t="s">
        <v>15</v>
      </c>
      <c r="D76" s="1" t="s">
        <v>184</v>
      </c>
      <c r="E76" s="2">
        <v>14828999</v>
      </c>
      <c r="F76" s="1" t="s">
        <v>50</v>
      </c>
      <c r="G76" s="1" t="s">
        <v>56</v>
      </c>
      <c r="I76" s="3" t="s">
        <v>151</v>
      </c>
      <c r="J76" s="3" t="s">
        <v>151</v>
      </c>
      <c r="K76" s="3" t="s">
        <v>151</v>
      </c>
      <c r="L76" s="3" t="s">
        <v>151</v>
      </c>
      <c r="M76" s="3"/>
      <c r="N76" s="3" t="s">
        <v>381</v>
      </c>
      <c r="O76" s="3"/>
      <c r="P76" s="3">
        <v>1</v>
      </c>
    </row>
    <row r="77" spans="3:16">
      <c r="C77" s="1" t="s">
        <v>15</v>
      </c>
      <c r="D77" s="1" t="s">
        <v>185</v>
      </c>
      <c r="E77" s="2">
        <v>13168246</v>
      </c>
      <c r="F77" s="1" t="s">
        <v>51</v>
      </c>
      <c r="G77" s="1" t="s">
        <v>56</v>
      </c>
      <c r="I77" s="3" t="s">
        <v>151</v>
      </c>
      <c r="J77" s="3" t="s">
        <v>151</v>
      </c>
      <c r="K77" s="3" t="s">
        <v>151</v>
      </c>
      <c r="L77" s="3" t="s">
        <v>151</v>
      </c>
      <c r="M77" s="3"/>
      <c r="N77" s="3" t="s">
        <v>381</v>
      </c>
      <c r="O77" s="3"/>
      <c r="P77" s="3">
        <v>1</v>
      </c>
    </row>
    <row r="78" spans="3:16">
      <c r="C78" s="1" t="s">
        <v>15</v>
      </c>
      <c r="D78" s="1" t="s">
        <v>186</v>
      </c>
      <c r="E78" s="2">
        <v>8278822</v>
      </c>
      <c r="F78" s="1" t="s">
        <v>50</v>
      </c>
      <c r="G78" s="1" t="s">
        <v>56</v>
      </c>
      <c r="I78" s="3" t="s">
        <v>151</v>
      </c>
      <c r="J78" s="3" t="s">
        <v>151</v>
      </c>
      <c r="K78" s="3" t="s">
        <v>151</v>
      </c>
      <c r="L78" s="3" t="s">
        <v>151</v>
      </c>
      <c r="M78" s="3"/>
      <c r="N78" s="3" t="s">
        <v>381</v>
      </c>
      <c r="O78" s="3"/>
      <c r="P78" s="3">
        <v>1</v>
      </c>
    </row>
    <row r="79" spans="3:16">
      <c r="C79" s="1" t="s">
        <v>15</v>
      </c>
      <c r="D79" s="1" t="s">
        <v>187</v>
      </c>
      <c r="E79" s="2">
        <v>8278822</v>
      </c>
      <c r="F79" s="1" t="s">
        <v>51</v>
      </c>
      <c r="G79" s="1" t="s">
        <v>56</v>
      </c>
      <c r="I79" s="3" t="s">
        <v>151</v>
      </c>
      <c r="J79" s="3" t="s">
        <v>151</v>
      </c>
      <c r="K79" s="3" t="s">
        <v>151</v>
      </c>
      <c r="L79" s="3" t="s">
        <v>151</v>
      </c>
      <c r="M79" s="3"/>
      <c r="N79" s="3" t="s">
        <v>381</v>
      </c>
      <c r="O79" s="3"/>
      <c r="P79" s="3">
        <v>1</v>
      </c>
    </row>
    <row r="80" spans="3:16">
      <c r="C80" s="1" t="s">
        <v>20</v>
      </c>
      <c r="D80" s="1" t="s">
        <v>202</v>
      </c>
      <c r="E80" s="2">
        <v>19260284</v>
      </c>
      <c r="F80" s="1" t="s">
        <v>50</v>
      </c>
      <c r="G80" s="1" t="s">
        <v>56</v>
      </c>
      <c r="I80" s="3" t="s">
        <v>151</v>
      </c>
      <c r="J80" s="3" t="s">
        <v>151</v>
      </c>
      <c r="K80" s="3" t="s">
        <v>151</v>
      </c>
      <c r="L80" s="3" t="s">
        <v>151</v>
      </c>
      <c r="M80" s="3"/>
      <c r="N80" s="3" t="s">
        <v>381</v>
      </c>
      <c r="O80" s="3"/>
      <c r="P80" s="3">
        <v>1</v>
      </c>
    </row>
    <row r="81" spans="3:16">
      <c r="C81" s="1" t="s">
        <v>20</v>
      </c>
      <c r="D81" s="1" t="s">
        <v>203</v>
      </c>
      <c r="E81" s="2">
        <v>27013056</v>
      </c>
      <c r="F81" s="1" t="s">
        <v>50</v>
      </c>
      <c r="G81" s="1" t="s">
        <v>56</v>
      </c>
      <c r="I81" s="3" t="s">
        <v>151</v>
      </c>
      <c r="J81" s="3" t="s">
        <v>151</v>
      </c>
      <c r="K81" s="3" t="s">
        <v>151</v>
      </c>
      <c r="L81" s="3" t="s">
        <v>151</v>
      </c>
      <c r="M81" s="3"/>
      <c r="N81" s="3" t="s">
        <v>381</v>
      </c>
      <c r="O81" s="3"/>
      <c r="P81" s="3">
        <v>1</v>
      </c>
    </row>
    <row r="82" spans="3:16">
      <c r="C82" s="1" t="s">
        <v>20</v>
      </c>
      <c r="D82" s="1" t="s">
        <v>204</v>
      </c>
      <c r="E82" s="2">
        <v>26145382</v>
      </c>
      <c r="F82" s="1" t="s">
        <v>50</v>
      </c>
      <c r="G82" s="1" t="s">
        <v>56</v>
      </c>
      <c r="I82" s="3" t="s">
        <v>151</v>
      </c>
      <c r="J82" s="3" t="s">
        <v>151</v>
      </c>
      <c r="K82" s="3" t="s">
        <v>151</v>
      </c>
      <c r="L82" s="3" t="s">
        <v>151</v>
      </c>
      <c r="M82" s="3"/>
      <c r="N82" s="3" t="s">
        <v>381</v>
      </c>
      <c r="O82" s="3"/>
      <c r="P82" s="3">
        <v>1</v>
      </c>
    </row>
    <row r="83" spans="3:16">
      <c r="C83" s="1" t="s">
        <v>20</v>
      </c>
      <c r="D83" s="1" t="s">
        <v>205</v>
      </c>
      <c r="E83" s="2">
        <v>25534806</v>
      </c>
      <c r="F83" s="1" t="s">
        <v>50</v>
      </c>
      <c r="G83" s="1" t="s">
        <v>56</v>
      </c>
      <c r="I83" s="3" t="s">
        <v>151</v>
      </c>
      <c r="J83" s="3" t="s">
        <v>151</v>
      </c>
      <c r="K83" s="3" t="s">
        <v>151</v>
      </c>
      <c r="L83" s="3" t="s">
        <v>151</v>
      </c>
      <c r="M83" s="3"/>
      <c r="N83" s="3" t="s">
        <v>381</v>
      </c>
      <c r="O83" s="3"/>
      <c r="P83" s="3">
        <v>1</v>
      </c>
    </row>
    <row r="84" spans="3:16">
      <c r="C84" s="1" t="s">
        <v>20</v>
      </c>
      <c r="D84" s="1" t="s">
        <v>206</v>
      </c>
      <c r="E84" s="2">
        <v>20041117</v>
      </c>
      <c r="F84" s="1" t="s">
        <v>51</v>
      </c>
      <c r="G84" s="1" t="s">
        <v>56</v>
      </c>
      <c r="I84" s="3" t="s">
        <v>151</v>
      </c>
      <c r="J84" s="3" t="s">
        <v>151</v>
      </c>
      <c r="K84" s="3" t="s">
        <v>151</v>
      </c>
      <c r="L84" s="3" t="s">
        <v>151</v>
      </c>
      <c r="M84" s="3"/>
      <c r="N84" s="3" t="s">
        <v>381</v>
      </c>
      <c r="O84" s="3"/>
      <c r="P84" s="3">
        <v>1</v>
      </c>
    </row>
    <row r="85" spans="3:16">
      <c r="C85" s="1" t="s">
        <v>261</v>
      </c>
      <c r="D85" s="1" t="s">
        <v>259</v>
      </c>
      <c r="E85" s="2">
        <v>18926859</v>
      </c>
      <c r="F85" s="1" t="s">
        <v>50</v>
      </c>
      <c r="G85" s="1" t="s">
        <v>56</v>
      </c>
      <c r="I85" s="3" t="s">
        <v>151</v>
      </c>
      <c r="J85" s="3" t="s">
        <v>151</v>
      </c>
      <c r="K85" s="3" t="s">
        <v>151</v>
      </c>
      <c r="L85" s="3" t="s">
        <v>151</v>
      </c>
      <c r="M85" s="3"/>
      <c r="N85" s="3" t="s">
        <v>381</v>
      </c>
      <c r="O85" s="3"/>
      <c r="P85" s="3">
        <v>1</v>
      </c>
    </row>
    <row r="86" spans="3:16">
      <c r="C86" s="1" t="s">
        <v>261</v>
      </c>
      <c r="D86" s="1" t="s">
        <v>260</v>
      </c>
      <c r="E86" s="2">
        <v>14993247</v>
      </c>
      <c r="F86" s="1" t="s">
        <v>51</v>
      </c>
      <c r="G86" s="1" t="s">
        <v>56</v>
      </c>
      <c r="I86" s="3" t="s">
        <v>151</v>
      </c>
      <c r="J86" s="3" t="s">
        <v>151</v>
      </c>
      <c r="K86" s="3" t="s">
        <v>151</v>
      </c>
      <c r="L86" s="3" t="s">
        <v>151</v>
      </c>
      <c r="M86" s="3"/>
      <c r="N86" s="3" t="s">
        <v>381</v>
      </c>
      <c r="O86" s="3"/>
      <c r="P86" s="3">
        <v>1</v>
      </c>
    </row>
    <row r="87" spans="3:16">
      <c r="C87" s="1" t="s">
        <v>261</v>
      </c>
      <c r="D87" s="1" t="s">
        <v>262</v>
      </c>
      <c r="E87" s="2">
        <v>22722734</v>
      </c>
      <c r="F87" s="1" t="s">
        <v>51</v>
      </c>
      <c r="G87" s="1" t="s">
        <v>56</v>
      </c>
      <c r="I87" s="3" t="s">
        <v>151</v>
      </c>
      <c r="J87" s="3" t="s">
        <v>151</v>
      </c>
      <c r="K87" s="3" t="s">
        <v>151</v>
      </c>
      <c r="L87" s="3" t="s">
        <v>151</v>
      </c>
      <c r="M87" s="3"/>
      <c r="N87" s="3" t="s">
        <v>381</v>
      </c>
      <c r="O87" s="3"/>
      <c r="P87" s="3">
        <v>1</v>
      </c>
    </row>
    <row r="88" spans="3:16">
      <c r="C88" s="1" t="s">
        <v>279</v>
      </c>
      <c r="D88" s="1" t="s">
        <v>273</v>
      </c>
      <c r="E88" s="3">
        <v>17539249</v>
      </c>
      <c r="F88" s="1" t="s">
        <v>258</v>
      </c>
      <c r="G88" s="1" t="s">
        <v>56</v>
      </c>
      <c r="I88" s="3" t="s">
        <v>151</v>
      </c>
      <c r="J88" s="3" t="s">
        <v>151</v>
      </c>
      <c r="K88" s="3" t="s">
        <v>151</v>
      </c>
      <c r="L88" s="3" t="s">
        <v>151</v>
      </c>
      <c r="M88" s="3"/>
      <c r="N88" s="3" t="s">
        <v>381</v>
      </c>
      <c r="O88" s="3"/>
      <c r="P88" s="3">
        <v>1</v>
      </c>
    </row>
    <row r="89" spans="3:16">
      <c r="C89" s="1" t="s">
        <v>279</v>
      </c>
      <c r="D89" s="1" t="s">
        <v>274</v>
      </c>
      <c r="E89" s="3">
        <v>15612027</v>
      </c>
      <c r="F89" s="1" t="s">
        <v>50</v>
      </c>
      <c r="G89" s="1" t="s">
        <v>56</v>
      </c>
      <c r="I89" s="3" t="s">
        <v>151</v>
      </c>
      <c r="J89" s="3" t="s">
        <v>151</v>
      </c>
      <c r="K89" s="3" t="s">
        <v>151</v>
      </c>
      <c r="L89" s="3" t="s">
        <v>151</v>
      </c>
      <c r="M89" s="3"/>
      <c r="N89" s="3" t="s">
        <v>381</v>
      </c>
      <c r="O89" s="3"/>
      <c r="P89" s="3">
        <v>1</v>
      </c>
    </row>
    <row r="90" spans="3:16">
      <c r="C90" s="1" t="s">
        <v>279</v>
      </c>
      <c r="D90" s="1" t="s">
        <v>275</v>
      </c>
      <c r="E90" s="3">
        <v>18212648</v>
      </c>
      <c r="F90" s="1" t="s">
        <v>51</v>
      </c>
      <c r="G90" s="1" t="s">
        <v>56</v>
      </c>
      <c r="I90" s="3" t="s">
        <v>151</v>
      </c>
      <c r="J90" s="3" t="s">
        <v>151</v>
      </c>
      <c r="K90" s="3" t="s">
        <v>151</v>
      </c>
      <c r="L90" s="3" t="s">
        <v>151</v>
      </c>
      <c r="M90" s="3"/>
      <c r="N90" s="3" t="s">
        <v>381</v>
      </c>
      <c r="O90" s="3"/>
      <c r="P90" s="3">
        <v>1</v>
      </c>
    </row>
    <row r="91" spans="3:16">
      <c r="C91" s="1" t="s">
        <v>279</v>
      </c>
      <c r="D91" s="1" t="s">
        <v>276</v>
      </c>
      <c r="E91" s="3">
        <v>17763315</v>
      </c>
      <c r="F91" s="1" t="s">
        <v>50</v>
      </c>
      <c r="G91" s="1" t="s">
        <v>56</v>
      </c>
      <c r="I91" s="3" t="s">
        <v>151</v>
      </c>
      <c r="J91" s="3" t="s">
        <v>151</v>
      </c>
      <c r="K91" s="3" t="s">
        <v>151</v>
      </c>
      <c r="L91" s="3" t="s">
        <v>151</v>
      </c>
      <c r="M91" s="3"/>
      <c r="N91" s="3" t="s">
        <v>381</v>
      </c>
      <c r="O91" s="3"/>
      <c r="P91" s="3">
        <v>1</v>
      </c>
    </row>
    <row r="92" spans="3:16">
      <c r="C92" s="1" t="s">
        <v>279</v>
      </c>
      <c r="D92" s="1" t="s">
        <v>277</v>
      </c>
      <c r="E92" s="3">
        <v>26108367</v>
      </c>
      <c r="F92" s="1" t="s">
        <v>51</v>
      </c>
      <c r="G92" s="1" t="s">
        <v>56</v>
      </c>
      <c r="I92" s="3" t="s">
        <v>151</v>
      </c>
      <c r="J92" s="3" t="s">
        <v>151</v>
      </c>
      <c r="K92" s="3" t="s">
        <v>151</v>
      </c>
      <c r="L92" s="3" t="s">
        <v>151</v>
      </c>
      <c r="M92" s="3"/>
      <c r="N92" s="3" t="s">
        <v>381</v>
      </c>
      <c r="O92" s="3"/>
      <c r="P92" s="3">
        <v>1</v>
      </c>
    </row>
    <row r="93" spans="3:16">
      <c r="C93" s="1" t="s">
        <v>279</v>
      </c>
      <c r="D93" s="1" t="s">
        <v>278</v>
      </c>
      <c r="E93" s="3">
        <v>28242185</v>
      </c>
      <c r="F93" s="1" t="s">
        <v>51</v>
      </c>
      <c r="G93" s="1" t="s">
        <v>56</v>
      </c>
      <c r="I93" s="3" t="s">
        <v>151</v>
      </c>
      <c r="J93" s="3" t="s">
        <v>151</v>
      </c>
      <c r="K93" s="3" t="s">
        <v>151</v>
      </c>
      <c r="L93" s="3" t="s">
        <v>151</v>
      </c>
      <c r="M93" s="3"/>
      <c r="N93" s="3" t="s">
        <v>381</v>
      </c>
      <c r="O93" s="3"/>
      <c r="P93" s="3">
        <v>1</v>
      </c>
    </row>
    <row r="94" spans="3:16">
      <c r="C94" s="1" t="s">
        <v>279</v>
      </c>
      <c r="D94" s="1" t="s">
        <v>280</v>
      </c>
      <c r="E94" s="2">
        <v>21398841</v>
      </c>
      <c r="F94" s="1" t="s">
        <v>51</v>
      </c>
      <c r="G94" s="1" t="s">
        <v>56</v>
      </c>
      <c r="I94" s="3" t="s">
        <v>151</v>
      </c>
      <c r="J94" s="3" t="s">
        <v>151</v>
      </c>
      <c r="K94" s="3" t="s">
        <v>151</v>
      </c>
      <c r="L94" s="3" t="s">
        <v>151</v>
      </c>
      <c r="M94" s="3"/>
      <c r="N94" s="3" t="s">
        <v>381</v>
      </c>
      <c r="O94" s="3"/>
      <c r="P94" s="3">
        <v>1</v>
      </c>
    </row>
    <row r="95" spans="3:16">
      <c r="C95" s="1" t="s">
        <v>0</v>
      </c>
      <c r="D95" s="1" t="s">
        <v>295</v>
      </c>
      <c r="E95" s="2">
        <v>29525255</v>
      </c>
      <c r="F95" s="1" t="s">
        <v>296</v>
      </c>
      <c r="G95" s="1" t="s">
        <v>56</v>
      </c>
      <c r="I95" s="3" t="s">
        <v>151</v>
      </c>
      <c r="J95" s="3" t="s">
        <v>151</v>
      </c>
      <c r="K95" s="3" t="s">
        <v>151</v>
      </c>
      <c r="L95" s="3" t="s">
        <v>151</v>
      </c>
      <c r="M95" s="3"/>
      <c r="N95" s="3" t="s">
        <v>381</v>
      </c>
      <c r="O95" s="3"/>
      <c r="P95" s="3">
        <v>1</v>
      </c>
    </row>
    <row r="96" spans="3:16">
      <c r="C96" s="1" t="s">
        <v>0</v>
      </c>
      <c r="D96" s="1" t="s">
        <v>297</v>
      </c>
      <c r="E96" s="2">
        <v>27228497</v>
      </c>
      <c r="F96" s="1" t="s">
        <v>298</v>
      </c>
      <c r="G96" s="1" t="s">
        <v>56</v>
      </c>
      <c r="I96" s="3" t="s">
        <v>151</v>
      </c>
      <c r="J96" s="3" t="s">
        <v>151</v>
      </c>
      <c r="K96" s="3" t="s">
        <v>151</v>
      </c>
      <c r="L96" s="3" t="s">
        <v>151</v>
      </c>
      <c r="M96" s="3"/>
      <c r="N96" s="3" t="s">
        <v>381</v>
      </c>
      <c r="O96" s="3"/>
      <c r="P96" s="3">
        <v>1</v>
      </c>
    </row>
    <row r="97" spans="3:16">
      <c r="C97" s="1" t="s">
        <v>0</v>
      </c>
      <c r="D97" s="1" t="s">
        <v>299</v>
      </c>
      <c r="E97" s="2">
        <v>23439354</v>
      </c>
      <c r="F97" s="1" t="s">
        <v>300</v>
      </c>
      <c r="G97" s="1" t="s">
        <v>56</v>
      </c>
      <c r="I97" s="3" t="s">
        <v>151</v>
      </c>
      <c r="J97" s="3" t="s">
        <v>151</v>
      </c>
      <c r="K97" s="3" t="s">
        <v>151</v>
      </c>
      <c r="L97" s="3" t="s">
        <v>151</v>
      </c>
      <c r="M97" s="3"/>
      <c r="N97" s="3" t="s">
        <v>381</v>
      </c>
      <c r="O97" s="3"/>
      <c r="P97" s="3">
        <v>1</v>
      </c>
    </row>
    <row r="98" spans="3:16">
      <c r="C98" s="1" t="s">
        <v>0</v>
      </c>
      <c r="D98" s="1" t="s">
        <v>301</v>
      </c>
      <c r="E98" s="2">
        <v>24569140</v>
      </c>
      <c r="F98" s="1" t="s">
        <v>302</v>
      </c>
      <c r="G98" s="1" t="s">
        <v>56</v>
      </c>
      <c r="I98" s="3" t="s">
        <v>151</v>
      </c>
      <c r="J98" s="3" t="s">
        <v>151</v>
      </c>
      <c r="K98" s="3" t="s">
        <v>151</v>
      </c>
      <c r="L98" s="3" t="s">
        <v>151</v>
      </c>
      <c r="M98" s="3"/>
      <c r="N98" s="3" t="s">
        <v>381</v>
      </c>
      <c r="O98" s="3"/>
      <c r="P98" s="3">
        <v>1</v>
      </c>
    </row>
    <row r="99" spans="3:16">
      <c r="C99" s="1" t="s">
        <v>0</v>
      </c>
      <c r="D99" s="1" t="s">
        <v>303</v>
      </c>
      <c r="E99" s="2">
        <v>27853422</v>
      </c>
      <c r="F99" s="1" t="s">
        <v>300</v>
      </c>
      <c r="G99" s="1" t="s">
        <v>56</v>
      </c>
      <c r="I99" s="3" t="s">
        <v>151</v>
      </c>
      <c r="J99" s="3" t="s">
        <v>151</v>
      </c>
      <c r="K99" s="3" t="s">
        <v>151</v>
      </c>
      <c r="L99" s="3" t="s">
        <v>151</v>
      </c>
      <c r="M99" s="3"/>
      <c r="N99" s="3" t="s">
        <v>381</v>
      </c>
      <c r="O99" s="3"/>
      <c r="P99" s="3">
        <v>1</v>
      </c>
    </row>
    <row r="100" spans="3:16">
      <c r="C100" s="1" t="s">
        <v>0</v>
      </c>
      <c r="D100" s="1" t="s">
        <v>304</v>
      </c>
      <c r="E100" s="2">
        <v>16153508</v>
      </c>
      <c r="F100" s="1" t="s">
        <v>302</v>
      </c>
      <c r="G100" s="1" t="s">
        <v>56</v>
      </c>
      <c r="I100" s="3" t="s">
        <v>151</v>
      </c>
      <c r="J100" s="3" t="s">
        <v>151</v>
      </c>
      <c r="K100" s="3" t="s">
        <v>151</v>
      </c>
      <c r="L100" s="3" t="s">
        <v>151</v>
      </c>
      <c r="M100" s="3"/>
      <c r="N100" s="3" t="s">
        <v>381</v>
      </c>
      <c r="O100" s="3"/>
      <c r="P100" s="3">
        <v>1</v>
      </c>
    </row>
    <row r="101" spans="3:16">
      <c r="C101" s="1" t="s">
        <v>0</v>
      </c>
      <c r="D101" s="1" t="s">
        <v>305</v>
      </c>
      <c r="E101" s="2">
        <v>23428900</v>
      </c>
      <c r="F101" s="1" t="s">
        <v>300</v>
      </c>
      <c r="G101" s="1" t="s">
        <v>56</v>
      </c>
      <c r="I101" s="3" t="s">
        <v>151</v>
      </c>
      <c r="J101" s="3" t="s">
        <v>151</v>
      </c>
      <c r="K101" s="3" t="s">
        <v>151</v>
      </c>
      <c r="L101" s="3" t="s">
        <v>151</v>
      </c>
      <c r="M101" s="3"/>
      <c r="N101" s="3" t="s">
        <v>381</v>
      </c>
      <c r="O101" s="3"/>
      <c r="P101" s="3">
        <v>1</v>
      </c>
    </row>
    <row r="102" spans="3:16">
      <c r="C102" s="1" t="s">
        <v>0</v>
      </c>
      <c r="D102" s="1" t="s">
        <v>306</v>
      </c>
      <c r="E102" s="2">
        <v>27856677</v>
      </c>
      <c r="F102" s="1" t="s">
        <v>302</v>
      </c>
      <c r="G102" s="1" t="s">
        <v>56</v>
      </c>
      <c r="I102" s="3" t="s">
        <v>151</v>
      </c>
      <c r="J102" s="3" t="s">
        <v>151</v>
      </c>
      <c r="K102" s="3" t="s">
        <v>151</v>
      </c>
      <c r="L102" s="3" t="s">
        <v>151</v>
      </c>
      <c r="M102" s="3"/>
      <c r="N102" s="3" t="s">
        <v>381</v>
      </c>
      <c r="O102" s="3"/>
      <c r="P102" s="3">
        <v>1</v>
      </c>
    </row>
    <row r="103" spans="3:16">
      <c r="C103" s="1" t="s">
        <v>0</v>
      </c>
      <c r="D103" s="1" t="s">
        <v>307</v>
      </c>
      <c r="E103" s="2">
        <v>27343317</v>
      </c>
      <c r="F103" s="1" t="s">
        <v>300</v>
      </c>
      <c r="G103" s="1" t="s">
        <v>56</v>
      </c>
      <c r="I103" s="3" t="s">
        <v>151</v>
      </c>
      <c r="J103" s="3" t="s">
        <v>151</v>
      </c>
      <c r="K103" s="3" t="s">
        <v>151</v>
      </c>
      <c r="L103" s="3" t="s">
        <v>151</v>
      </c>
      <c r="M103" s="3"/>
      <c r="N103" s="3" t="s">
        <v>381</v>
      </c>
      <c r="O103" s="3"/>
      <c r="P103" s="3">
        <v>1</v>
      </c>
    </row>
    <row r="104" spans="3:16">
      <c r="C104" s="1" t="s">
        <v>0</v>
      </c>
      <c r="D104" s="1" t="s">
        <v>308</v>
      </c>
      <c r="E104" s="2">
        <v>22556069</v>
      </c>
      <c r="F104" s="1" t="s">
        <v>302</v>
      </c>
      <c r="G104" s="1" t="s">
        <v>56</v>
      </c>
      <c r="I104" s="3" t="s">
        <v>151</v>
      </c>
      <c r="J104" s="3" t="s">
        <v>151</v>
      </c>
      <c r="K104" s="3" t="s">
        <v>151</v>
      </c>
      <c r="L104" s="3" t="s">
        <v>151</v>
      </c>
      <c r="M104" s="3"/>
      <c r="N104" s="3" t="s">
        <v>381</v>
      </c>
      <c r="O104" s="3"/>
      <c r="P104" s="3">
        <v>1</v>
      </c>
    </row>
    <row r="105" spans="3:16">
      <c r="C105" s="1" t="s">
        <v>0</v>
      </c>
      <c r="D105" s="1" t="s">
        <v>309</v>
      </c>
      <c r="E105" s="2">
        <v>26160665</v>
      </c>
      <c r="F105" s="1" t="s">
        <v>300</v>
      </c>
      <c r="G105" s="1" t="s">
        <v>56</v>
      </c>
      <c r="I105" s="3" t="s">
        <v>151</v>
      </c>
      <c r="J105" s="3" t="s">
        <v>151</v>
      </c>
      <c r="K105" s="3" t="s">
        <v>151</v>
      </c>
      <c r="L105" s="3" t="s">
        <v>151</v>
      </c>
      <c r="M105" s="3"/>
      <c r="N105" s="3" t="s">
        <v>381</v>
      </c>
      <c r="O105" s="3"/>
      <c r="P105" s="3">
        <v>1</v>
      </c>
    </row>
    <row r="106" spans="3:16">
      <c r="C106" s="1" t="s">
        <v>0</v>
      </c>
      <c r="D106" s="1" t="s">
        <v>310</v>
      </c>
      <c r="E106" s="2">
        <v>22223195</v>
      </c>
      <c r="F106" s="1" t="s">
        <v>302</v>
      </c>
      <c r="G106" s="1" t="s">
        <v>56</v>
      </c>
      <c r="I106" s="3" t="s">
        <v>151</v>
      </c>
      <c r="J106" s="3" t="s">
        <v>151</v>
      </c>
      <c r="K106" s="3" t="s">
        <v>151</v>
      </c>
      <c r="L106" s="3" t="s">
        <v>151</v>
      </c>
      <c r="M106" s="3"/>
      <c r="N106" s="3" t="s">
        <v>381</v>
      </c>
      <c r="O106" s="3"/>
      <c r="P106" s="3">
        <v>1</v>
      </c>
    </row>
    <row r="107" spans="3:16">
      <c r="C107" s="1" t="s">
        <v>0</v>
      </c>
      <c r="D107" s="1" t="s">
        <v>311</v>
      </c>
      <c r="E107" s="2">
        <v>26547722</v>
      </c>
      <c r="F107" s="1" t="s">
        <v>50</v>
      </c>
      <c r="G107" s="1" t="s">
        <v>56</v>
      </c>
      <c r="I107" s="3" t="s">
        <v>151</v>
      </c>
      <c r="J107" s="3" t="s">
        <v>151</v>
      </c>
      <c r="K107" s="3" t="s">
        <v>151</v>
      </c>
      <c r="L107" s="3" t="s">
        <v>151</v>
      </c>
      <c r="M107" s="3"/>
      <c r="N107" s="3" t="s">
        <v>381</v>
      </c>
      <c r="O107" s="3"/>
      <c r="P107" s="3">
        <v>1</v>
      </c>
    </row>
    <row r="108" spans="3:16">
      <c r="C108" s="1" t="s">
        <v>0</v>
      </c>
      <c r="D108" s="1" t="s">
        <v>312</v>
      </c>
      <c r="E108" s="2">
        <v>18957458</v>
      </c>
      <c r="F108" s="1" t="s">
        <v>50</v>
      </c>
      <c r="G108" s="1" t="s">
        <v>56</v>
      </c>
      <c r="I108" s="3" t="s">
        <v>151</v>
      </c>
      <c r="J108" s="3" t="s">
        <v>151</v>
      </c>
      <c r="K108" s="3" t="s">
        <v>151</v>
      </c>
      <c r="L108" s="3" t="s">
        <v>151</v>
      </c>
      <c r="M108" s="3"/>
      <c r="N108" s="3" t="s">
        <v>381</v>
      </c>
      <c r="O108" s="3"/>
      <c r="P108" s="3">
        <v>1</v>
      </c>
    </row>
    <row r="109" spans="3:16">
      <c r="C109" s="1" t="s">
        <v>0</v>
      </c>
      <c r="D109" s="1" t="s">
        <v>313</v>
      </c>
      <c r="E109" s="2">
        <v>21479038</v>
      </c>
      <c r="F109" s="1" t="s">
        <v>50</v>
      </c>
      <c r="G109" s="1" t="s">
        <v>56</v>
      </c>
      <c r="I109" s="3" t="s">
        <v>151</v>
      </c>
      <c r="J109" s="3" t="s">
        <v>151</v>
      </c>
      <c r="K109" s="3" t="s">
        <v>151</v>
      </c>
      <c r="L109" s="3" t="s">
        <v>151</v>
      </c>
      <c r="M109" s="3"/>
      <c r="N109" s="3" t="s">
        <v>381</v>
      </c>
      <c r="O109" s="3"/>
      <c r="P109" s="3">
        <v>1</v>
      </c>
    </row>
    <row r="110" spans="3:16">
      <c r="C110" s="1" t="s">
        <v>0</v>
      </c>
      <c r="D110" s="1" t="s">
        <v>314</v>
      </c>
      <c r="E110" s="2">
        <v>27429749</v>
      </c>
      <c r="F110" s="1" t="s">
        <v>50</v>
      </c>
      <c r="G110" s="1" t="s">
        <v>56</v>
      </c>
      <c r="I110" s="3" t="s">
        <v>151</v>
      </c>
      <c r="J110" s="3" t="s">
        <v>151</v>
      </c>
      <c r="K110" s="3" t="s">
        <v>151</v>
      </c>
      <c r="L110" s="3" t="s">
        <v>151</v>
      </c>
      <c r="M110" s="3"/>
      <c r="N110" s="3" t="s">
        <v>381</v>
      </c>
      <c r="O110" s="3"/>
      <c r="P110" s="3">
        <v>1</v>
      </c>
    </row>
    <row r="111" spans="3:16">
      <c r="C111" s="1" t="s">
        <v>0</v>
      </c>
      <c r="D111" s="1" t="s">
        <v>315</v>
      </c>
      <c r="E111" s="2">
        <v>21584523</v>
      </c>
      <c r="F111" s="1" t="s">
        <v>50</v>
      </c>
      <c r="G111" s="1" t="s">
        <v>56</v>
      </c>
      <c r="I111" s="3" t="s">
        <v>151</v>
      </c>
      <c r="J111" s="3" t="s">
        <v>151</v>
      </c>
      <c r="K111" s="3" t="s">
        <v>151</v>
      </c>
      <c r="L111" s="3" t="s">
        <v>151</v>
      </c>
      <c r="M111" s="3"/>
      <c r="N111" s="3" t="s">
        <v>381</v>
      </c>
      <c r="O111" s="3"/>
      <c r="P111" s="3">
        <v>1</v>
      </c>
    </row>
    <row r="112" spans="3:16">
      <c r="C112" s="1" t="s">
        <v>0</v>
      </c>
      <c r="D112" s="1" t="s">
        <v>316</v>
      </c>
      <c r="E112" s="2">
        <v>24630491</v>
      </c>
      <c r="F112" s="1" t="s">
        <v>50</v>
      </c>
      <c r="G112" s="1" t="s">
        <v>56</v>
      </c>
      <c r="I112" s="3" t="s">
        <v>151</v>
      </c>
      <c r="J112" s="3" t="s">
        <v>151</v>
      </c>
      <c r="K112" s="3" t="s">
        <v>151</v>
      </c>
      <c r="L112" s="3" t="s">
        <v>151</v>
      </c>
      <c r="M112" s="3"/>
      <c r="N112" s="3" t="s">
        <v>381</v>
      </c>
      <c r="O112" s="3"/>
      <c r="P112" s="3">
        <v>1</v>
      </c>
    </row>
    <row r="113" spans="3:16">
      <c r="C113" s="1" t="s">
        <v>0</v>
      </c>
      <c r="D113" s="1" t="s">
        <v>317</v>
      </c>
      <c r="E113" s="2">
        <v>27856396</v>
      </c>
      <c r="F113" s="1" t="s">
        <v>50</v>
      </c>
      <c r="G113" s="1" t="s">
        <v>56</v>
      </c>
      <c r="I113" s="3" t="s">
        <v>151</v>
      </c>
      <c r="J113" s="3" t="s">
        <v>151</v>
      </c>
      <c r="K113" s="3" t="s">
        <v>151</v>
      </c>
      <c r="L113" s="3" t="s">
        <v>151</v>
      </c>
      <c r="M113" s="3"/>
      <c r="N113" s="3" t="s">
        <v>381</v>
      </c>
      <c r="O113" s="3"/>
      <c r="P113" s="3">
        <v>1</v>
      </c>
    </row>
    <row r="114" spans="3:16">
      <c r="C114" s="1" t="s">
        <v>0</v>
      </c>
      <c r="D114" s="1" t="s">
        <v>318</v>
      </c>
      <c r="E114" s="2">
        <v>18687283</v>
      </c>
      <c r="F114" s="1" t="s">
        <v>50</v>
      </c>
      <c r="G114" s="1" t="s">
        <v>56</v>
      </c>
      <c r="I114" s="3" t="s">
        <v>151</v>
      </c>
      <c r="J114" s="3" t="s">
        <v>151</v>
      </c>
      <c r="K114" s="3" t="s">
        <v>151</v>
      </c>
      <c r="L114" s="3" t="s">
        <v>151</v>
      </c>
      <c r="M114" s="3"/>
      <c r="N114" s="3" t="s">
        <v>381</v>
      </c>
      <c r="O114" s="3"/>
      <c r="P114" s="3">
        <v>1</v>
      </c>
    </row>
    <row r="115" spans="3:16">
      <c r="C115" s="1" t="s">
        <v>0</v>
      </c>
      <c r="D115" s="1" t="s">
        <v>319</v>
      </c>
      <c r="E115" s="2">
        <v>21242031</v>
      </c>
      <c r="F115" s="1" t="s">
        <v>50</v>
      </c>
      <c r="G115" s="1" t="s">
        <v>56</v>
      </c>
      <c r="I115" s="3" t="s">
        <v>151</v>
      </c>
      <c r="J115" s="3" t="s">
        <v>151</v>
      </c>
      <c r="K115" s="3" t="s">
        <v>151</v>
      </c>
      <c r="L115" s="3" t="s">
        <v>151</v>
      </c>
      <c r="M115" s="3"/>
      <c r="N115" s="3" t="s">
        <v>381</v>
      </c>
      <c r="O115" s="3"/>
      <c r="P115" s="3">
        <v>1</v>
      </c>
    </row>
    <row r="116" spans="3:16">
      <c r="C116" s="1" t="s">
        <v>0</v>
      </c>
      <c r="D116" s="1" t="s">
        <v>320</v>
      </c>
      <c r="E116" s="2">
        <v>19843038</v>
      </c>
      <c r="F116" s="1" t="s">
        <v>50</v>
      </c>
      <c r="G116" s="1" t="s">
        <v>56</v>
      </c>
      <c r="I116" s="3" t="s">
        <v>151</v>
      </c>
      <c r="J116" s="3" t="s">
        <v>151</v>
      </c>
      <c r="K116" s="3" t="s">
        <v>151</v>
      </c>
      <c r="L116" s="3" t="s">
        <v>151</v>
      </c>
      <c r="M116" s="3"/>
      <c r="N116" s="3" t="s">
        <v>381</v>
      </c>
      <c r="O116" s="3"/>
      <c r="P116" s="3">
        <v>1</v>
      </c>
    </row>
    <row r="117" spans="3:16">
      <c r="C117" s="1" t="s">
        <v>0</v>
      </c>
      <c r="D117" s="1" t="s">
        <v>321</v>
      </c>
      <c r="E117" s="2">
        <v>17258128</v>
      </c>
      <c r="F117" s="1" t="s">
        <v>50</v>
      </c>
      <c r="G117" s="1" t="s">
        <v>56</v>
      </c>
      <c r="I117" s="3" t="s">
        <v>151</v>
      </c>
      <c r="J117" s="3" t="s">
        <v>151</v>
      </c>
      <c r="K117" s="3" t="s">
        <v>151</v>
      </c>
      <c r="L117" s="3" t="s">
        <v>151</v>
      </c>
      <c r="M117" s="3"/>
      <c r="N117" s="3" t="s">
        <v>381</v>
      </c>
      <c r="O117" s="3"/>
      <c r="P117" s="3">
        <v>1</v>
      </c>
    </row>
    <row r="118" spans="3:16">
      <c r="C118" s="1" t="s">
        <v>0</v>
      </c>
      <c r="D118" s="1" t="s">
        <v>322</v>
      </c>
      <c r="E118" s="2">
        <v>26505710</v>
      </c>
      <c r="F118" s="1" t="s">
        <v>50</v>
      </c>
      <c r="G118" s="1" t="s">
        <v>56</v>
      </c>
      <c r="I118" s="3" t="s">
        <v>151</v>
      </c>
      <c r="J118" s="3" t="s">
        <v>151</v>
      </c>
      <c r="K118" s="3" t="s">
        <v>151</v>
      </c>
      <c r="L118" s="3" t="s">
        <v>151</v>
      </c>
      <c r="M118" s="3"/>
      <c r="N118" s="3" t="s">
        <v>381</v>
      </c>
      <c r="O118" s="3"/>
      <c r="P118" s="3">
        <v>1</v>
      </c>
    </row>
    <row r="119" spans="3:16">
      <c r="C119" s="1" t="s">
        <v>0</v>
      </c>
      <c r="D119" s="1" t="s">
        <v>323</v>
      </c>
      <c r="E119" s="2">
        <v>18611353</v>
      </c>
      <c r="F119" s="1" t="s">
        <v>50</v>
      </c>
      <c r="G119" s="1" t="s">
        <v>56</v>
      </c>
      <c r="I119" s="3" t="s">
        <v>151</v>
      </c>
      <c r="J119" s="3" t="s">
        <v>151</v>
      </c>
      <c r="K119" s="3" t="s">
        <v>151</v>
      </c>
      <c r="L119" s="3" t="s">
        <v>151</v>
      </c>
      <c r="M119" s="3"/>
      <c r="N119" s="3" t="s">
        <v>381</v>
      </c>
      <c r="O119" s="3"/>
      <c r="P119" s="3">
        <v>1</v>
      </c>
    </row>
    <row r="120" spans="3:16">
      <c r="C120" s="1" t="s">
        <v>0</v>
      </c>
      <c r="D120" s="1" t="s">
        <v>324</v>
      </c>
      <c r="E120" s="2">
        <v>12477987</v>
      </c>
      <c r="F120" s="1" t="s">
        <v>50</v>
      </c>
      <c r="G120" s="1" t="s">
        <v>56</v>
      </c>
      <c r="I120" s="3" t="s">
        <v>151</v>
      </c>
      <c r="J120" s="3" t="s">
        <v>151</v>
      </c>
      <c r="K120" s="3" t="s">
        <v>151</v>
      </c>
      <c r="L120" s="3" t="s">
        <v>151</v>
      </c>
      <c r="M120" s="3"/>
      <c r="N120" s="3" t="s">
        <v>381</v>
      </c>
      <c r="O120" s="3"/>
      <c r="P120" s="3">
        <v>1</v>
      </c>
    </row>
    <row r="121" spans="3:16">
      <c r="C121" s="1" t="s">
        <v>0</v>
      </c>
      <c r="D121" s="1" t="s">
        <v>325</v>
      </c>
      <c r="E121" s="2">
        <v>10983025</v>
      </c>
      <c r="F121" s="1" t="s">
        <v>50</v>
      </c>
      <c r="G121" s="1" t="s">
        <v>56</v>
      </c>
      <c r="I121" s="3" t="s">
        <v>151</v>
      </c>
      <c r="J121" s="3" t="s">
        <v>151</v>
      </c>
      <c r="K121" s="3" t="s">
        <v>151</v>
      </c>
      <c r="L121" s="3" t="s">
        <v>151</v>
      </c>
      <c r="M121" s="3"/>
      <c r="N121" s="3" t="s">
        <v>381</v>
      </c>
      <c r="O121" s="3"/>
      <c r="P121" s="3">
        <v>1</v>
      </c>
    </row>
    <row r="122" spans="3:16">
      <c r="C122" s="1" t="s">
        <v>0</v>
      </c>
      <c r="D122" s="1" t="s">
        <v>326</v>
      </c>
      <c r="E122" s="2">
        <v>19021731</v>
      </c>
      <c r="F122" s="1" t="s">
        <v>50</v>
      </c>
      <c r="G122" s="1" t="s">
        <v>56</v>
      </c>
      <c r="I122" s="3" t="s">
        <v>151</v>
      </c>
      <c r="J122" s="3" t="s">
        <v>151</v>
      </c>
      <c r="K122" s="3" t="s">
        <v>151</v>
      </c>
      <c r="L122" s="3" t="s">
        <v>151</v>
      </c>
      <c r="M122" s="3"/>
      <c r="N122" s="3" t="s">
        <v>381</v>
      </c>
      <c r="O122" s="3"/>
      <c r="P122" s="3">
        <v>1</v>
      </c>
    </row>
    <row r="123" spans="3:16">
      <c r="C123" s="1" t="s">
        <v>0</v>
      </c>
      <c r="D123" s="1" t="s">
        <v>327</v>
      </c>
      <c r="E123" s="2">
        <v>24423848</v>
      </c>
      <c r="F123" s="1" t="s">
        <v>50</v>
      </c>
      <c r="G123" s="1" t="s">
        <v>56</v>
      </c>
      <c r="I123" s="3" t="s">
        <v>151</v>
      </c>
      <c r="J123" s="3" t="s">
        <v>151</v>
      </c>
      <c r="K123" s="3" t="s">
        <v>151</v>
      </c>
      <c r="L123" s="3" t="s">
        <v>151</v>
      </c>
      <c r="M123" s="3"/>
      <c r="N123" s="3" t="s">
        <v>381</v>
      </c>
      <c r="O123" s="3"/>
      <c r="P123" s="3">
        <v>1</v>
      </c>
    </row>
    <row r="124" spans="3:16">
      <c r="C124" s="1" t="s">
        <v>0</v>
      </c>
      <c r="D124" s="1" t="s">
        <v>328</v>
      </c>
      <c r="E124" s="2">
        <v>17066007</v>
      </c>
      <c r="F124" s="1" t="s">
        <v>50</v>
      </c>
      <c r="G124" s="1" t="s">
        <v>56</v>
      </c>
      <c r="I124" s="3" t="s">
        <v>151</v>
      </c>
      <c r="J124" s="3" t="s">
        <v>151</v>
      </c>
      <c r="K124" s="3" t="s">
        <v>151</v>
      </c>
      <c r="L124" s="3" t="s">
        <v>151</v>
      </c>
      <c r="M124" s="3"/>
      <c r="N124" s="3" t="s">
        <v>381</v>
      </c>
      <c r="O124" s="3"/>
      <c r="P124" s="3">
        <v>1</v>
      </c>
    </row>
    <row r="125" spans="3:16">
      <c r="C125" s="1" t="s">
        <v>0</v>
      </c>
      <c r="D125" s="1" t="s">
        <v>329</v>
      </c>
      <c r="E125" s="2">
        <v>19983654</v>
      </c>
      <c r="F125" s="1" t="s">
        <v>50</v>
      </c>
      <c r="G125" s="1" t="s">
        <v>56</v>
      </c>
      <c r="I125" s="3" t="s">
        <v>151</v>
      </c>
      <c r="J125" s="3" t="s">
        <v>151</v>
      </c>
      <c r="K125" s="3" t="s">
        <v>151</v>
      </c>
      <c r="L125" s="3" t="s">
        <v>151</v>
      </c>
      <c r="M125" s="3"/>
      <c r="N125" s="3" t="s">
        <v>381</v>
      </c>
      <c r="O125" s="3"/>
      <c r="P125" s="3">
        <v>1</v>
      </c>
    </row>
    <row r="126" spans="3:16">
      <c r="C126" s="1" t="s">
        <v>0</v>
      </c>
      <c r="D126" s="1" t="s">
        <v>330</v>
      </c>
      <c r="E126" s="2">
        <v>22510930</v>
      </c>
      <c r="F126" s="1" t="s">
        <v>50</v>
      </c>
      <c r="G126" s="1" t="s">
        <v>56</v>
      </c>
      <c r="I126" s="3" t="s">
        <v>151</v>
      </c>
      <c r="J126" s="3" t="s">
        <v>151</v>
      </c>
      <c r="K126" s="3" t="s">
        <v>151</v>
      </c>
      <c r="L126" s="3" t="s">
        <v>151</v>
      </c>
      <c r="M126" s="3"/>
      <c r="N126" s="3" t="s">
        <v>381</v>
      </c>
      <c r="O126" s="3"/>
      <c r="P126" s="3">
        <v>1</v>
      </c>
    </row>
    <row r="127" spans="3:16">
      <c r="C127" s="1" t="s">
        <v>0</v>
      </c>
      <c r="D127" s="1" t="s">
        <v>331</v>
      </c>
      <c r="E127" s="2">
        <v>20162683</v>
      </c>
      <c r="F127" s="1" t="s">
        <v>50</v>
      </c>
      <c r="G127" s="1" t="s">
        <v>56</v>
      </c>
      <c r="I127" s="3" t="s">
        <v>151</v>
      </c>
      <c r="J127" s="3" t="s">
        <v>151</v>
      </c>
      <c r="K127" s="3" t="s">
        <v>151</v>
      </c>
      <c r="L127" s="3" t="s">
        <v>151</v>
      </c>
      <c r="M127" s="3"/>
      <c r="N127" s="3" t="s">
        <v>381</v>
      </c>
      <c r="O127" s="3"/>
      <c r="P127" s="3">
        <v>1</v>
      </c>
    </row>
    <row r="128" spans="3:16">
      <c r="C128" s="1" t="s">
        <v>0</v>
      </c>
      <c r="D128" s="1" t="s">
        <v>332</v>
      </c>
      <c r="E128" s="2">
        <v>25317710</v>
      </c>
      <c r="F128" s="1" t="s">
        <v>50</v>
      </c>
      <c r="G128" s="1" t="s">
        <v>56</v>
      </c>
      <c r="I128" s="3" t="s">
        <v>151</v>
      </c>
      <c r="J128" s="3" t="s">
        <v>151</v>
      </c>
      <c r="K128" s="3" t="s">
        <v>151</v>
      </c>
      <c r="L128" s="3" t="s">
        <v>151</v>
      </c>
      <c r="M128" s="3"/>
      <c r="N128" s="3" t="s">
        <v>381</v>
      </c>
      <c r="O128" s="3"/>
      <c r="P128" s="3">
        <v>1</v>
      </c>
    </row>
    <row r="129" spans="3:18">
      <c r="C129" s="1" t="s">
        <v>0</v>
      </c>
      <c r="D129" s="1" t="s">
        <v>333</v>
      </c>
      <c r="E129" s="2">
        <v>13518832</v>
      </c>
      <c r="F129" s="1" t="s">
        <v>50</v>
      </c>
      <c r="G129" s="1" t="s">
        <v>56</v>
      </c>
      <c r="I129" s="3" t="s">
        <v>151</v>
      </c>
      <c r="J129" s="3" t="s">
        <v>151</v>
      </c>
      <c r="K129" s="3" t="s">
        <v>151</v>
      </c>
      <c r="L129" s="3" t="s">
        <v>151</v>
      </c>
      <c r="M129" s="3"/>
      <c r="N129" s="3" t="s">
        <v>381</v>
      </c>
      <c r="O129" s="3"/>
      <c r="P129" s="3">
        <v>1</v>
      </c>
    </row>
    <row r="130" spans="3:18">
      <c r="C130" s="1" t="s">
        <v>0</v>
      </c>
      <c r="D130" s="1" t="s">
        <v>334</v>
      </c>
      <c r="E130" s="2">
        <v>19129032</v>
      </c>
      <c r="F130" s="1" t="s">
        <v>50</v>
      </c>
      <c r="G130" s="1" t="s">
        <v>56</v>
      </c>
      <c r="I130" s="3" t="s">
        <v>151</v>
      </c>
      <c r="J130" s="3" t="s">
        <v>151</v>
      </c>
      <c r="K130" s="3" t="s">
        <v>151</v>
      </c>
      <c r="L130" s="3" t="s">
        <v>151</v>
      </c>
      <c r="M130" s="3"/>
      <c r="N130" s="3" t="s">
        <v>381</v>
      </c>
      <c r="O130" s="3"/>
      <c r="P130" s="3">
        <v>1</v>
      </c>
    </row>
    <row r="131" spans="3:18">
      <c r="C131" s="1" t="s">
        <v>0</v>
      </c>
      <c r="D131" s="1" t="s">
        <v>335</v>
      </c>
      <c r="E131" s="2">
        <v>15310284</v>
      </c>
      <c r="F131" s="1" t="s">
        <v>50</v>
      </c>
      <c r="G131" s="1" t="s">
        <v>56</v>
      </c>
      <c r="I131" s="3" t="s">
        <v>151</v>
      </c>
      <c r="J131" s="3" t="s">
        <v>151</v>
      </c>
      <c r="K131" s="3" t="s">
        <v>151</v>
      </c>
      <c r="L131" s="3" t="s">
        <v>151</v>
      </c>
      <c r="M131" s="3"/>
      <c r="N131" s="3" t="s">
        <v>381</v>
      </c>
      <c r="O131" s="3"/>
      <c r="P131" s="3">
        <v>1</v>
      </c>
    </row>
    <row r="132" spans="3:18">
      <c r="C132" s="1" t="s">
        <v>0</v>
      </c>
      <c r="D132" s="1" t="s">
        <v>336</v>
      </c>
      <c r="E132" s="2">
        <v>22515360</v>
      </c>
      <c r="F132" s="1" t="s">
        <v>50</v>
      </c>
      <c r="G132" s="1" t="s">
        <v>56</v>
      </c>
      <c r="I132" s="3" t="s">
        <v>151</v>
      </c>
      <c r="J132" s="3" t="s">
        <v>151</v>
      </c>
      <c r="K132" s="3" t="s">
        <v>151</v>
      </c>
      <c r="L132" s="3" t="s">
        <v>151</v>
      </c>
      <c r="M132" s="3"/>
      <c r="N132" s="3" t="s">
        <v>381</v>
      </c>
      <c r="O132" s="3"/>
      <c r="P132" s="3">
        <v>1</v>
      </c>
    </row>
    <row r="133" spans="3:18">
      <c r="C133" s="1" t="s">
        <v>0</v>
      </c>
      <c r="D133" s="1" t="s">
        <v>5</v>
      </c>
      <c r="E133" s="2">
        <v>17811795</v>
      </c>
      <c r="F133" s="27" t="s">
        <v>50</v>
      </c>
      <c r="G133" s="1" t="s">
        <v>53</v>
      </c>
      <c r="I133" s="3"/>
      <c r="J133" s="3"/>
      <c r="K133" s="3"/>
      <c r="L133" s="3"/>
      <c r="M133" s="3"/>
      <c r="N133" s="3"/>
      <c r="O133" s="3"/>
      <c r="R133" s="1">
        <v>1</v>
      </c>
    </row>
    <row r="134" spans="3:18">
      <c r="C134" s="1" t="s">
        <v>0</v>
      </c>
      <c r="D134" s="1" t="s">
        <v>7</v>
      </c>
      <c r="E134" s="2">
        <v>29785845</v>
      </c>
      <c r="F134" s="27" t="s">
        <v>50</v>
      </c>
      <c r="G134" s="1" t="s">
        <v>53</v>
      </c>
      <c r="I134" s="3"/>
      <c r="J134" s="3"/>
      <c r="K134" s="3"/>
      <c r="L134" s="3"/>
      <c r="M134" s="3"/>
      <c r="N134" s="3"/>
      <c r="O134" s="3"/>
      <c r="R134" s="1">
        <v>82</v>
      </c>
    </row>
    <row r="135" spans="3:18">
      <c r="C135" s="1" t="s">
        <v>0</v>
      </c>
      <c r="D135" s="1" t="s">
        <v>9</v>
      </c>
      <c r="E135" s="2">
        <v>18611964</v>
      </c>
      <c r="F135" s="27" t="s">
        <v>50</v>
      </c>
      <c r="G135" s="1" t="s">
        <v>53</v>
      </c>
      <c r="I135" s="3"/>
      <c r="J135" s="3"/>
      <c r="K135" s="3"/>
      <c r="L135" s="3"/>
      <c r="M135" s="3"/>
      <c r="N135" s="3"/>
      <c r="O135" s="3"/>
      <c r="R135" s="1">
        <v>43</v>
      </c>
    </row>
    <row r="136" spans="3:18">
      <c r="C136" s="1" t="s">
        <v>0</v>
      </c>
      <c r="D136" s="1" t="s">
        <v>11</v>
      </c>
      <c r="E136" s="2">
        <v>17595772</v>
      </c>
      <c r="F136" s="27" t="s">
        <v>50</v>
      </c>
      <c r="G136" s="1" t="s">
        <v>53</v>
      </c>
      <c r="I136" s="3"/>
      <c r="J136" s="3"/>
      <c r="K136" s="3"/>
      <c r="L136" s="3"/>
      <c r="M136" s="3"/>
      <c r="N136" s="3"/>
      <c r="O136" s="3"/>
      <c r="R136" s="1">
        <v>2</v>
      </c>
    </row>
    <row r="137" spans="3:18">
      <c r="C137" s="1" t="s">
        <v>0</v>
      </c>
      <c r="D137" s="1" t="s">
        <v>2</v>
      </c>
      <c r="E137" s="2">
        <v>30046821</v>
      </c>
      <c r="F137" s="27" t="s">
        <v>51</v>
      </c>
      <c r="G137" s="1" t="s">
        <v>53</v>
      </c>
      <c r="I137" s="3"/>
      <c r="J137" s="3"/>
      <c r="K137" s="3"/>
      <c r="L137" s="3"/>
      <c r="M137" s="3"/>
      <c r="N137" s="3"/>
      <c r="O137" s="3"/>
      <c r="R137" s="1">
        <f>SUM(R133:R136)</f>
        <v>128</v>
      </c>
    </row>
    <row r="138" spans="3:18">
      <c r="C138" s="1" t="s">
        <v>0</v>
      </c>
      <c r="D138" s="1" t="s">
        <v>4</v>
      </c>
      <c r="E138" s="2">
        <v>17990552</v>
      </c>
      <c r="F138" s="27" t="s">
        <v>51</v>
      </c>
      <c r="G138" s="1" t="s">
        <v>53</v>
      </c>
      <c r="I138" s="3"/>
      <c r="J138" s="3"/>
      <c r="K138" s="3"/>
      <c r="L138" s="3"/>
      <c r="M138" s="3"/>
      <c r="N138" s="3"/>
      <c r="O138" s="3"/>
    </row>
    <row r="139" spans="3:18">
      <c r="C139" s="1" t="s">
        <v>0</v>
      </c>
      <c r="D139" s="1" t="s">
        <v>6</v>
      </c>
      <c r="E139" s="2">
        <v>14379748</v>
      </c>
      <c r="F139" s="27" t="s">
        <v>51</v>
      </c>
      <c r="G139" s="1" t="s">
        <v>53</v>
      </c>
      <c r="I139" s="3"/>
      <c r="J139" s="3"/>
      <c r="K139" s="3"/>
      <c r="L139" s="3"/>
      <c r="M139" s="3"/>
      <c r="N139" s="3"/>
      <c r="O139" s="3"/>
    </row>
    <row r="140" spans="3:18">
      <c r="C140" s="1" t="s">
        <v>0</v>
      </c>
      <c r="D140" s="1" t="s">
        <v>8</v>
      </c>
      <c r="E140" s="2">
        <v>18468285</v>
      </c>
      <c r="F140" s="27" t="s">
        <v>51</v>
      </c>
      <c r="G140" s="1" t="s">
        <v>53</v>
      </c>
      <c r="I140" s="3"/>
      <c r="J140" s="3"/>
      <c r="K140" s="3"/>
      <c r="L140" s="3"/>
      <c r="M140" s="3"/>
      <c r="N140" s="3"/>
      <c r="O140" s="3"/>
    </row>
    <row r="141" spans="3:18">
      <c r="C141" s="1" t="s">
        <v>0</v>
      </c>
      <c r="D141" s="1" t="s">
        <v>14</v>
      </c>
      <c r="E141" s="2">
        <v>18254802</v>
      </c>
      <c r="F141" s="27" t="s">
        <v>51</v>
      </c>
      <c r="G141" s="1" t="s">
        <v>53</v>
      </c>
      <c r="I141" s="3"/>
      <c r="J141" s="3"/>
      <c r="K141" s="3"/>
      <c r="L141" s="3"/>
      <c r="M141" s="3"/>
      <c r="N141" s="3"/>
      <c r="O141" s="3"/>
    </row>
    <row r="142" spans="3:18">
      <c r="C142" s="1" t="s">
        <v>15</v>
      </c>
      <c r="D142" s="1" t="s">
        <v>19</v>
      </c>
      <c r="E142" s="2">
        <v>28580507</v>
      </c>
      <c r="F142" s="27" t="s">
        <v>51</v>
      </c>
      <c r="G142" s="1" t="s">
        <v>53</v>
      </c>
      <c r="I142" s="3"/>
      <c r="J142" s="3"/>
      <c r="K142" s="3"/>
      <c r="L142" s="3"/>
      <c r="M142" s="3"/>
      <c r="N142" s="3"/>
      <c r="O142" s="3"/>
    </row>
    <row r="143" spans="3:18">
      <c r="C143" s="1" t="s">
        <v>20</v>
      </c>
      <c r="D143" s="1" t="s">
        <v>25</v>
      </c>
      <c r="E143" s="2">
        <v>14414733</v>
      </c>
      <c r="F143" s="27" t="s">
        <v>50</v>
      </c>
      <c r="G143" s="1" t="s">
        <v>53</v>
      </c>
      <c r="I143" s="3"/>
      <c r="J143" s="3"/>
      <c r="K143" s="3"/>
      <c r="L143" s="3"/>
      <c r="M143" s="3"/>
      <c r="N143" s="3"/>
      <c r="O143" s="3"/>
    </row>
    <row r="144" spans="3:18">
      <c r="C144" s="1" t="s">
        <v>20</v>
      </c>
      <c r="D144" s="1" t="s">
        <v>22</v>
      </c>
      <c r="E144" s="2">
        <v>25954162</v>
      </c>
      <c r="F144" s="27" t="s">
        <v>51</v>
      </c>
      <c r="G144" s="1" t="s">
        <v>53</v>
      </c>
      <c r="I144" s="3"/>
      <c r="J144" s="3"/>
      <c r="K144" s="3"/>
      <c r="L144" s="3"/>
      <c r="M144" s="3"/>
      <c r="N144" s="3"/>
      <c r="O144" s="3"/>
    </row>
    <row r="145" spans="3:15">
      <c r="C145" s="1" t="s">
        <v>20</v>
      </c>
      <c r="D145" s="1" t="s">
        <v>24</v>
      </c>
      <c r="E145" s="2">
        <v>28339838</v>
      </c>
      <c r="F145" s="27" t="s">
        <v>51</v>
      </c>
      <c r="G145" s="1" t="s">
        <v>53</v>
      </c>
      <c r="I145" s="3"/>
      <c r="J145" s="3"/>
      <c r="K145" s="3"/>
      <c r="L145" s="3"/>
      <c r="M145" s="3"/>
      <c r="N145" s="3"/>
      <c r="O145" s="3"/>
    </row>
    <row r="146" spans="3:15">
      <c r="C146" s="1" t="s">
        <v>20</v>
      </c>
      <c r="D146" s="1" t="s">
        <v>26</v>
      </c>
      <c r="E146" s="2">
        <v>24793644</v>
      </c>
      <c r="F146" s="27" t="s">
        <v>51</v>
      </c>
      <c r="G146" s="1" t="s">
        <v>53</v>
      </c>
      <c r="I146" s="3"/>
      <c r="J146" s="3"/>
      <c r="K146" s="3"/>
      <c r="L146" s="3"/>
      <c r="M146" s="3"/>
      <c r="N146" s="3"/>
      <c r="O146" s="3"/>
    </row>
    <row r="147" spans="3:15">
      <c r="C147" s="1" t="s">
        <v>27</v>
      </c>
      <c r="D147" s="1" t="s">
        <v>28</v>
      </c>
      <c r="E147" s="2">
        <v>31068327</v>
      </c>
      <c r="F147" s="27" t="s">
        <v>50</v>
      </c>
      <c r="G147" s="1" t="s">
        <v>53</v>
      </c>
      <c r="I147" s="3"/>
      <c r="J147" s="3"/>
      <c r="K147" s="3"/>
      <c r="L147" s="3"/>
      <c r="M147" s="3"/>
      <c r="N147" s="3"/>
      <c r="O147" s="3"/>
    </row>
    <row r="148" spans="3:15">
      <c r="C148" s="1" t="s">
        <v>27</v>
      </c>
      <c r="D148" s="1" t="s">
        <v>29</v>
      </c>
      <c r="E148" s="2">
        <v>14301139</v>
      </c>
      <c r="F148" s="27" t="s">
        <v>50</v>
      </c>
      <c r="G148" s="1" t="s">
        <v>53</v>
      </c>
      <c r="I148" s="3"/>
      <c r="J148" s="3"/>
      <c r="K148" s="3"/>
      <c r="L148" s="3"/>
      <c r="M148" s="3"/>
      <c r="N148" s="3"/>
      <c r="O148" s="3"/>
    </row>
    <row r="149" spans="3:15">
      <c r="C149" s="1" t="s">
        <v>27</v>
      </c>
      <c r="D149" s="1" t="s">
        <v>30</v>
      </c>
      <c r="E149" s="2">
        <v>19257168</v>
      </c>
      <c r="F149" s="27" t="s">
        <v>51</v>
      </c>
      <c r="G149" s="1" t="s">
        <v>53</v>
      </c>
      <c r="I149" s="3"/>
      <c r="J149" s="3"/>
      <c r="K149" s="3"/>
      <c r="L149" s="3"/>
      <c r="M149" s="3"/>
      <c r="N149" s="3"/>
      <c r="O149" s="3"/>
    </row>
    <row r="150" spans="3:15">
      <c r="C150" s="1" t="s">
        <v>36</v>
      </c>
      <c r="D150" s="1" t="s">
        <v>37</v>
      </c>
      <c r="E150" s="2">
        <v>27867242</v>
      </c>
      <c r="F150" s="27" t="s">
        <v>50</v>
      </c>
      <c r="G150" s="1" t="s">
        <v>53</v>
      </c>
      <c r="I150" s="3"/>
      <c r="J150" s="3"/>
      <c r="K150" s="3"/>
      <c r="L150" s="3"/>
      <c r="M150" s="3"/>
      <c r="N150" s="3"/>
      <c r="O150" s="3"/>
    </row>
    <row r="151" spans="3:15">
      <c r="C151" s="1" t="s">
        <v>36</v>
      </c>
      <c r="D151" s="1" t="s">
        <v>38</v>
      </c>
      <c r="E151" s="2">
        <v>18972727</v>
      </c>
      <c r="F151" s="27" t="s">
        <v>51</v>
      </c>
      <c r="G151" s="1" t="s">
        <v>53</v>
      </c>
      <c r="I151" s="3"/>
      <c r="J151" s="3"/>
      <c r="K151" s="3"/>
      <c r="L151" s="3"/>
      <c r="M151" s="3"/>
      <c r="N151" s="3"/>
      <c r="O151" s="3"/>
    </row>
    <row r="152" spans="3:15">
      <c r="C152" s="1" t="s">
        <v>39</v>
      </c>
      <c r="D152" s="1" t="s">
        <v>40</v>
      </c>
      <c r="E152" s="2">
        <v>10877686</v>
      </c>
      <c r="F152" s="27" t="s">
        <v>50</v>
      </c>
      <c r="G152" s="1" t="s">
        <v>53</v>
      </c>
      <c r="I152" s="3"/>
      <c r="J152" s="3"/>
      <c r="K152" s="3"/>
      <c r="L152" s="3"/>
      <c r="M152" s="3"/>
      <c r="N152" s="3"/>
      <c r="O152" s="3"/>
    </row>
    <row r="153" spans="3:15">
      <c r="C153" s="1" t="s">
        <v>39</v>
      </c>
      <c r="D153" s="1" t="s">
        <v>42</v>
      </c>
      <c r="E153" s="2">
        <v>28468116</v>
      </c>
      <c r="F153" s="27" t="s">
        <v>50</v>
      </c>
      <c r="G153" s="1" t="s">
        <v>53</v>
      </c>
      <c r="I153" s="3"/>
      <c r="J153" s="3"/>
      <c r="K153" s="3"/>
      <c r="L153" s="3"/>
      <c r="M153" s="3"/>
      <c r="N153" s="3"/>
      <c r="O153" s="3"/>
    </row>
    <row r="154" spans="3:15">
      <c r="C154" s="1" t="s">
        <v>39</v>
      </c>
      <c r="D154" s="1" t="s">
        <v>41</v>
      </c>
      <c r="E154" s="2">
        <v>12032334</v>
      </c>
      <c r="F154" s="27" t="s">
        <v>51</v>
      </c>
      <c r="G154" s="1" t="s">
        <v>53</v>
      </c>
      <c r="I154" s="3"/>
      <c r="J154" s="3"/>
      <c r="K154" s="3"/>
      <c r="L154" s="3"/>
      <c r="M154" s="3"/>
      <c r="N154" s="3"/>
      <c r="O154" s="3"/>
    </row>
    <row r="155" spans="3:15">
      <c r="C155" s="1" t="s">
        <v>39</v>
      </c>
      <c r="D155" s="1" t="s">
        <v>43</v>
      </c>
      <c r="E155" s="2">
        <v>30441499</v>
      </c>
      <c r="F155" s="27" t="s">
        <v>51</v>
      </c>
      <c r="G155" s="1" t="s">
        <v>53</v>
      </c>
      <c r="I155" s="3"/>
      <c r="J155" s="3"/>
      <c r="K155" s="3"/>
      <c r="L155" s="3"/>
      <c r="M155" s="3"/>
      <c r="N155" s="3"/>
      <c r="O155" s="3"/>
    </row>
    <row r="156" spans="3:15">
      <c r="C156" s="1" t="s">
        <v>15</v>
      </c>
      <c r="D156" s="1" t="s">
        <v>90</v>
      </c>
      <c r="E156" s="2">
        <v>28257470</v>
      </c>
      <c r="F156" s="27" t="s">
        <v>51</v>
      </c>
      <c r="G156" s="1" t="s">
        <v>54</v>
      </c>
      <c r="I156" s="3"/>
      <c r="J156" s="3"/>
      <c r="K156" s="3"/>
      <c r="L156" s="3"/>
      <c r="M156" s="3"/>
      <c r="N156" s="3"/>
      <c r="O156" s="3"/>
    </row>
    <row r="157" spans="3:15">
      <c r="C157" s="1" t="s">
        <v>69</v>
      </c>
      <c r="D157" s="1" t="s">
        <v>91</v>
      </c>
      <c r="E157" s="2">
        <v>29559448</v>
      </c>
      <c r="F157" s="27" t="s">
        <v>51</v>
      </c>
      <c r="G157" s="1" t="s">
        <v>54</v>
      </c>
      <c r="I157" s="3"/>
      <c r="J157" s="3"/>
      <c r="K157" s="3"/>
      <c r="L157" s="3"/>
      <c r="M157" s="3"/>
      <c r="N157" s="3"/>
      <c r="O157" s="3"/>
    </row>
    <row r="158" spans="3:15">
      <c r="C158" s="1" t="s">
        <v>69</v>
      </c>
      <c r="D158" s="1" t="s">
        <v>92</v>
      </c>
      <c r="E158" s="2">
        <v>25468705</v>
      </c>
      <c r="F158" s="27" t="s">
        <v>51</v>
      </c>
      <c r="G158" s="1" t="s">
        <v>54</v>
      </c>
      <c r="I158" s="3"/>
      <c r="J158" s="3"/>
      <c r="K158" s="3"/>
      <c r="L158" s="3"/>
      <c r="M158" s="3"/>
      <c r="N158" s="3"/>
      <c r="O158" s="3"/>
    </row>
    <row r="159" spans="3:15">
      <c r="C159" s="1" t="s">
        <v>27</v>
      </c>
      <c r="D159" s="1" t="s">
        <v>93</v>
      </c>
      <c r="E159" s="2"/>
      <c r="F159" s="27" t="s">
        <v>50</v>
      </c>
      <c r="G159" s="1" t="s">
        <v>54</v>
      </c>
      <c r="I159" s="3"/>
      <c r="J159" s="3"/>
      <c r="K159" s="3"/>
      <c r="L159" s="3"/>
      <c r="M159" s="3"/>
      <c r="N159" s="3"/>
      <c r="O159" s="3"/>
    </row>
    <row r="160" spans="3:15">
      <c r="C160" s="1" t="s">
        <v>27</v>
      </c>
      <c r="D160" s="1" t="s">
        <v>94</v>
      </c>
      <c r="E160" s="2"/>
      <c r="F160" s="27" t="s">
        <v>50</v>
      </c>
      <c r="G160" s="1" t="s">
        <v>54</v>
      </c>
      <c r="I160" s="3"/>
      <c r="J160" s="3"/>
      <c r="K160" s="3"/>
      <c r="L160" s="3"/>
      <c r="M160" s="3"/>
      <c r="N160" s="3"/>
      <c r="O160" s="3"/>
    </row>
    <row r="161" spans="3:15">
      <c r="C161" s="1" t="s">
        <v>27</v>
      </c>
      <c r="D161" s="1" t="s">
        <v>95</v>
      </c>
      <c r="E161" s="2"/>
      <c r="F161" s="27" t="s">
        <v>51</v>
      </c>
      <c r="G161" s="1" t="s">
        <v>54</v>
      </c>
      <c r="I161" s="3"/>
      <c r="J161" s="3"/>
      <c r="K161" s="3"/>
      <c r="L161" s="3"/>
      <c r="M161" s="3"/>
      <c r="N161" s="3"/>
      <c r="O161" s="3"/>
    </row>
    <row r="162" spans="3:15">
      <c r="C162" s="1" t="s">
        <v>27</v>
      </c>
      <c r="D162" s="1" t="s">
        <v>96</v>
      </c>
      <c r="E162" s="2"/>
      <c r="F162" s="27" t="s">
        <v>51</v>
      </c>
      <c r="G162" s="1" t="s">
        <v>54</v>
      </c>
      <c r="I162" s="3"/>
      <c r="J162" s="3"/>
      <c r="K162" s="3"/>
      <c r="L162" s="3"/>
      <c r="M162" s="3"/>
      <c r="N162" s="3"/>
      <c r="O162" s="3"/>
    </row>
    <row r="163" spans="3:15">
      <c r="C163" s="1" t="s">
        <v>0</v>
      </c>
      <c r="D163" s="1" t="s">
        <v>120</v>
      </c>
      <c r="E163" s="2">
        <v>24972191</v>
      </c>
      <c r="F163" s="27" t="s">
        <v>50</v>
      </c>
      <c r="G163" s="1" t="s">
        <v>55</v>
      </c>
      <c r="I163" s="3"/>
      <c r="J163" s="3"/>
      <c r="K163" s="3"/>
      <c r="L163" s="3"/>
      <c r="M163" s="3"/>
      <c r="N163" s="3"/>
      <c r="O163" s="3"/>
    </row>
    <row r="164" spans="3:15">
      <c r="C164" s="1" t="s">
        <v>0</v>
      </c>
      <c r="D164" s="1" t="s">
        <v>121</v>
      </c>
      <c r="E164" s="2">
        <v>18422251</v>
      </c>
      <c r="F164" s="27" t="s">
        <v>51</v>
      </c>
      <c r="G164" s="1" t="s">
        <v>55</v>
      </c>
      <c r="I164" s="3"/>
      <c r="J164" s="3"/>
      <c r="K164" s="3"/>
      <c r="L164" s="3"/>
      <c r="M164" s="3"/>
      <c r="N164" s="3"/>
      <c r="O164" s="3"/>
    </row>
    <row r="165" spans="3:15">
      <c r="C165" s="1" t="s">
        <v>0</v>
      </c>
      <c r="D165" s="1" t="s">
        <v>122</v>
      </c>
      <c r="E165" s="2">
        <v>14383233</v>
      </c>
      <c r="F165" s="27" t="s">
        <v>50</v>
      </c>
      <c r="G165" s="1" t="s">
        <v>55</v>
      </c>
      <c r="I165" s="3"/>
      <c r="J165" s="3"/>
      <c r="K165" s="3"/>
      <c r="L165" s="3"/>
      <c r="M165" s="3"/>
      <c r="N165" s="3"/>
      <c r="O165" s="3"/>
    </row>
    <row r="166" spans="3:15">
      <c r="C166" s="1" t="s">
        <v>0</v>
      </c>
      <c r="D166" s="1" t="s">
        <v>123</v>
      </c>
      <c r="E166" s="2">
        <v>28082113</v>
      </c>
      <c r="F166" s="27" t="s">
        <v>51</v>
      </c>
      <c r="G166" s="1" t="s">
        <v>55</v>
      </c>
      <c r="I166" s="3"/>
      <c r="J166" s="3"/>
      <c r="K166" s="3"/>
      <c r="L166" s="3"/>
      <c r="M166" s="3"/>
      <c r="N166" s="3"/>
      <c r="O166" s="3"/>
    </row>
    <row r="167" spans="3:15">
      <c r="C167" s="1" t="s">
        <v>0</v>
      </c>
      <c r="D167" s="1" t="s">
        <v>124</v>
      </c>
      <c r="E167" s="2">
        <v>16104188</v>
      </c>
      <c r="F167" s="27" t="s">
        <v>51</v>
      </c>
      <c r="G167" s="1" t="s">
        <v>55</v>
      </c>
      <c r="I167" s="3"/>
      <c r="J167" s="3"/>
      <c r="K167" s="3"/>
      <c r="L167" s="3"/>
      <c r="M167" s="3"/>
      <c r="N167" s="3"/>
      <c r="O167" s="3"/>
    </row>
    <row r="168" spans="3:15">
      <c r="C168" s="1" t="s">
        <v>0</v>
      </c>
      <c r="D168" s="1" t="s">
        <v>125</v>
      </c>
      <c r="E168" s="2">
        <v>26233912</v>
      </c>
      <c r="F168" s="27" t="s">
        <v>50</v>
      </c>
      <c r="G168" s="1" t="s">
        <v>55</v>
      </c>
      <c r="I168" s="3"/>
      <c r="J168" s="3"/>
      <c r="K168" s="3"/>
      <c r="L168" s="3"/>
      <c r="M168" s="3"/>
      <c r="N168" s="3"/>
      <c r="O168" s="3"/>
    </row>
    <row r="169" spans="3:15">
      <c r="C169" s="1" t="s">
        <v>0</v>
      </c>
      <c r="D169" s="1" t="s">
        <v>126</v>
      </c>
      <c r="E169" s="2">
        <v>28529130</v>
      </c>
      <c r="F169" s="27" t="s">
        <v>50</v>
      </c>
      <c r="G169" s="1" t="s">
        <v>55</v>
      </c>
      <c r="I169" s="3"/>
      <c r="J169" s="3"/>
      <c r="K169" s="3"/>
      <c r="L169" s="3"/>
      <c r="M169" s="3"/>
      <c r="N169" s="3"/>
      <c r="O169" s="3"/>
    </row>
    <row r="170" spans="3:15">
      <c r="C170" s="1" t="s">
        <v>0</v>
      </c>
      <c r="D170" s="1" t="s">
        <v>127</v>
      </c>
      <c r="E170" s="2">
        <v>26086041</v>
      </c>
      <c r="F170" s="27" t="s">
        <v>51</v>
      </c>
      <c r="G170" s="1" t="s">
        <v>55</v>
      </c>
      <c r="I170" s="3"/>
      <c r="J170" s="3"/>
      <c r="K170" s="3"/>
      <c r="L170" s="3"/>
      <c r="M170" s="3"/>
      <c r="N170" s="3"/>
      <c r="O170" s="3"/>
    </row>
    <row r="171" spans="3:15">
      <c r="C171" s="1" t="s">
        <v>0</v>
      </c>
      <c r="D171" s="1" t="s">
        <v>128</v>
      </c>
      <c r="E171" s="2">
        <v>20700337</v>
      </c>
      <c r="F171" s="27" t="s">
        <v>50</v>
      </c>
      <c r="G171" s="1" t="s">
        <v>55</v>
      </c>
      <c r="I171" s="3"/>
      <c r="J171" s="3"/>
      <c r="K171" s="3"/>
      <c r="L171" s="3"/>
      <c r="M171" s="3"/>
      <c r="N171" s="3"/>
      <c r="O171" s="3"/>
    </row>
    <row r="172" spans="3:15">
      <c r="C172" s="1" t="s">
        <v>0</v>
      </c>
      <c r="D172" s="1" t="s">
        <v>129</v>
      </c>
      <c r="E172" s="2">
        <v>19667127</v>
      </c>
      <c r="F172" s="27" t="s">
        <v>51</v>
      </c>
      <c r="G172" s="1" t="s">
        <v>55</v>
      </c>
      <c r="I172" s="3"/>
      <c r="J172" s="3"/>
      <c r="K172" s="3"/>
      <c r="L172" s="3"/>
      <c r="M172" s="3"/>
      <c r="N172" s="3"/>
      <c r="O172" s="3"/>
    </row>
    <row r="173" spans="3:15">
      <c r="C173" s="1" t="s">
        <v>0</v>
      </c>
      <c r="D173" s="1" t="s">
        <v>130</v>
      </c>
      <c r="E173" s="2">
        <v>24710684</v>
      </c>
      <c r="F173" s="27" t="s">
        <v>50</v>
      </c>
      <c r="G173" s="1" t="s">
        <v>55</v>
      </c>
      <c r="I173" s="3"/>
      <c r="J173" s="3"/>
      <c r="K173" s="3"/>
      <c r="L173" s="3"/>
      <c r="M173" s="3"/>
      <c r="N173" s="3"/>
      <c r="O173" s="3"/>
    </row>
    <row r="174" spans="3:15">
      <c r="C174" s="1" t="s">
        <v>0</v>
      </c>
      <c r="D174" s="1" t="s">
        <v>131</v>
      </c>
      <c r="E174" s="2">
        <v>27084198</v>
      </c>
      <c r="F174" s="27" t="s">
        <v>51</v>
      </c>
      <c r="G174" s="1" t="s">
        <v>55</v>
      </c>
      <c r="I174" s="3"/>
      <c r="J174" s="3"/>
      <c r="K174" s="3"/>
      <c r="L174" s="3"/>
      <c r="M174" s="3"/>
      <c r="N174" s="3"/>
      <c r="O174" s="3"/>
    </row>
    <row r="175" spans="3:15">
      <c r="C175" s="1" t="s">
        <v>0</v>
      </c>
      <c r="D175" s="1" t="s">
        <v>132</v>
      </c>
      <c r="E175" s="2">
        <v>19621336</v>
      </c>
      <c r="F175" s="27" t="s">
        <v>51</v>
      </c>
      <c r="G175" s="1" t="s">
        <v>55</v>
      </c>
      <c r="I175" s="3"/>
      <c r="J175" s="3"/>
      <c r="K175" s="3"/>
      <c r="L175" s="3"/>
      <c r="M175" s="3"/>
      <c r="N175" s="3"/>
      <c r="O175" s="3"/>
    </row>
    <row r="176" spans="3:15">
      <c r="C176" s="1" t="s">
        <v>0</v>
      </c>
      <c r="D176" s="1" t="s">
        <v>133</v>
      </c>
      <c r="E176" s="2">
        <v>15496280</v>
      </c>
      <c r="F176" s="27" t="s">
        <v>50</v>
      </c>
      <c r="G176" s="1" t="s">
        <v>55</v>
      </c>
      <c r="I176" s="3"/>
      <c r="J176" s="3"/>
      <c r="K176" s="3"/>
      <c r="L176" s="3"/>
      <c r="M176" s="3"/>
      <c r="N176" s="3"/>
      <c r="O176" s="3"/>
    </row>
    <row r="177" spans="3:15">
      <c r="C177" s="1" t="s">
        <v>0</v>
      </c>
      <c r="D177" s="1" t="s">
        <v>134</v>
      </c>
      <c r="E177" s="2">
        <v>24859431</v>
      </c>
      <c r="F177" s="27" t="s">
        <v>50</v>
      </c>
      <c r="G177" s="1" t="s">
        <v>55</v>
      </c>
      <c r="I177" s="3"/>
      <c r="J177" s="3"/>
      <c r="K177" s="3"/>
      <c r="L177" s="3"/>
      <c r="M177" s="3"/>
      <c r="N177" s="3"/>
      <c r="O177" s="3"/>
    </row>
    <row r="178" spans="3:15">
      <c r="C178" s="1" t="s">
        <v>0</v>
      </c>
      <c r="D178" s="1" t="s">
        <v>135</v>
      </c>
      <c r="E178" s="2">
        <v>12753168</v>
      </c>
      <c r="F178" s="27" t="s">
        <v>51</v>
      </c>
      <c r="G178" s="1" t="s">
        <v>55</v>
      </c>
      <c r="I178" s="3"/>
      <c r="J178" s="3"/>
      <c r="K178" s="3"/>
      <c r="L178" s="3"/>
      <c r="M178" s="3"/>
      <c r="N178" s="3"/>
      <c r="O178" s="3"/>
    </row>
    <row r="179" spans="3:15">
      <c r="C179" s="1" t="s">
        <v>0</v>
      </c>
      <c r="D179" s="1" t="s">
        <v>136</v>
      </c>
      <c r="E179" s="2">
        <v>19666658</v>
      </c>
      <c r="F179" s="27" t="s">
        <v>51</v>
      </c>
      <c r="G179" s="1" t="s">
        <v>55</v>
      </c>
      <c r="I179" s="3"/>
      <c r="J179" s="3"/>
      <c r="K179" s="3"/>
      <c r="L179" s="3"/>
      <c r="M179" s="3"/>
      <c r="N179" s="3"/>
      <c r="O179" s="3"/>
    </row>
    <row r="180" spans="3:15">
      <c r="C180" s="1" t="s">
        <v>0</v>
      </c>
      <c r="D180" s="1" t="s">
        <v>137</v>
      </c>
      <c r="E180" s="2">
        <v>27502430</v>
      </c>
      <c r="F180" s="27" t="s">
        <v>50</v>
      </c>
      <c r="G180" s="1" t="s">
        <v>55</v>
      </c>
      <c r="I180" s="3"/>
      <c r="J180" s="3"/>
      <c r="K180" s="3"/>
      <c r="L180" s="3"/>
      <c r="M180" s="3"/>
      <c r="N180" s="3"/>
      <c r="O180" s="3"/>
    </row>
    <row r="181" spans="3:15">
      <c r="C181" s="1" t="s">
        <v>0</v>
      </c>
      <c r="D181" s="1" t="s">
        <v>138</v>
      </c>
      <c r="E181" s="2">
        <v>29812447</v>
      </c>
      <c r="F181" s="27" t="s">
        <v>51</v>
      </c>
      <c r="G181" s="1" t="s">
        <v>55</v>
      </c>
      <c r="I181" s="3"/>
      <c r="J181" s="3"/>
      <c r="K181" s="3"/>
      <c r="L181" s="3"/>
      <c r="M181" s="3"/>
      <c r="N181" s="3"/>
      <c r="O181" s="3"/>
    </row>
    <row r="182" spans="3:15">
      <c r="C182" s="1" t="s">
        <v>27</v>
      </c>
      <c r="D182" s="1" t="s">
        <v>139</v>
      </c>
      <c r="E182" s="2"/>
      <c r="F182" s="27" t="s">
        <v>50</v>
      </c>
      <c r="G182" s="1" t="s">
        <v>55</v>
      </c>
      <c r="I182" s="3"/>
      <c r="J182" s="3"/>
      <c r="K182" s="3"/>
      <c r="L182" s="3"/>
      <c r="M182" s="3"/>
      <c r="N182" s="3"/>
      <c r="O182" s="3"/>
    </row>
    <row r="183" spans="3:15">
      <c r="C183" s="1" t="s">
        <v>27</v>
      </c>
      <c r="D183" s="1" t="s">
        <v>140</v>
      </c>
      <c r="E183" s="2"/>
      <c r="F183" s="27" t="s">
        <v>50</v>
      </c>
      <c r="G183" s="1" t="s">
        <v>55</v>
      </c>
      <c r="I183" s="3"/>
      <c r="J183" s="3"/>
      <c r="K183" s="3"/>
      <c r="L183" s="3"/>
      <c r="M183" s="3"/>
      <c r="N183" s="3"/>
      <c r="O183" s="3"/>
    </row>
    <row r="184" spans="3:15">
      <c r="C184" s="1" t="s">
        <v>27</v>
      </c>
      <c r="D184" s="1" t="s">
        <v>141</v>
      </c>
      <c r="E184" s="2"/>
      <c r="F184" s="27" t="s">
        <v>51</v>
      </c>
      <c r="G184" s="1" t="s">
        <v>55</v>
      </c>
      <c r="I184" s="3"/>
      <c r="J184" s="3"/>
      <c r="K184" s="3"/>
      <c r="L184" s="3"/>
      <c r="M184" s="3"/>
      <c r="N184" s="3"/>
      <c r="O184" s="3"/>
    </row>
    <row r="185" spans="3:15">
      <c r="C185" s="1" t="s">
        <v>27</v>
      </c>
      <c r="D185" s="1" t="s">
        <v>142</v>
      </c>
      <c r="E185" s="2"/>
      <c r="F185" s="27" t="s">
        <v>51</v>
      </c>
      <c r="G185" s="1" t="s">
        <v>55</v>
      </c>
      <c r="I185" s="3"/>
      <c r="J185" s="3"/>
      <c r="K185" s="3"/>
      <c r="L185" s="3"/>
      <c r="M185" s="3"/>
      <c r="N185" s="3"/>
      <c r="O185" s="3"/>
    </row>
    <row r="186" spans="3:15">
      <c r="C186" s="1" t="s">
        <v>27</v>
      </c>
      <c r="D186" s="1" t="s">
        <v>143</v>
      </c>
      <c r="E186" s="2"/>
      <c r="F186" s="27" t="s">
        <v>50</v>
      </c>
      <c r="G186" s="1" t="s">
        <v>55</v>
      </c>
      <c r="I186" s="3"/>
      <c r="J186" s="3"/>
      <c r="K186" s="3"/>
      <c r="L186" s="3"/>
      <c r="M186" s="3"/>
      <c r="N186" s="3"/>
      <c r="O186" s="3"/>
    </row>
    <row r="187" spans="3:15">
      <c r="C187" s="1" t="s">
        <v>27</v>
      </c>
      <c r="D187" s="1" t="s">
        <v>144</v>
      </c>
      <c r="E187" s="2"/>
      <c r="F187" s="27" t="s">
        <v>50</v>
      </c>
      <c r="G187" s="1" t="s">
        <v>55</v>
      </c>
      <c r="I187" s="3"/>
      <c r="J187" s="3"/>
      <c r="K187" s="3"/>
      <c r="L187" s="3"/>
      <c r="M187" s="3"/>
      <c r="N187" s="3"/>
      <c r="O187" s="3"/>
    </row>
    <row r="188" spans="3:15">
      <c r="C188" s="1" t="s">
        <v>27</v>
      </c>
      <c r="D188" s="1" t="s">
        <v>145</v>
      </c>
      <c r="E188" s="2"/>
      <c r="F188" s="27" t="s">
        <v>50</v>
      </c>
      <c r="G188" s="1" t="s">
        <v>55</v>
      </c>
      <c r="I188" s="3"/>
      <c r="J188" s="3"/>
      <c r="K188" s="3"/>
      <c r="L188" s="3"/>
      <c r="M188" s="3"/>
      <c r="N188" s="3"/>
      <c r="O188" s="3"/>
    </row>
    <row r="189" spans="3:15">
      <c r="C189" s="1" t="s">
        <v>27</v>
      </c>
      <c r="D189" s="1" t="s">
        <v>146</v>
      </c>
      <c r="E189" s="2"/>
      <c r="F189" s="27" t="s">
        <v>51</v>
      </c>
      <c r="G189" s="1" t="s">
        <v>55</v>
      </c>
      <c r="I189" s="3"/>
      <c r="J189" s="3"/>
      <c r="K189" s="3"/>
      <c r="L189" s="3"/>
      <c r="M189" s="3"/>
      <c r="N189" s="3"/>
      <c r="O189" s="3"/>
    </row>
    <row r="190" spans="3:15">
      <c r="C190" s="1" t="s">
        <v>27</v>
      </c>
      <c r="D190" s="1" t="s">
        <v>152</v>
      </c>
      <c r="E190" s="2">
        <v>16509925</v>
      </c>
      <c r="F190" s="27" t="s">
        <v>50</v>
      </c>
      <c r="G190" s="1" t="s">
        <v>56</v>
      </c>
      <c r="I190" s="3"/>
      <c r="J190" s="3"/>
      <c r="K190" s="3"/>
      <c r="L190" s="3"/>
      <c r="M190" s="3"/>
      <c r="N190" s="3"/>
      <c r="O190" s="3"/>
    </row>
    <row r="191" spans="3:15">
      <c r="C191" s="1" t="s">
        <v>27</v>
      </c>
      <c r="D191" s="1" t="s">
        <v>153</v>
      </c>
      <c r="E191" s="2">
        <v>21195076</v>
      </c>
      <c r="F191" s="27" t="s">
        <v>50</v>
      </c>
      <c r="G191" s="1" t="s">
        <v>56</v>
      </c>
      <c r="I191" s="3"/>
      <c r="J191" s="3"/>
      <c r="K191" s="3"/>
      <c r="L191" s="3"/>
      <c r="M191" s="3"/>
      <c r="N191" s="3"/>
      <c r="O191" s="3"/>
    </row>
    <row r="192" spans="3:15">
      <c r="C192" s="1" t="s">
        <v>27</v>
      </c>
      <c r="D192" s="1" t="s">
        <v>154</v>
      </c>
      <c r="E192" s="2">
        <v>28338494</v>
      </c>
      <c r="F192" s="27" t="s">
        <v>50</v>
      </c>
      <c r="G192" s="1" t="s">
        <v>56</v>
      </c>
      <c r="I192" s="3"/>
      <c r="J192" s="3"/>
      <c r="K192" s="3"/>
      <c r="L192" s="3"/>
      <c r="M192" s="3"/>
      <c r="N192" s="3"/>
      <c r="O192" s="3"/>
    </row>
    <row r="193" spans="3:15">
      <c r="C193" s="1" t="s">
        <v>27</v>
      </c>
      <c r="D193" s="1" t="s">
        <v>155</v>
      </c>
      <c r="E193" s="2">
        <v>18554085</v>
      </c>
      <c r="F193" s="27" t="s">
        <v>50</v>
      </c>
      <c r="G193" s="1" t="s">
        <v>56</v>
      </c>
      <c r="I193" s="3"/>
      <c r="J193" s="3"/>
      <c r="K193" s="3"/>
      <c r="L193" s="3"/>
      <c r="M193" s="3"/>
      <c r="N193" s="3"/>
      <c r="O193" s="3"/>
    </row>
    <row r="194" spans="3:15">
      <c r="C194" s="1" t="s">
        <v>27</v>
      </c>
      <c r="D194" s="1" t="s">
        <v>156</v>
      </c>
      <c r="E194" s="2">
        <v>15587040</v>
      </c>
      <c r="F194" s="27" t="s">
        <v>50</v>
      </c>
      <c r="G194" s="1" t="s">
        <v>56</v>
      </c>
      <c r="I194" s="3"/>
      <c r="J194" s="3"/>
      <c r="K194" s="3"/>
      <c r="L194" s="3"/>
      <c r="M194" s="3"/>
      <c r="N194" s="3"/>
      <c r="O194" s="3"/>
    </row>
    <row r="195" spans="3:15">
      <c r="C195" s="1" t="s">
        <v>27</v>
      </c>
      <c r="D195" s="1" t="s">
        <v>157</v>
      </c>
      <c r="E195" s="2">
        <v>20127698</v>
      </c>
      <c r="F195" s="27" t="s">
        <v>51</v>
      </c>
      <c r="G195" s="1" t="s">
        <v>56</v>
      </c>
      <c r="I195" s="3"/>
      <c r="J195" s="3"/>
      <c r="K195" s="3"/>
      <c r="L195" s="3"/>
      <c r="M195" s="3"/>
      <c r="N195" s="3"/>
      <c r="O195" s="3"/>
    </row>
    <row r="196" spans="3:15">
      <c r="C196" s="1" t="s">
        <v>27</v>
      </c>
      <c r="D196" s="1" t="s">
        <v>158</v>
      </c>
      <c r="E196" s="2">
        <v>18270472</v>
      </c>
      <c r="F196" s="27" t="s">
        <v>51</v>
      </c>
      <c r="G196" s="1" t="s">
        <v>56</v>
      </c>
      <c r="I196" s="3"/>
      <c r="J196" s="3"/>
      <c r="K196" s="3"/>
      <c r="L196" s="3"/>
      <c r="M196" s="3"/>
      <c r="N196" s="3"/>
      <c r="O196" s="3"/>
    </row>
    <row r="197" spans="3:15">
      <c r="C197" s="1" t="s">
        <v>27</v>
      </c>
      <c r="D197" s="1" t="s">
        <v>159</v>
      </c>
      <c r="E197" s="2">
        <v>17152866</v>
      </c>
      <c r="F197" s="27" t="s">
        <v>51</v>
      </c>
      <c r="G197" s="1" t="s">
        <v>56</v>
      </c>
      <c r="I197" s="3"/>
      <c r="J197" s="3"/>
      <c r="K197" s="3"/>
      <c r="L197" s="3"/>
      <c r="M197" s="3"/>
      <c r="N197" s="3"/>
      <c r="O197" s="3"/>
    </row>
    <row r="198" spans="3:15">
      <c r="C198" s="1" t="s">
        <v>27</v>
      </c>
      <c r="D198" s="1" t="s">
        <v>160</v>
      </c>
      <c r="E198" s="2">
        <v>17562063</v>
      </c>
      <c r="F198" s="27" t="s">
        <v>51</v>
      </c>
      <c r="G198" s="1" t="s">
        <v>56</v>
      </c>
      <c r="I198" s="3"/>
      <c r="J198" s="3"/>
      <c r="K198" s="3"/>
      <c r="L198" s="3"/>
      <c r="M198" s="3"/>
      <c r="N198" s="3"/>
      <c r="O198" s="3"/>
    </row>
    <row r="199" spans="3:15">
      <c r="C199" s="1" t="s">
        <v>27</v>
      </c>
      <c r="D199" s="1" t="s">
        <v>161</v>
      </c>
      <c r="E199" s="2">
        <v>14758526</v>
      </c>
      <c r="F199" s="27" t="s">
        <v>51</v>
      </c>
      <c r="G199" s="1" t="s">
        <v>56</v>
      </c>
      <c r="I199" s="3"/>
      <c r="J199" s="3"/>
      <c r="K199" s="3"/>
      <c r="L199" s="3"/>
      <c r="M199" s="3"/>
      <c r="N199" s="3"/>
      <c r="O199" s="3"/>
    </row>
    <row r="200" spans="3:15">
      <c r="C200" s="1" t="s">
        <v>31</v>
      </c>
      <c r="D200" s="1" t="s">
        <v>182</v>
      </c>
      <c r="E200" s="2">
        <v>27554969</v>
      </c>
      <c r="F200" s="27" t="s">
        <v>50</v>
      </c>
      <c r="G200" s="1" t="s">
        <v>56</v>
      </c>
      <c r="I200" s="3"/>
      <c r="J200" s="3"/>
      <c r="K200" s="3"/>
      <c r="L200" s="3"/>
      <c r="M200" s="3"/>
      <c r="N200" s="3"/>
      <c r="O200" s="3"/>
    </row>
    <row r="201" spans="3:15">
      <c r="C201" s="1" t="s">
        <v>15</v>
      </c>
      <c r="D201" s="1" t="s">
        <v>188</v>
      </c>
      <c r="E201" s="2">
        <v>27949628</v>
      </c>
      <c r="F201" s="27" t="s">
        <v>50</v>
      </c>
      <c r="G201" s="1" t="s">
        <v>56</v>
      </c>
      <c r="I201" s="3"/>
      <c r="J201" s="3"/>
      <c r="K201" s="3"/>
      <c r="L201" s="3"/>
      <c r="M201" s="3"/>
      <c r="N201" s="3"/>
      <c r="O201" s="3"/>
    </row>
    <row r="202" spans="3:15">
      <c r="C202" s="1" t="s">
        <v>15</v>
      </c>
      <c r="D202" s="1" t="s">
        <v>189</v>
      </c>
      <c r="E202" s="2">
        <v>29838138</v>
      </c>
      <c r="F202" s="27" t="s">
        <v>51</v>
      </c>
      <c r="G202" s="1" t="s">
        <v>56</v>
      </c>
      <c r="I202" s="3"/>
      <c r="J202" s="3"/>
      <c r="K202" s="3"/>
      <c r="L202" s="3"/>
      <c r="M202" s="3"/>
      <c r="N202" s="3"/>
      <c r="O202" s="3"/>
    </row>
    <row r="203" spans="3:15">
      <c r="C203" s="1" t="s">
        <v>15</v>
      </c>
      <c r="D203" s="1" t="s">
        <v>190</v>
      </c>
      <c r="E203" s="2">
        <v>17536067</v>
      </c>
      <c r="F203" s="27" t="s">
        <v>51</v>
      </c>
      <c r="G203" s="1" t="s">
        <v>56</v>
      </c>
      <c r="I203" s="3"/>
      <c r="J203" s="3"/>
      <c r="K203" s="3"/>
      <c r="L203" s="3"/>
      <c r="M203" s="3"/>
      <c r="N203" s="3"/>
      <c r="O203" s="3"/>
    </row>
    <row r="204" spans="3:15">
      <c r="C204" s="1" t="s">
        <v>15</v>
      </c>
      <c r="D204" s="1" t="s">
        <v>191</v>
      </c>
      <c r="E204" s="2">
        <v>8295161</v>
      </c>
      <c r="F204" s="27" t="s">
        <v>51</v>
      </c>
      <c r="G204" s="1" t="s">
        <v>56</v>
      </c>
      <c r="I204" s="3"/>
      <c r="J204" s="3"/>
      <c r="K204" s="3"/>
      <c r="L204" s="3"/>
      <c r="M204" s="3"/>
      <c r="N204" s="3"/>
      <c r="O204" s="3"/>
    </row>
    <row r="205" spans="3:15">
      <c r="C205" s="1" t="s">
        <v>15</v>
      </c>
      <c r="D205" s="1" t="s">
        <v>192</v>
      </c>
      <c r="E205" s="2">
        <v>20096292</v>
      </c>
      <c r="F205" s="27" t="s">
        <v>50</v>
      </c>
      <c r="G205" s="1" t="s">
        <v>56</v>
      </c>
      <c r="I205" s="3"/>
      <c r="J205" s="3"/>
      <c r="K205" s="3"/>
      <c r="L205" s="3"/>
      <c r="M205" s="3"/>
      <c r="N205" s="3"/>
      <c r="O205" s="3"/>
    </row>
    <row r="206" spans="3:15">
      <c r="C206" s="1" t="s">
        <v>15</v>
      </c>
      <c r="D206" s="1" t="s">
        <v>193</v>
      </c>
      <c r="E206" s="2">
        <v>19961459</v>
      </c>
      <c r="F206" s="27" t="s">
        <v>51</v>
      </c>
      <c r="G206" s="1" t="s">
        <v>56</v>
      </c>
      <c r="I206" s="3"/>
      <c r="J206" s="3"/>
      <c r="K206" s="3"/>
      <c r="L206" s="3"/>
      <c r="M206" s="3"/>
      <c r="N206" s="3"/>
      <c r="O206" s="3"/>
    </row>
    <row r="207" spans="3:15">
      <c r="C207" s="1" t="s">
        <v>15</v>
      </c>
      <c r="D207" s="1" t="s">
        <v>194</v>
      </c>
      <c r="E207" s="2">
        <v>26065677</v>
      </c>
      <c r="F207" s="27" t="s">
        <v>51</v>
      </c>
      <c r="G207" s="1" t="s">
        <v>56</v>
      </c>
      <c r="I207" s="3"/>
      <c r="J207" s="3"/>
      <c r="K207" s="3"/>
      <c r="L207" s="3"/>
      <c r="M207" s="3"/>
      <c r="N207" s="3"/>
      <c r="O207" s="3"/>
    </row>
    <row r="208" spans="3:15">
      <c r="C208" s="1" t="s">
        <v>15</v>
      </c>
      <c r="D208" s="1" t="s">
        <v>195</v>
      </c>
      <c r="E208" s="2">
        <v>28065678</v>
      </c>
      <c r="F208" s="27" t="s">
        <v>51</v>
      </c>
      <c r="G208" s="1" t="s">
        <v>56</v>
      </c>
      <c r="I208" s="3"/>
      <c r="J208" s="3"/>
      <c r="K208" s="3"/>
      <c r="L208" s="3"/>
      <c r="M208" s="3"/>
      <c r="N208" s="3"/>
      <c r="O208" s="3"/>
    </row>
    <row r="209" spans="3:15">
      <c r="C209" s="1" t="s">
        <v>69</v>
      </c>
      <c r="D209" s="1" t="s">
        <v>196</v>
      </c>
      <c r="E209" s="2">
        <v>12204043</v>
      </c>
      <c r="F209" s="27" t="s">
        <v>50</v>
      </c>
      <c r="G209" s="1" t="s">
        <v>56</v>
      </c>
      <c r="I209" s="3"/>
      <c r="J209" s="3"/>
      <c r="K209" s="3"/>
      <c r="L209" s="3"/>
      <c r="M209" s="3"/>
      <c r="N209" s="3"/>
      <c r="O209" s="3"/>
    </row>
    <row r="210" spans="3:15">
      <c r="C210" s="1" t="s">
        <v>69</v>
      </c>
      <c r="D210" s="1" t="s">
        <v>197</v>
      </c>
      <c r="E210" s="2">
        <v>28546747</v>
      </c>
      <c r="F210" s="27" t="s">
        <v>51</v>
      </c>
      <c r="G210" s="1" t="s">
        <v>56</v>
      </c>
      <c r="I210" s="3"/>
      <c r="J210" s="3"/>
      <c r="K210" s="3"/>
      <c r="L210" s="3"/>
      <c r="M210" s="3"/>
      <c r="N210" s="3"/>
      <c r="O210" s="3"/>
    </row>
    <row r="211" spans="3:15">
      <c r="C211" s="1" t="s">
        <v>69</v>
      </c>
      <c r="D211" s="1" t="s">
        <v>198</v>
      </c>
      <c r="E211" s="2">
        <v>25033526</v>
      </c>
      <c r="F211" s="27" t="s">
        <v>51</v>
      </c>
      <c r="G211" s="1" t="s">
        <v>56</v>
      </c>
      <c r="I211" s="3"/>
      <c r="J211" s="3"/>
      <c r="K211" s="3"/>
      <c r="L211" s="3"/>
      <c r="M211" s="3"/>
      <c r="N211" s="3"/>
      <c r="O211" s="3"/>
    </row>
    <row r="212" spans="3:15">
      <c r="C212" s="1" t="s">
        <v>69</v>
      </c>
      <c r="D212" s="1" t="s">
        <v>199</v>
      </c>
      <c r="E212" s="2">
        <v>18117004</v>
      </c>
      <c r="F212" s="27" t="s">
        <v>51</v>
      </c>
      <c r="G212" s="1" t="s">
        <v>56</v>
      </c>
      <c r="I212" s="3"/>
      <c r="J212" s="3"/>
      <c r="K212" s="3"/>
      <c r="L212" s="3"/>
      <c r="M212" s="3"/>
      <c r="N212" s="3"/>
      <c r="O212" s="3"/>
    </row>
    <row r="213" spans="3:15">
      <c r="C213" s="1" t="s">
        <v>69</v>
      </c>
      <c r="D213" s="1" t="s">
        <v>200</v>
      </c>
      <c r="E213" s="2">
        <v>19187119</v>
      </c>
      <c r="F213" s="27" t="s">
        <v>50</v>
      </c>
      <c r="G213" s="1" t="s">
        <v>56</v>
      </c>
      <c r="I213" s="3"/>
      <c r="J213" s="3"/>
      <c r="K213" s="3"/>
      <c r="L213" s="3"/>
      <c r="M213" s="3"/>
      <c r="N213" s="3"/>
      <c r="O213" s="3"/>
    </row>
    <row r="214" spans="3:15">
      <c r="C214" s="1" t="s">
        <v>69</v>
      </c>
      <c r="D214" s="1" t="s">
        <v>201</v>
      </c>
      <c r="E214" s="2">
        <v>16475090</v>
      </c>
      <c r="F214" s="27" t="s">
        <v>51</v>
      </c>
      <c r="G214" s="1" t="s">
        <v>56</v>
      </c>
      <c r="I214" s="3"/>
      <c r="J214" s="3"/>
      <c r="K214" s="3"/>
      <c r="L214" s="3"/>
      <c r="M214" s="3"/>
      <c r="N214" s="3"/>
      <c r="O214" s="3"/>
    </row>
    <row r="215" spans="3:15">
      <c r="C215" s="1" t="s">
        <v>20</v>
      </c>
      <c r="D215" s="1" t="s">
        <v>207</v>
      </c>
      <c r="E215" s="2">
        <v>18850224</v>
      </c>
      <c r="F215" s="27" t="s">
        <v>51</v>
      </c>
      <c r="G215" s="1" t="s">
        <v>56</v>
      </c>
      <c r="I215" s="3"/>
      <c r="J215" s="3"/>
      <c r="K215" s="3"/>
      <c r="L215" s="3"/>
      <c r="M215" s="3"/>
      <c r="N215" s="3"/>
      <c r="O215" s="3"/>
    </row>
    <row r="216" spans="3:15">
      <c r="C216" s="1" t="s">
        <v>20</v>
      </c>
      <c r="D216" s="1" t="s">
        <v>208</v>
      </c>
      <c r="E216" s="2">
        <v>22597048</v>
      </c>
      <c r="F216" s="27" t="s">
        <v>51</v>
      </c>
      <c r="G216" s="1" t="s">
        <v>56</v>
      </c>
      <c r="I216" s="3"/>
      <c r="J216" s="3"/>
      <c r="K216" s="3"/>
      <c r="L216" s="3"/>
      <c r="M216" s="3"/>
      <c r="N216" s="3"/>
      <c r="O216" s="3"/>
    </row>
    <row r="217" spans="3:15">
      <c r="C217" s="1" t="s">
        <v>20</v>
      </c>
      <c r="D217" s="1" t="s">
        <v>209</v>
      </c>
      <c r="E217" s="2">
        <v>19182485</v>
      </c>
      <c r="F217" s="27" t="s">
        <v>51</v>
      </c>
      <c r="G217" s="1" t="s">
        <v>56</v>
      </c>
      <c r="I217" s="3"/>
      <c r="J217" s="3"/>
      <c r="K217" s="3"/>
      <c r="L217" s="3"/>
      <c r="M217" s="3"/>
      <c r="N217" s="3"/>
      <c r="O217" s="3"/>
    </row>
    <row r="218" spans="3:15">
      <c r="C218" s="1" t="s">
        <v>20</v>
      </c>
      <c r="D218" s="1" t="s">
        <v>210</v>
      </c>
      <c r="E218" s="2">
        <v>19357155</v>
      </c>
      <c r="F218" s="27" t="s">
        <v>51</v>
      </c>
      <c r="G218" s="1" t="s">
        <v>56</v>
      </c>
      <c r="I218" s="3"/>
      <c r="J218" s="3"/>
      <c r="K218" s="3"/>
      <c r="L218" s="3"/>
      <c r="M218" s="3"/>
      <c r="N218" s="3"/>
      <c r="O218" s="3"/>
    </row>
    <row r="219" spans="3:15">
      <c r="C219" s="1" t="s">
        <v>20</v>
      </c>
      <c r="D219" s="1" t="s">
        <v>211</v>
      </c>
      <c r="E219" s="2">
        <v>20641121</v>
      </c>
      <c r="F219" s="27" t="s">
        <v>50</v>
      </c>
      <c r="G219" s="1" t="s">
        <v>56</v>
      </c>
      <c r="I219" s="3"/>
      <c r="J219" s="3"/>
      <c r="K219" s="3"/>
      <c r="L219" s="3"/>
      <c r="M219" s="3"/>
      <c r="N219" s="3"/>
      <c r="O219" s="3"/>
    </row>
    <row r="220" spans="3:15">
      <c r="C220" s="1" t="s">
        <v>20</v>
      </c>
      <c r="D220" s="1" t="s">
        <v>212</v>
      </c>
      <c r="E220" s="2">
        <v>26400401</v>
      </c>
      <c r="F220" s="27" t="s">
        <v>51</v>
      </c>
      <c r="G220" s="1" t="s">
        <v>56</v>
      </c>
      <c r="I220" s="3"/>
      <c r="J220" s="3"/>
      <c r="K220" s="3"/>
      <c r="L220" s="3"/>
      <c r="M220" s="3"/>
      <c r="N220" s="3"/>
      <c r="O220" s="3"/>
    </row>
    <row r="221" spans="3:15">
      <c r="C221" s="1" t="s">
        <v>20</v>
      </c>
      <c r="D221" s="1" t="s">
        <v>213</v>
      </c>
      <c r="E221" s="2">
        <v>23959129</v>
      </c>
      <c r="F221" s="27" t="s">
        <v>50</v>
      </c>
      <c r="G221" s="1" t="s">
        <v>56</v>
      </c>
      <c r="I221" s="3"/>
      <c r="J221" s="3"/>
      <c r="K221" s="3"/>
      <c r="L221" s="3"/>
      <c r="M221" s="3"/>
      <c r="N221" s="3"/>
      <c r="O221" s="3"/>
    </row>
    <row r="222" spans="3:15">
      <c r="C222" s="1" t="s">
        <v>20</v>
      </c>
      <c r="D222" s="1" t="s">
        <v>214</v>
      </c>
      <c r="E222" s="2">
        <v>19542063</v>
      </c>
      <c r="F222" s="27" t="s">
        <v>51</v>
      </c>
      <c r="G222" s="1" t="s">
        <v>56</v>
      </c>
      <c r="I222" s="3"/>
      <c r="J222" s="3"/>
      <c r="K222" s="3"/>
      <c r="L222" s="3"/>
      <c r="M222" s="3"/>
      <c r="N222" s="3"/>
      <c r="O222" s="3"/>
    </row>
    <row r="223" spans="3:15">
      <c r="C223" s="1" t="s">
        <v>20</v>
      </c>
      <c r="D223" s="1" t="s">
        <v>215</v>
      </c>
      <c r="E223" s="2">
        <v>24793601</v>
      </c>
      <c r="F223" s="27" t="s">
        <v>50</v>
      </c>
      <c r="G223" s="1" t="s">
        <v>56</v>
      </c>
      <c r="I223" s="3"/>
      <c r="J223" s="3"/>
      <c r="K223" s="3"/>
      <c r="L223" s="3"/>
      <c r="M223" s="3"/>
      <c r="N223" s="3"/>
      <c r="O223" s="3"/>
    </row>
    <row r="224" spans="3:15">
      <c r="C224" s="1" t="s">
        <v>20</v>
      </c>
      <c r="D224" s="1" t="s">
        <v>225</v>
      </c>
      <c r="E224" s="2">
        <v>29920753</v>
      </c>
      <c r="F224" s="27" t="s">
        <v>51</v>
      </c>
      <c r="G224" s="1" t="s">
        <v>56</v>
      </c>
      <c r="I224" s="3"/>
      <c r="J224" s="3"/>
      <c r="K224" s="3"/>
      <c r="L224" s="3"/>
      <c r="M224" s="3"/>
      <c r="N224" s="3"/>
      <c r="O224" s="3"/>
    </row>
    <row r="225" spans="3:15">
      <c r="C225" s="1" t="s">
        <v>20</v>
      </c>
      <c r="D225" s="1" t="s">
        <v>216</v>
      </c>
      <c r="E225" s="2">
        <v>25954652</v>
      </c>
      <c r="F225" s="27" t="s">
        <v>50</v>
      </c>
      <c r="G225" s="1" t="s">
        <v>56</v>
      </c>
      <c r="I225" s="3"/>
      <c r="J225" s="3"/>
      <c r="K225" s="3"/>
      <c r="L225" s="3"/>
      <c r="M225" s="3"/>
      <c r="N225" s="3"/>
      <c r="O225" s="3"/>
    </row>
    <row r="226" spans="3:15">
      <c r="C226" s="1" t="s">
        <v>20</v>
      </c>
      <c r="D226" s="1" t="s">
        <v>217</v>
      </c>
      <c r="E226" s="2">
        <v>24247265</v>
      </c>
      <c r="F226" s="27" t="s">
        <v>51</v>
      </c>
      <c r="G226" s="1" t="s">
        <v>56</v>
      </c>
      <c r="I226" s="3"/>
      <c r="J226" s="3"/>
      <c r="K226" s="3"/>
      <c r="L226" s="3"/>
      <c r="M226" s="3"/>
      <c r="N226" s="3"/>
      <c r="O226" s="3"/>
    </row>
    <row r="227" spans="3:15">
      <c r="C227" s="1" t="s">
        <v>20</v>
      </c>
      <c r="D227" s="1" t="s">
        <v>218</v>
      </c>
      <c r="E227" s="2">
        <v>19356963</v>
      </c>
      <c r="F227" s="27" t="s">
        <v>50</v>
      </c>
      <c r="G227" s="1" t="s">
        <v>56</v>
      </c>
      <c r="I227" s="3"/>
      <c r="J227" s="3"/>
      <c r="K227" s="3"/>
      <c r="L227" s="3"/>
      <c r="M227" s="3"/>
      <c r="N227" s="3"/>
      <c r="O227" s="3"/>
    </row>
    <row r="228" spans="3:15">
      <c r="C228" s="1" t="s">
        <v>20</v>
      </c>
      <c r="D228" s="1" t="s">
        <v>219</v>
      </c>
      <c r="E228" s="2">
        <v>25419738</v>
      </c>
      <c r="F228" s="27" t="s">
        <v>51</v>
      </c>
      <c r="G228" s="1" t="s">
        <v>56</v>
      </c>
      <c r="I228" s="3"/>
      <c r="J228" s="3"/>
      <c r="K228" s="3"/>
      <c r="L228" s="3"/>
      <c r="M228" s="3"/>
      <c r="N228" s="3"/>
      <c r="O228" s="3"/>
    </row>
    <row r="229" spans="3:15">
      <c r="C229" s="1" t="s">
        <v>20</v>
      </c>
      <c r="D229" s="1" t="s">
        <v>220</v>
      </c>
      <c r="E229" s="2">
        <v>21139746</v>
      </c>
      <c r="F229" s="27" t="s">
        <v>50</v>
      </c>
      <c r="G229" s="1" t="s">
        <v>56</v>
      </c>
      <c r="I229" s="3"/>
      <c r="J229" s="3"/>
      <c r="K229" s="3"/>
      <c r="L229" s="3"/>
      <c r="M229" s="3"/>
      <c r="N229" s="3"/>
      <c r="O229" s="3"/>
    </row>
    <row r="230" spans="3:15">
      <c r="C230" s="1" t="s">
        <v>20</v>
      </c>
      <c r="D230" s="1" t="s">
        <v>221</v>
      </c>
      <c r="E230" s="2">
        <v>30241946</v>
      </c>
      <c r="F230" s="27" t="s">
        <v>51</v>
      </c>
      <c r="G230" s="1" t="s">
        <v>56</v>
      </c>
      <c r="I230" s="3"/>
      <c r="J230" s="3"/>
      <c r="K230" s="3"/>
      <c r="L230" s="3"/>
      <c r="M230" s="3"/>
      <c r="N230" s="3"/>
      <c r="O230" s="3"/>
    </row>
    <row r="231" spans="3:15">
      <c r="C231" s="1" t="s">
        <v>20</v>
      </c>
      <c r="D231" s="1" t="s">
        <v>222</v>
      </c>
      <c r="E231" s="2">
        <v>29525224</v>
      </c>
      <c r="F231" s="27" t="s">
        <v>50</v>
      </c>
      <c r="G231" s="1" t="s">
        <v>56</v>
      </c>
      <c r="I231" s="3"/>
      <c r="J231" s="3"/>
      <c r="K231" s="3"/>
      <c r="L231" s="3"/>
      <c r="M231" s="3"/>
      <c r="N231" s="3"/>
      <c r="O231" s="3"/>
    </row>
    <row r="232" spans="3:15">
      <c r="C232" s="1" t="s">
        <v>20</v>
      </c>
      <c r="D232" s="1" t="s">
        <v>223</v>
      </c>
      <c r="E232" s="2">
        <v>31903946</v>
      </c>
      <c r="F232" s="27" t="s">
        <v>51</v>
      </c>
      <c r="G232" s="1" t="s">
        <v>56</v>
      </c>
      <c r="I232" s="3"/>
      <c r="J232" s="3"/>
      <c r="K232" s="3"/>
      <c r="L232" s="3"/>
      <c r="M232" s="3"/>
      <c r="N232" s="3"/>
      <c r="O232" s="3"/>
    </row>
    <row r="233" spans="3:15">
      <c r="C233" s="1" t="s">
        <v>20</v>
      </c>
      <c r="D233" s="1" t="s">
        <v>224</v>
      </c>
      <c r="E233" s="2">
        <v>10992362</v>
      </c>
      <c r="F233" s="27" t="s">
        <v>50</v>
      </c>
      <c r="G233" s="1" t="s">
        <v>56</v>
      </c>
      <c r="I233" s="3"/>
      <c r="J233" s="3"/>
      <c r="K233" s="3"/>
      <c r="L233" s="3"/>
      <c r="M233" s="3"/>
      <c r="N233" s="3"/>
      <c r="O233" s="3"/>
    </row>
    <row r="234" spans="3:15">
      <c r="C234" s="1" t="s">
        <v>36</v>
      </c>
      <c r="D234" s="1" t="s">
        <v>226</v>
      </c>
      <c r="E234" s="2"/>
      <c r="F234" s="27" t="s">
        <v>50</v>
      </c>
      <c r="G234" s="1" t="s">
        <v>56</v>
      </c>
      <c r="I234" s="3"/>
      <c r="J234" s="3"/>
      <c r="K234" s="3"/>
      <c r="L234" s="3"/>
      <c r="M234" s="3"/>
      <c r="N234" s="3"/>
      <c r="O234" s="3"/>
    </row>
    <row r="235" spans="3:15">
      <c r="C235" s="1" t="s">
        <v>36</v>
      </c>
      <c r="D235" s="1" t="s">
        <v>227</v>
      </c>
      <c r="E235" s="2"/>
      <c r="F235" s="27" t="s">
        <v>51</v>
      </c>
      <c r="G235" s="1" t="s">
        <v>56</v>
      </c>
      <c r="I235" s="3"/>
      <c r="J235" s="3"/>
      <c r="K235" s="3"/>
      <c r="L235" s="3"/>
      <c r="M235" s="3"/>
      <c r="N235" s="3"/>
      <c r="O235" s="3"/>
    </row>
    <row r="236" spans="3:15">
      <c r="C236" s="1" t="s">
        <v>36</v>
      </c>
      <c r="D236" s="1" t="s">
        <v>228</v>
      </c>
      <c r="E236" s="2"/>
      <c r="F236" s="27" t="s">
        <v>50</v>
      </c>
      <c r="G236" s="1" t="s">
        <v>56</v>
      </c>
      <c r="I236" s="3"/>
      <c r="J236" s="3"/>
      <c r="K236" s="3"/>
      <c r="L236" s="3"/>
      <c r="M236" s="3"/>
      <c r="N236" s="3"/>
      <c r="O236" s="3"/>
    </row>
    <row r="237" spans="3:15">
      <c r="C237" s="1" t="s">
        <v>36</v>
      </c>
      <c r="D237" s="1" t="s">
        <v>229</v>
      </c>
      <c r="E237" s="2"/>
      <c r="F237" s="27" t="s">
        <v>50</v>
      </c>
      <c r="G237" s="1" t="s">
        <v>56</v>
      </c>
      <c r="I237" s="3"/>
      <c r="J237" s="3"/>
      <c r="K237" s="3"/>
      <c r="L237" s="3"/>
      <c r="M237" s="3"/>
      <c r="N237" s="3"/>
      <c r="O237" s="3"/>
    </row>
    <row r="238" spans="3:15">
      <c r="C238" s="1" t="s">
        <v>36</v>
      </c>
      <c r="D238" s="1" t="s">
        <v>230</v>
      </c>
      <c r="E238" s="2"/>
      <c r="F238" s="27" t="s">
        <v>51</v>
      </c>
      <c r="G238" s="1" t="s">
        <v>56</v>
      </c>
      <c r="I238" s="3"/>
      <c r="J238" s="3"/>
      <c r="K238" s="3"/>
      <c r="L238" s="3"/>
      <c r="M238" s="3"/>
      <c r="N238" s="3"/>
      <c r="O238" s="3"/>
    </row>
    <row r="239" spans="3:15">
      <c r="C239" s="1" t="s">
        <v>36</v>
      </c>
      <c r="D239" s="1" t="s">
        <v>231</v>
      </c>
      <c r="E239" s="2"/>
      <c r="F239" s="27" t="s">
        <v>51</v>
      </c>
      <c r="G239" s="1" t="s">
        <v>56</v>
      </c>
      <c r="I239" s="3"/>
      <c r="J239" s="3"/>
      <c r="K239" s="3"/>
      <c r="L239" s="3"/>
      <c r="M239" s="3"/>
      <c r="N239" s="3"/>
      <c r="O239" s="3"/>
    </row>
    <row r="240" spans="3:15">
      <c r="C240" s="1" t="s">
        <v>36</v>
      </c>
      <c r="D240" s="1" t="s">
        <v>232</v>
      </c>
      <c r="E240" s="2"/>
      <c r="F240" s="27" t="s">
        <v>50</v>
      </c>
      <c r="G240" s="1" t="s">
        <v>56</v>
      </c>
      <c r="I240" s="3"/>
      <c r="J240" s="3"/>
      <c r="K240" s="3"/>
      <c r="L240" s="3"/>
      <c r="M240" s="3"/>
      <c r="N240" s="3"/>
      <c r="O240" s="3"/>
    </row>
    <row r="241" spans="3:15">
      <c r="C241" s="1" t="s">
        <v>36</v>
      </c>
      <c r="D241" s="1" t="s">
        <v>233</v>
      </c>
      <c r="E241" s="2"/>
      <c r="F241" s="27" t="s">
        <v>51</v>
      </c>
      <c r="G241" s="1" t="s">
        <v>56</v>
      </c>
      <c r="I241" s="3"/>
      <c r="J241" s="3"/>
      <c r="K241" s="3"/>
      <c r="L241" s="3"/>
      <c r="M241" s="3"/>
      <c r="N241" s="3"/>
      <c r="O241" s="3"/>
    </row>
    <row r="242" spans="3:15">
      <c r="C242" s="1" t="s">
        <v>36</v>
      </c>
      <c r="D242" s="1" t="s">
        <v>234</v>
      </c>
      <c r="E242" s="2"/>
      <c r="F242" s="27" t="s">
        <v>50</v>
      </c>
      <c r="G242" s="1" t="s">
        <v>56</v>
      </c>
      <c r="I242" s="3"/>
      <c r="J242" s="3"/>
      <c r="K242" s="3"/>
      <c r="L242" s="3"/>
      <c r="M242" s="3"/>
      <c r="N242" s="3"/>
      <c r="O242" s="3"/>
    </row>
    <row r="243" spans="3:15">
      <c r="C243" s="1" t="s">
        <v>36</v>
      </c>
      <c r="D243" s="1" t="s">
        <v>235</v>
      </c>
      <c r="E243" s="2"/>
      <c r="F243" s="27" t="s">
        <v>51</v>
      </c>
      <c r="G243" s="1" t="s">
        <v>56</v>
      </c>
      <c r="I243" s="3"/>
      <c r="J243" s="3"/>
      <c r="K243" s="3"/>
      <c r="L243" s="3"/>
      <c r="M243" s="3"/>
      <c r="N243" s="3"/>
      <c r="O243" s="3"/>
    </row>
    <row r="244" spans="3:15">
      <c r="C244" s="1" t="s">
        <v>36</v>
      </c>
      <c r="D244" s="1" t="s">
        <v>236</v>
      </c>
      <c r="E244" s="2"/>
      <c r="F244" s="27" t="s">
        <v>51</v>
      </c>
      <c r="G244" s="1" t="s">
        <v>56</v>
      </c>
      <c r="I244" s="3"/>
      <c r="J244" s="3"/>
      <c r="K244" s="3"/>
      <c r="L244" s="3"/>
      <c r="M244" s="3"/>
      <c r="N244" s="3"/>
      <c r="O244" s="3"/>
    </row>
    <row r="245" spans="3:15">
      <c r="C245" s="1" t="s">
        <v>36</v>
      </c>
      <c r="D245" s="1" t="s">
        <v>237</v>
      </c>
      <c r="E245" s="2"/>
      <c r="F245" s="27" t="s">
        <v>50</v>
      </c>
      <c r="G245" s="1" t="s">
        <v>56</v>
      </c>
      <c r="I245" s="3"/>
      <c r="J245" s="3"/>
      <c r="K245" s="3"/>
      <c r="L245" s="3"/>
      <c r="M245" s="3"/>
      <c r="N245" s="3"/>
      <c r="O245" s="3"/>
    </row>
    <row r="246" spans="3:15">
      <c r="C246" s="1" t="s">
        <v>36</v>
      </c>
      <c r="D246" s="1" t="s">
        <v>238</v>
      </c>
      <c r="E246" s="2"/>
      <c r="F246" s="27" t="s">
        <v>51</v>
      </c>
      <c r="G246" s="1" t="s">
        <v>56</v>
      </c>
      <c r="I246" s="3"/>
      <c r="J246" s="3"/>
      <c r="K246" s="3"/>
      <c r="L246" s="3"/>
      <c r="M246" s="3"/>
      <c r="N246" s="3"/>
      <c r="O246" s="3"/>
    </row>
    <row r="247" spans="3:15">
      <c r="C247" s="1" t="s">
        <v>36</v>
      </c>
      <c r="D247" s="1" t="s">
        <v>239</v>
      </c>
      <c r="E247" s="2"/>
      <c r="F247" s="27" t="s">
        <v>51</v>
      </c>
      <c r="G247" s="1" t="s">
        <v>56</v>
      </c>
      <c r="I247" s="3"/>
      <c r="J247" s="3"/>
      <c r="K247" s="3"/>
      <c r="L247" s="3"/>
      <c r="M247" s="3"/>
      <c r="N247" s="3"/>
      <c r="O247" s="3"/>
    </row>
    <row r="248" spans="3:15">
      <c r="C248" s="1" t="s">
        <v>36</v>
      </c>
      <c r="D248" s="1" t="s">
        <v>240</v>
      </c>
      <c r="E248" s="2"/>
      <c r="F248" s="27" t="s">
        <v>51</v>
      </c>
      <c r="G248" s="1" t="s">
        <v>56</v>
      </c>
      <c r="I248" s="3"/>
      <c r="J248" s="3"/>
      <c r="K248" s="3"/>
      <c r="L248" s="3"/>
      <c r="M248" s="3"/>
      <c r="N248" s="3"/>
      <c r="O248" s="3"/>
    </row>
    <row r="249" spans="3:15">
      <c r="C249" s="1" t="s">
        <v>36</v>
      </c>
      <c r="D249" s="1" t="s">
        <v>241</v>
      </c>
      <c r="E249" s="2"/>
      <c r="F249" s="27" t="s">
        <v>51</v>
      </c>
      <c r="G249" s="1" t="s">
        <v>56</v>
      </c>
      <c r="I249" s="3"/>
      <c r="J249" s="3"/>
      <c r="K249" s="3"/>
      <c r="L249" s="3"/>
      <c r="M249" s="3"/>
      <c r="N249" s="3"/>
      <c r="O249" s="3"/>
    </row>
    <row r="250" spans="3:15">
      <c r="C250" s="1" t="s">
        <v>36</v>
      </c>
      <c r="D250" s="1" t="s">
        <v>242</v>
      </c>
      <c r="E250" s="2"/>
      <c r="F250" s="27" t="s">
        <v>51</v>
      </c>
      <c r="G250" s="1" t="s">
        <v>56</v>
      </c>
      <c r="I250" s="3"/>
      <c r="J250" s="3"/>
      <c r="K250" s="3"/>
      <c r="L250" s="3"/>
      <c r="M250" s="3"/>
      <c r="N250" s="3"/>
      <c r="O250" s="3"/>
    </row>
    <row r="251" spans="3:15">
      <c r="C251" s="1" t="s">
        <v>36</v>
      </c>
      <c r="D251" s="1" t="s">
        <v>243</v>
      </c>
      <c r="E251" s="2"/>
      <c r="F251" s="27" t="s">
        <v>50</v>
      </c>
      <c r="G251" s="1" t="s">
        <v>56</v>
      </c>
      <c r="I251" s="3"/>
      <c r="J251" s="3"/>
      <c r="K251" s="3"/>
      <c r="L251" s="3"/>
      <c r="M251" s="3"/>
      <c r="N251" s="3"/>
      <c r="O251" s="3"/>
    </row>
    <row r="252" spans="3:15">
      <c r="C252" s="1" t="s">
        <v>36</v>
      </c>
      <c r="D252" s="1" t="s">
        <v>244</v>
      </c>
      <c r="E252" s="2"/>
      <c r="F252" s="27" t="s">
        <v>51</v>
      </c>
      <c r="G252" s="1" t="s">
        <v>56</v>
      </c>
      <c r="I252" s="3"/>
      <c r="J252" s="3"/>
      <c r="K252" s="3"/>
      <c r="L252" s="3"/>
      <c r="M252" s="3"/>
      <c r="N252" s="3"/>
      <c r="O252" s="3"/>
    </row>
    <row r="253" spans="3:15">
      <c r="C253" s="1" t="s">
        <v>36</v>
      </c>
      <c r="D253" s="1" t="s">
        <v>245</v>
      </c>
      <c r="E253" s="2">
        <v>19657734</v>
      </c>
      <c r="F253" s="27" t="s">
        <v>50</v>
      </c>
      <c r="G253" s="1" t="s">
        <v>56</v>
      </c>
      <c r="I253" s="3"/>
      <c r="J253" s="3"/>
      <c r="K253" s="3"/>
      <c r="L253" s="3"/>
      <c r="M253" s="3"/>
      <c r="N253" s="3"/>
      <c r="O253" s="3"/>
    </row>
    <row r="254" spans="3:15">
      <c r="C254" s="1" t="s">
        <v>36</v>
      </c>
      <c r="D254" s="1" t="s">
        <v>246</v>
      </c>
      <c r="E254" s="2">
        <v>19361262</v>
      </c>
      <c r="F254" s="27" t="s">
        <v>51</v>
      </c>
      <c r="G254" s="1" t="s">
        <v>56</v>
      </c>
      <c r="I254" s="3"/>
      <c r="J254" s="3"/>
      <c r="K254" s="3"/>
      <c r="L254" s="3"/>
      <c r="M254" s="3"/>
      <c r="N254" s="3"/>
      <c r="O254" s="3"/>
    </row>
    <row r="255" spans="3:15">
      <c r="C255" s="1" t="s">
        <v>36</v>
      </c>
      <c r="D255" s="1" t="s">
        <v>247</v>
      </c>
      <c r="E255" s="2">
        <v>10976485</v>
      </c>
      <c r="F255" s="27" t="s">
        <v>51</v>
      </c>
      <c r="G255" s="1" t="s">
        <v>56</v>
      </c>
      <c r="I255" s="3"/>
      <c r="J255" s="3"/>
      <c r="K255" s="3"/>
      <c r="L255" s="3"/>
      <c r="M255" s="3"/>
      <c r="N255" s="3"/>
      <c r="O255" s="3"/>
    </row>
    <row r="256" spans="3:15">
      <c r="C256" s="1" t="s">
        <v>36</v>
      </c>
      <c r="D256" s="1" t="s">
        <v>248</v>
      </c>
      <c r="E256" s="2">
        <v>18834932</v>
      </c>
      <c r="F256" s="27" t="s">
        <v>51</v>
      </c>
      <c r="G256" s="1" t="s">
        <v>56</v>
      </c>
      <c r="I256" s="3"/>
      <c r="J256" s="3"/>
      <c r="K256" s="3"/>
      <c r="L256" s="3"/>
      <c r="M256" s="3"/>
      <c r="N256" s="3"/>
      <c r="O256" s="3"/>
    </row>
    <row r="257" spans="3:15">
      <c r="C257" s="1" t="s">
        <v>36</v>
      </c>
      <c r="D257" s="1" t="s">
        <v>249</v>
      </c>
      <c r="E257" s="2">
        <v>15823162</v>
      </c>
      <c r="F257" s="27" t="s">
        <v>50</v>
      </c>
      <c r="G257" s="1" t="s">
        <v>56</v>
      </c>
      <c r="I257" s="3"/>
      <c r="J257" s="3"/>
      <c r="K257" s="3"/>
      <c r="L257" s="3"/>
      <c r="M257" s="3"/>
      <c r="N257" s="3"/>
      <c r="O257" s="3"/>
    </row>
    <row r="258" spans="3:15">
      <c r="C258" s="1" t="s">
        <v>36</v>
      </c>
      <c r="D258" s="1" t="s">
        <v>250</v>
      </c>
      <c r="E258" s="2">
        <v>19067089</v>
      </c>
      <c r="F258" s="27" t="s">
        <v>51</v>
      </c>
      <c r="G258" s="1" t="s">
        <v>56</v>
      </c>
      <c r="I258" s="3"/>
      <c r="J258" s="3"/>
      <c r="K258" s="3"/>
      <c r="L258" s="3"/>
      <c r="M258" s="3"/>
      <c r="N258" s="3"/>
      <c r="O258" s="3"/>
    </row>
    <row r="259" spans="3:15">
      <c r="C259" s="1" t="s">
        <v>36</v>
      </c>
      <c r="D259" s="1" t="s">
        <v>251</v>
      </c>
      <c r="E259" s="2">
        <v>21152260</v>
      </c>
      <c r="F259" s="27" t="s">
        <v>50</v>
      </c>
      <c r="G259" s="1" t="s">
        <v>56</v>
      </c>
      <c r="I259" s="3"/>
      <c r="J259" s="3"/>
      <c r="K259" s="3"/>
      <c r="L259" s="3"/>
      <c r="M259" s="3"/>
      <c r="N259" s="3"/>
      <c r="O259" s="3"/>
    </row>
    <row r="260" spans="3:15">
      <c r="C260" s="1" t="s">
        <v>36</v>
      </c>
      <c r="D260" s="1" t="s">
        <v>252</v>
      </c>
      <c r="E260" s="2">
        <v>27695464</v>
      </c>
      <c r="F260" s="27" t="s">
        <v>50</v>
      </c>
      <c r="G260" s="1" t="s">
        <v>56</v>
      </c>
      <c r="I260" s="3"/>
      <c r="J260" s="3"/>
      <c r="K260" s="3"/>
      <c r="L260" s="3"/>
      <c r="M260" s="3"/>
      <c r="N260" s="3"/>
      <c r="O260" s="3"/>
    </row>
    <row r="261" spans="3:15">
      <c r="C261" s="1" t="s">
        <v>36</v>
      </c>
      <c r="D261" s="1" t="s">
        <v>253</v>
      </c>
      <c r="E261" s="2">
        <v>28586060</v>
      </c>
      <c r="F261" s="27" t="s">
        <v>51</v>
      </c>
      <c r="G261" s="1" t="s">
        <v>56</v>
      </c>
      <c r="I261" s="3"/>
      <c r="J261" s="3"/>
      <c r="K261" s="3"/>
      <c r="L261" s="3"/>
      <c r="M261" s="3"/>
      <c r="N261" s="3"/>
      <c r="O261" s="3"/>
    </row>
    <row r="262" spans="3:15">
      <c r="C262" s="1" t="s">
        <v>257</v>
      </c>
      <c r="D262" s="1" t="s">
        <v>254</v>
      </c>
      <c r="E262" s="2"/>
      <c r="F262" s="27" t="s">
        <v>258</v>
      </c>
      <c r="G262" s="1" t="s">
        <v>56</v>
      </c>
      <c r="I262" s="3"/>
      <c r="J262" s="3"/>
      <c r="K262" s="3"/>
      <c r="L262" s="3"/>
      <c r="M262" s="3"/>
      <c r="N262" s="3"/>
      <c r="O262" s="3"/>
    </row>
    <row r="263" spans="3:15">
      <c r="C263" s="1" t="s">
        <v>257</v>
      </c>
      <c r="D263" s="1" t="s">
        <v>255</v>
      </c>
      <c r="E263" s="2"/>
      <c r="F263" s="27" t="s">
        <v>50</v>
      </c>
      <c r="G263" s="1" t="s">
        <v>56</v>
      </c>
      <c r="I263" s="3"/>
      <c r="J263" s="3"/>
      <c r="K263" s="3"/>
      <c r="L263" s="3"/>
      <c r="M263" s="3"/>
      <c r="N263" s="3"/>
      <c r="O263" s="3"/>
    </row>
    <row r="264" spans="3:15">
      <c r="C264" s="1" t="s">
        <v>257</v>
      </c>
      <c r="D264" s="1" t="s">
        <v>256</v>
      </c>
      <c r="E264" s="2"/>
      <c r="F264" s="27" t="s">
        <v>51</v>
      </c>
      <c r="G264" s="1" t="s">
        <v>56</v>
      </c>
      <c r="I264" s="3"/>
      <c r="J264" s="3"/>
      <c r="K264" s="3"/>
      <c r="L264" s="3"/>
      <c r="M264" s="3"/>
      <c r="N264" s="3"/>
      <c r="O264" s="3"/>
    </row>
    <row r="265" spans="3:15">
      <c r="C265" s="1" t="s">
        <v>261</v>
      </c>
      <c r="D265" s="1" t="s">
        <v>263</v>
      </c>
      <c r="E265" s="2"/>
      <c r="F265" s="27" t="s">
        <v>51</v>
      </c>
      <c r="G265" s="1" t="s">
        <v>56</v>
      </c>
      <c r="I265" s="3"/>
      <c r="J265" s="3"/>
      <c r="K265" s="3"/>
      <c r="L265" s="3"/>
      <c r="M265" s="3"/>
      <c r="N265" s="3"/>
      <c r="O265" s="3"/>
    </row>
    <row r="266" spans="3:15">
      <c r="C266" s="1" t="s">
        <v>261</v>
      </c>
      <c r="D266" s="1" t="s">
        <v>264</v>
      </c>
      <c r="E266" s="2"/>
      <c r="F266" s="27" t="s">
        <v>50</v>
      </c>
      <c r="G266" s="1" t="s">
        <v>56</v>
      </c>
      <c r="I266" s="3"/>
      <c r="J266" s="3"/>
      <c r="K266" s="3"/>
      <c r="L266" s="3"/>
      <c r="M266" s="3"/>
      <c r="N266" s="3"/>
      <c r="O266" s="3"/>
    </row>
    <row r="267" spans="3:15">
      <c r="C267" s="1" t="s">
        <v>39</v>
      </c>
      <c r="D267" s="1" t="s">
        <v>265</v>
      </c>
      <c r="E267" s="2">
        <v>12393177</v>
      </c>
      <c r="F267" s="27" t="s">
        <v>50</v>
      </c>
      <c r="G267" s="1" t="s">
        <v>56</v>
      </c>
      <c r="I267" s="3"/>
      <c r="J267" s="3"/>
      <c r="K267" s="3"/>
      <c r="L267" s="3"/>
      <c r="M267" s="3"/>
      <c r="N267" s="3"/>
      <c r="O267" s="3"/>
    </row>
    <row r="268" spans="3:15">
      <c r="C268" s="1" t="s">
        <v>39</v>
      </c>
      <c r="D268" s="1" t="s">
        <v>266</v>
      </c>
      <c r="E268" s="2">
        <v>28468116</v>
      </c>
      <c r="F268" s="27" t="s">
        <v>51</v>
      </c>
      <c r="G268" s="1" t="s">
        <v>56</v>
      </c>
      <c r="I268" s="3"/>
      <c r="J268" s="3"/>
      <c r="K268" s="3"/>
      <c r="L268" s="3"/>
      <c r="M268" s="3"/>
      <c r="N268" s="3"/>
      <c r="O268" s="3"/>
    </row>
    <row r="269" spans="3:15">
      <c r="C269" s="1" t="s">
        <v>39</v>
      </c>
      <c r="D269" s="1" t="s">
        <v>267</v>
      </c>
      <c r="E269" s="2">
        <v>26778197</v>
      </c>
      <c r="F269" s="27" t="s">
        <v>50</v>
      </c>
      <c r="G269" s="1" t="s">
        <v>56</v>
      </c>
      <c r="I269" s="3"/>
      <c r="J269" s="3"/>
      <c r="K269" s="3"/>
      <c r="L269" s="3"/>
      <c r="M269" s="3"/>
      <c r="N269" s="3"/>
      <c r="O269" s="3"/>
    </row>
    <row r="270" spans="3:15">
      <c r="C270" s="1" t="s">
        <v>39</v>
      </c>
      <c r="D270" s="1" t="s">
        <v>268</v>
      </c>
      <c r="E270" s="2">
        <v>18788988</v>
      </c>
      <c r="F270" s="27" t="s">
        <v>51</v>
      </c>
      <c r="G270" s="1" t="s">
        <v>56</v>
      </c>
      <c r="I270" s="3"/>
      <c r="J270" s="3"/>
      <c r="K270" s="3"/>
      <c r="L270" s="3"/>
      <c r="M270" s="3"/>
      <c r="N270" s="3"/>
      <c r="O270" s="3"/>
    </row>
    <row r="271" spans="3:15">
      <c r="C271" s="1" t="s">
        <v>39</v>
      </c>
      <c r="D271" s="1" t="s">
        <v>272</v>
      </c>
      <c r="E271" s="2">
        <v>11537163</v>
      </c>
      <c r="F271" s="27" t="s">
        <v>50</v>
      </c>
      <c r="G271" s="1" t="s">
        <v>56</v>
      </c>
      <c r="I271" s="3"/>
      <c r="J271" s="3"/>
      <c r="K271" s="3"/>
      <c r="L271" s="3"/>
      <c r="M271" s="3"/>
      <c r="N271" s="3"/>
      <c r="O271" s="3"/>
    </row>
    <row r="272" spans="3:15">
      <c r="C272" s="1" t="s">
        <v>39</v>
      </c>
      <c r="D272" s="1" t="s">
        <v>269</v>
      </c>
      <c r="E272" s="2">
        <v>25877580</v>
      </c>
      <c r="F272" s="27" t="s">
        <v>50</v>
      </c>
      <c r="G272" s="1" t="s">
        <v>56</v>
      </c>
      <c r="I272" s="3"/>
      <c r="J272" s="3"/>
      <c r="K272" s="3"/>
      <c r="L272" s="3"/>
      <c r="M272" s="3"/>
      <c r="N272" s="3"/>
      <c r="O272" s="3"/>
    </row>
    <row r="273" spans="3:15">
      <c r="C273" s="1" t="s">
        <v>39</v>
      </c>
      <c r="D273" s="1" t="s">
        <v>270</v>
      </c>
      <c r="E273" s="2">
        <v>30441499</v>
      </c>
      <c r="F273" s="27" t="s">
        <v>51</v>
      </c>
      <c r="G273" s="1" t="s">
        <v>56</v>
      </c>
      <c r="I273" s="3"/>
      <c r="J273" s="3"/>
      <c r="K273" s="3"/>
      <c r="L273" s="3"/>
      <c r="M273" s="3"/>
      <c r="N273" s="3"/>
      <c r="O273" s="3"/>
    </row>
    <row r="274" spans="3:15">
      <c r="C274" s="1" t="s">
        <v>39</v>
      </c>
      <c r="D274" s="1" t="s">
        <v>271</v>
      </c>
      <c r="E274" s="2">
        <v>18215038</v>
      </c>
      <c r="F274" s="27" t="s">
        <v>51</v>
      </c>
      <c r="G274" s="1" t="s">
        <v>56</v>
      </c>
      <c r="I274" s="3"/>
      <c r="J274" s="3"/>
      <c r="K274" s="3"/>
      <c r="L274" s="3"/>
      <c r="M274" s="3"/>
      <c r="N274" s="3"/>
      <c r="O274" s="3"/>
    </row>
    <row r="275" spans="3:15">
      <c r="C275" s="1" t="s">
        <v>66</v>
      </c>
      <c r="D275" s="1" t="s">
        <v>281</v>
      </c>
      <c r="E275" s="2"/>
      <c r="F275" s="27" t="s">
        <v>50</v>
      </c>
      <c r="G275" s="1" t="s">
        <v>56</v>
      </c>
      <c r="I275" s="3"/>
      <c r="J275" s="3"/>
      <c r="K275" s="3"/>
      <c r="L275" s="3"/>
      <c r="M275" s="3"/>
      <c r="N275" s="3"/>
      <c r="O275" s="3"/>
    </row>
    <row r="276" spans="3:15">
      <c r="C276" s="1" t="s">
        <v>66</v>
      </c>
      <c r="D276" s="1" t="s">
        <v>282</v>
      </c>
      <c r="E276" s="2"/>
      <c r="F276" s="27" t="s">
        <v>51</v>
      </c>
      <c r="G276" s="1" t="s">
        <v>56</v>
      </c>
      <c r="I276" s="3"/>
      <c r="J276" s="3"/>
      <c r="K276" s="3"/>
      <c r="L276" s="3"/>
      <c r="M276" s="3"/>
      <c r="N276" s="3"/>
      <c r="O276" s="3"/>
    </row>
    <row r="277" spans="3:15">
      <c r="C277" s="1" t="s">
        <v>66</v>
      </c>
      <c r="D277" s="1" t="s">
        <v>283</v>
      </c>
      <c r="E277" s="2"/>
      <c r="F277" s="27" t="s">
        <v>51</v>
      </c>
      <c r="G277" s="1" t="s">
        <v>56</v>
      </c>
      <c r="I277" s="3"/>
      <c r="J277" s="3"/>
      <c r="K277" s="3"/>
      <c r="L277" s="3"/>
      <c r="M277" s="3"/>
      <c r="N277" s="3"/>
      <c r="O277" s="3"/>
    </row>
    <row r="278" spans="3:15">
      <c r="C278" s="1" t="s">
        <v>66</v>
      </c>
      <c r="D278" s="1" t="s">
        <v>284</v>
      </c>
      <c r="E278" s="2"/>
      <c r="F278" s="27" t="s">
        <v>50</v>
      </c>
      <c r="G278" s="1" t="s">
        <v>56</v>
      </c>
      <c r="I278" s="3"/>
      <c r="J278" s="3"/>
      <c r="K278" s="3"/>
      <c r="L278" s="3"/>
      <c r="M278" s="3"/>
      <c r="N278" s="3"/>
      <c r="O278" s="3"/>
    </row>
    <row r="279" spans="3:15">
      <c r="C279" s="1" t="s">
        <v>66</v>
      </c>
      <c r="D279" s="1" t="s">
        <v>285</v>
      </c>
      <c r="E279" s="2"/>
      <c r="F279" s="27" t="s">
        <v>51</v>
      </c>
      <c r="G279" s="1" t="s">
        <v>56</v>
      </c>
      <c r="I279" s="3"/>
      <c r="J279" s="3"/>
      <c r="K279" s="3"/>
      <c r="L279" s="3"/>
      <c r="M279" s="3"/>
      <c r="N279" s="3"/>
      <c r="O279" s="3"/>
    </row>
    <row r="280" spans="3:15">
      <c r="C280" s="1" t="s">
        <v>66</v>
      </c>
      <c r="D280" s="1" t="s">
        <v>286</v>
      </c>
      <c r="E280" s="2"/>
      <c r="F280" s="27" t="s">
        <v>51</v>
      </c>
      <c r="G280" s="1" t="s">
        <v>56</v>
      </c>
      <c r="I280" s="3"/>
      <c r="J280" s="3"/>
      <c r="K280" s="3"/>
      <c r="L280" s="3"/>
      <c r="M280" s="3"/>
      <c r="N280" s="3"/>
      <c r="O280" s="3"/>
    </row>
    <row r="281" spans="3:15">
      <c r="C281" s="1" t="s">
        <v>66</v>
      </c>
      <c r="D281" s="1" t="s">
        <v>287</v>
      </c>
      <c r="E281" s="2"/>
      <c r="F281" s="27" t="s">
        <v>51</v>
      </c>
      <c r="G281" s="1" t="s">
        <v>56</v>
      </c>
      <c r="I281" s="3"/>
      <c r="J281" s="3"/>
      <c r="K281" s="3"/>
      <c r="L281" s="3"/>
      <c r="M281" s="3"/>
      <c r="N281" s="3"/>
      <c r="O281" s="3"/>
    </row>
    <row r="282" spans="3:15">
      <c r="C282" s="1" t="s">
        <v>31</v>
      </c>
      <c r="D282" s="1" t="s">
        <v>338</v>
      </c>
      <c r="E282" s="2">
        <v>22333451</v>
      </c>
      <c r="F282" s="27" t="s">
        <v>339</v>
      </c>
      <c r="G282" s="1" t="s">
        <v>56</v>
      </c>
      <c r="I282" s="3"/>
      <c r="J282" s="3"/>
      <c r="K282" s="3"/>
      <c r="L282" s="3"/>
      <c r="M282" s="3"/>
      <c r="N282" s="3"/>
      <c r="O282" s="3"/>
    </row>
    <row r="283" spans="3:15">
      <c r="C283" s="1" t="s">
        <v>31</v>
      </c>
      <c r="D283" s="1" t="s">
        <v>162</v>
      </c>
      <c r="E283" s="2">
        <v>18057256</v>
      </c>
      <c r="F283" s="27" t="s">
        <v>50</v>
      </c>
      <c r="G283" s="1" t="s">
        <v>56</v>
      </c>
      <c r="I283" s="3"/>
      <c r="J283" s="3"/>
      <c r="K283" s="3"/>
      <c r="L283" s="3"/>
      <c r="M283" s="3"/>
      <c r="N283" s="3"/>
      <c r="O283" s="3"/>
    </row>
    <row r="284" spans="3:15">
      <c r="C284" s="1" t="s">
        <v>31</v>
      </c>
      <c r="D284" s="1" t="s">
        <v>163</v>
      </c>
      <c r="E284" s="2">
        <v>15730122</v>
      </c>
      <c r="F284" s="27" t="s">
        <v>50</v>
      </c>
      <c r="G284" s="1" t="s">
        <v>56</v>
      </c>
      <c r="I284" s="3"/>
      <c r="J284" s="3"/>
      <c r="K284" s="3"/>
      <c r="L284" s="3"/>
      <c r="M284" s="3"/>
      <c r="N284" s="3"/>
      <c r="O284" s="3"/>
    </row>
    <row r="285" spans="3:15">
      <c r="C285" s="1" t="s">
        <v>31</v>
      </c>
      <c r="D285" s="1" t="s">
        <v>164</v>
      </c>
      <c r="E285" s="2">
        <v>16386133</v>
      </c>
      <c r="F285" s="27" t="s">
        <v>51</v>
      </c>
      <c r="G285" s="1" t="s">
        <v>56</v>
      </c>
      <c r="I285" s="3"/>
      <c r="J285" s="3"/>
      <c r="K285" s="3"/>
      <c r="L285" s="3"/>
      <c r="M285" s="3"/>
      <c r="N285" s="3"/>
      <c r="O285" s="3"/>
    </row>
    <row r="286" spans="3:15">
      <c r="C286" s="1" t="s">
        <v>31</v>
      </c>
      <c r="D286" s="1" t="s">
        <v>165</v>
      </c>
      <c r="E286" s="2">
        <v>30446361</v>
      </c>
      <c r="F286" s="27" t="s">
        <v>51</v>
      </c>
      <c r="G286" s="1" t="s">
        <v>56</v>
      </c>
      <c r="I286" s="3"/>
      <c r="J286" s="3"/>
      <c r="K286" s="3"/>
      <c r="L286" s="3"/>
      <c r="M286" s="3"/>
      <c r="N286" s="3"/>
      <c r="O286" s="3"/>
    </row>
    <row r="287" spans="3:15">
      <c r="C287" s="1" t="s">
        <v>31</v>
      </c>
      <c r="D287" s="1" t="s">
        <v>166</v>
      </c>
      <c r="E287" s="2">
        <v>20943796</v>
      </c>
      <c r="F287" s="27" t="s">
        <v>51</v>
      </c>
      <c r="G287" s="1" t="s">
        <v>56</v>
      </c>
      <c r="I287" s="3"/>
      <c r="J287" s="3"/>
      <c r="K287" s="3"/>
      <c r="L287" s="3"/>
      <c r="M287" s="3"/>
      <c r="N287" s="3"/>
      <c r="O287" s="3"/>
    </row>
    <row r="288" spans="3:15">
      <c r="C288" s="1" t="s">
        <v>31</v>
      </c>
      <c r="D288" s="1" t="s">
        <v>167</v>
      </c>
      <c r="E288" s="2">
        <v>26584200</v>
      </c>
      <c r="F288" s="27" t="s">
        <v>51</v>
      </c>
      <c r="G288" s="1" t="s">
        <v>56</v>
      </c>
      <c r="I288" s="3"/>
      <c r="J288" s="3"/>
      <c r="K288" s="3"/>
      <c r="L288" s="3"/>
      <c r="M288" s="3"/>
      <c r="N288" s="3"/>
      <c r="O288" s="3"/>
    </row>
    <row r="289" spans="3:15">
      <c r="C289" s="1" t="s">
        <v>31</v>
      </c>
      <c r="D289" s="1" t="s">
        <v>168</v>
      </c>
      <c r="E289" s="2">
        <v>19431115</v>
      </c>
      <c r="F289" s="27" t="s">
        <v>51</v>
      </c>
      <c r="G289" s="1" t="s">
        <v>56</v>
      </c>
      <c r="I289" s="3"/>
      <c r="J289" s="3"/>
      <c r="K289" s="3"/>
      <c r="L289" s="3"/>
      <c r="M289" s="3"/>
      <c r="N289" s="3"/>
      <c r="O289" s="3"/>
    </row>
    <row r="290" spans="3:15">
      <c r="C290" s="1" t="s">
        <v>31</v>
      </c>
      <c r="D290" s="1" t="s">
        <v>169</v>
      </c>
      <c r="E290" s="2">
        <v>30146362</v>
      </c>
      <c r="F290" s="27" t="s">
        <v>51</v>
      </c>
      <c r="G290" s="1" t="s">
        <v>56</v>
      </c>
      <c r="I290" s="3"/>
      <c r="J290" s="3"/>
      <c r="K290" s="3"/>
      <c r="L290" s="3"/>
      <c r="M290" s="3"/>
      <c r="N290" s="3"/>
      <c r="O290" s="3"/>
    </row>
    <row r="291" spans="3:15">
      <c r="C291" s="1" t="s">
        <v>31</v>
      </c>
      <c r="D291" s="1" t="s">
        <v>170</v>
      </c>
      <c r="E291" s="2">
        <v>27142424</v>
      </c>
      <c r="F291" s="27" t="s">
        <v>51</v>
      </c>
      <c r="G291" s="1" t="s">
        <v>56</v>
      </c>
      <c r="I291" s="3"/>
      <c r="J291" s="3"/>
      <c r="K291" s="3"/>
      <c r="L291" s="3"/>
      <c r="M291" s="3"/>
      <c r="N291" s="3"/>
      <c r="O291" s="3"/>
    </row>
    <row r="292" spans="3:15">
      <c r="C292" s="1" t="s">
        <v>31</v>
      </c>
      <c r="D292" s="1" t="s">
        <v>171</v>
      </c>
      <c r="E292" s="2">
        <v>26136005</v>
      </c>
      <c r="F292" s="27" t="s">
        <v>340</v>
      </c>
      <c r="G292" s="1" t="s">
        <v>56</v>
      </c>
      <c r="I292" s="3"/>
      <c r="J292" s="3"/>
      <c r="K292" s="3"/>
      <c r="L292" s="3"/>
      <c r="M292" s="3"/>
      <c r="N292" s="3"/>
      <c r="O292" s="3"/>
    </row>
    <row r="293" spans="3:15">
      <c r="C293" s="1" t="s">
        <v>31</v>
      </c>
      <c r="D293" s="1" t="s">
        <v>172</v>
      </c>
      <c r="E293" s="2">
        <v>15778646</v>
      </c>
      <c r="F293" s="27" t="s">
        <v>50</v>
      </c>
      <c r="G293" s="1" t="s">
        <v>56</v>
      </c>
      <c r="I293" s="3"/>
      <c r="J293" s="3"/>
      <c r="K293" s="3"/>
      <c r="L293" s="3"/>
      <c r="M293" s="3"/>
      <c r="N293" s="3"/>
      <c r="O293" s="3"/>
    </row>
    <row r="294" spans="3:15">
      <c r="C294" s="1" t="s">
        <v>31</v>
      </c>
      <c r="D294" s="1" t="s">
        <v>173</v>
      </c>
      <c r="E294" s="2">
        <v>15964859</v>
      </c>
      <c r="F294" s="27" t="s">
        <v>50</v>
      </c>
      <c r="G294" s="1" t="s">
        <v>56</v>
      </c>
      <c r="I294" s="3"/>
      <c r="J294" s="3"/>
      <c r="K294" s="3"/>
      <c r="L294" s="3"/>
      <c r="M294" s="3"/>
      <c r="N294" s="3"/>
      <c r="O294" s="3"/>
    </row>
    <row r="295" spans="3:15">
      <c r="C295" s="1" t="s">
        <v>31</v>
      </c>
      <c r="D295" s="1" t="s">
        <v>174</v>
      </c>
      <c r="E295" s="2">
        <v>17372733</v>
      </c>
      <c r="F295" s="27" t="s">
        <v>50</v>
      </c>
      <c r="G295" s="1" t="s">
        <v>56</v>
      </c>
      <c r="I295" s="3"/>
      <c r="J295" s="3"/>
      <c r="K295" s="3"/>
      <c r="L295" s="3"/>
      <c r="M295" s="3"/>
      <c r="N295" s="3"/>
      <c r="O295" s="3"/>
    </row>
    <row r="296" spans="3:15">
      <c r="C296" s="1" t="s">
        <v>31</v>
      </c>
      <c r="D296" s="1" t="s">
        <v>175</v>
      </c>
      <c r="E296" s="2">
        <v>14825900</v>
      </c>
      <c r="F296" s="27" t="s">
        <v>51</v>
      </c>
      <c r="G296" s="1" t="s">
        <v>56</v>
      </c>
      <c r="I296" s="3"/>
      <c r="J296" s="3"/>
      <c r="K296" s="3"/>
      <c r="L296" s="3"/>
      <c r="M296" s="3"/>
      <c r="N296" s="3"/>
      <c r="O296" s="3"/>
    </row>
    <row r="297" spans="3:15">
      <c r="C297" s="1" t="s">
        <v>31</v>
      </c>
      <c r="D297" s="1" t="s">
        <v>176</v>
      </c>
      <c r="E297" s="2">
        <v>10843697</v>
      </c>
      <c r="F297" s="27" t="s">
        <v>50</v>
      </c>
      <c r="G297" s="1" t="s">
        <v>56</v>
      </c>
      <c r="I297" s="3"/>
      <c r="J297" s="3"/>
      <c r="K297" s="3"/>
      <c r="L297" s="3"/>
      <c r="M297" s="3"/>
      <c r="N297" s="3"/>
      <c r="O297" s="3"/>
    </row>
    <row r="298" spans="3:15">
      <c r="C298" s="1" t="s">
        <v>31</v>
      </c>
      <c r="D298" s="1" t="s">
        <v>177</v>
      </c>
      <c r="E298" s="2">
        <v>16404187</v>
      </c>
      <c r="F298" s="27" t="s">
        <v>50</v>
      </c>
      <c r="G298" s="1" t="s">
        <v>56</v>
      </c>
      <c r="I298" s="3"/>
      <c r="J298" s="3"/>
      <c r="K298" s="3"/>
      <c r="L298" s="3"/>
      <c r="M298" s="3"/>
      <c r="N298" s="3"/>
      <c r="O298" s="3"/>
    </row>
    <row r="299" spans="3:15">
      <c r="C299" s="1" t="s">
        <v>31</v>
      </c>
      <c r="D299" s="1" t="s">
        <v>178</v>
      </c>
      <c r="E299" s="2">
        <v>27193698</v>
      </c>
      <c r="F299" s="27" t="s">
        <v>51</v>
      </c>
      <c r="G299" s="1" t="s">
        <v>56</v>
      </c>
      <c r="I299" s="3"/>
      <c r="J299" s="3"/>
      <c r="K299" s="3"/>
      <c r="L299" s="3"/>
      <c r="M299" s="3"/>
      <c r="N299" s="3"/>
      <c r="O299" s="3"/>
    </row>
    <row r="300" spans="3:15">
      <c r="C300" s="1" t="s">
        <v>31</v>
      </c>
      <c r="D300" s="1" t="s">
        <v>341</v>
      </c>
      <c r="E300" s="2">
        <v>27737966</v>
      </c>
      <c r="F300" s="27" t="s">
        <v>51</v>
      </c>
      <c r="G300" s="1" t="s">
        <v>56</v>
      </c>
      <c r="I300" s="3"/>
      <c r="J300" s="3"/>
      <c r="K300" s="3"/>
      <c r="L300" s="3"/>
      <c r="M300" s="3"/>
      <c r="N300" s="3"/>
      <c r="O300" s="3"/>
    </row>
    <row r="301" spans="3:15">
      <c r="C301" s="1" t="s">
        <v>31</v>
      </c>
      <c r="D301" s="1" t="s">
        <v>342</v>
      </c>
      <c r="E301" s="2">
        <v>24418218</v>
      </c>
      <c r="F301" s="27" t="s">
        <v>343</v>
      </c>
      <c r="G301" s="1" t="s">
        <v>56</v>
      </c>
      <c r="I301" s="3"/>
      <c r="J301" s="3"/>
      <c r="K301" s="3"/>
      <c r="L301" s="3"/>
      <c r="M301" s="3"/>
      <c r="N301" s="3"/>
      <c r="O301" s="3"/>
    </row>
    <row r="302" spans="3:15">
      <c r="C302" s="1" t="s">
        <v>31</v>
      </c>
      <c r="D302" s="1" t="s">
        <v>179</v>
      </c>
      <c r="E302" s="2">
        <v>29703391</v>
      </c>
      <c r="F302" s="27" t="s">
        <v>51</v>
      </c>
      <c r="G302" s="1" t="s">
        <v>56</v>
      </c>
      <c r="I302" s="3"/>
      <c r="J302" s="3"/>
      <c r="K302" s="3"/>
      <c r="L302" s="3"/>
      <c r="M302" s="3"/>
      <c r="N302" s="3"/>
      <c r="O302" s="3"/>
    </row>
    <row r="303" spans="3:15">
      <c r="C303" s="1" t="s">
        <v>31</v>
      </c>
      <c r="D303" s="1" t="s">
        <v>180</v>
      </c>
      <c r="E303" s="2">
        <v>17196736</v>
      </c>
      <c r="F303" s="27" t="s">
        <v>50</v>
      </c>
      <c r="G303" s="1" t="s">
        <v>56</v>
      </c>
      <c r="I303" s="3"/>
      <c r="J303" s="3"/>
      <c r="K303" s="3"/>
      <c r="L303" s="3"/>
      <c r="M303" s="3"/>
      <c r="N303" s="3"/>
      <c r="O303" s="3"/>
    </row>
    <row r="304" spans="3:15">
      <c r="C304" s="1" t="s">
        <v>31</v>
      </c>
      <c r="D304" s="1" t="s">
        <v>181</v>
      </c>
      <c r="E304" s="2">
        <v>18135786</v>
      </c>
      <c r="F304" s="27" t="s">
        <v>50</v>
      </c>
      <c r="G304" s="1" t="s">
        <v>56</v>
      </c>
      <c r="I304" s="3"/>
      <c r="J304" s="3"/>
      <c r="K304" s="3"/>
      <c r="L304" s="3"/>
      <c r="M304" s="3"/>
      <c r="N304" s="3"/>
      <c r="O304" s="3"/>
    </row>
    <row r="305" spans="3:15">
      <c r="C305" s="1" t="s">
        <v>31</v>
      </c>
      <c r="D305" s="1" t="s">
        <v>182</v>
      </c>
      <c r="E305" s="2">
        <v>27554969</v>
      </c>
      <c r="F305" s="27" t="s">
        <v>50</v>
      </c>
      <c r="G305" s="1" t="s">
        <v>56</v>
      </c>
      <c r="I305" s="3"/>
      <c r="J305" s="3"/>
      <c r="K305" s="3"/>
      <c r="L305" s="3"/>
      <c r="M305" s="3"/>
      <c r="N305" s="3"/>
      <c r="O305" s="3"/>
    </row>
    <row r="306" spans="3:15">
      <c r="C306" s="1" t="s">
        <v>0</v>
      </c>
      <c r="D306" s="1" t="s">
        <v>207</v>
      </c>
      <c r="E306" s="2">
        <v>30889139</v>
      </c>
      <c r="F306" s="27" t="s">
        <v>344</v>
      </c>
      <c r="G306" s="1" t="s">
        <v>56</v>
      </c>
      <c r="I306" s="3"/>
      <c r="J306" s="3"/>
      <c r="K306" s="3"/>
      <c r="L306" s="3"/>
      <c r="M306" s="3"/>
      <c r="N306" s="3"/>
      <c r="O306" s="3"/>
    </row>
    <row r="307" spans="3:15">
      <c r="C307" s="1" t="s">
        <v>0</v>
      </c>
      <c r="D307" s="1" t="s">
        <v>345</v>
      </c>
      <c r="E307" s="2"/>
      <c r="F307" s="27" t="s">
        <v>346</v>
      </c>
      <c r="G307" s="1" t="s">
        <v>56</v>
      </c>
      <c r="I307" s="3"/>
      <c r="J307" s="3"/>
      <c r="K307" s="3"/>
      <c r="L307" s="3"/>
      <c r="M307" s="3"/>
      <c r="N307" s="3"/>
      <c r="O307" s="3"/>
    </row>
    <row r="308" spans="3:15">
      <c r="C308" s="1" t="s">
        <v>0</v>
      </c>
      <c r="D308" s="1" t="s">
        <v>347</v>
      </c>
      <c r="E308" s="2"/>
      <c r="F308" s="27" t="s">
        <v>346</v>
      </c>
      <c r="G308" s="1" t="s">
        <v>56</v>
      </c>
      <c r="I308" s="3"/>
      <c r="J308" s="3"/>
      <c r="K308" s="3"/>
      <c r="L308" s="3"/>
      <c r="M308" s="3"/>
      <c r="N308" s="3"/>
      <c r="O308" s="3"/>
    </row>
    <row r="309" spans="3:15">
      <c r="C309" s="1" t="s">
        <v>0</v>
      </c>
      <c r="D309" s="1" t="s">
        <v>348</v>
      </c>
      <c r="E309" s="2"/>
      <c r="F309" s="27" t="s">
        <v>346</v>
      </c>
      <c r="G309" s="1" t="s">
        <v>56</v>
      </c>
      <c r="I309" s="3"/>
      <c r="J309" s="3"/>
      <c r="K309" s="3"/>
      <c r="L309" s="3"/>
      <c r="M309" s="3"/>
      <c r="N309" s="3"/>
      <c r="O309" s="3"/>
    </row>
    <row r="310" spans="3:15">
      <c r="C310" s="1" t="s">
        <v>0</v>
      </c>
      <c r="D310" s="1" t="s">
        <v>349</v>
      </c>
      <c r="E310" s="2"/>
      <c r="F310" s="27" t="s">
        <v>346</v>
      </c>
      <c r="G310" s="1" t="s">
        <v>56</v>
      </c>
      <c r="I310" s="3"/>
      <c r="J310" s="3"/>
      <c r="K310" s="3"/>
      <c r="L310" s="3"/>
      <c r="M310" s="3"/>
      <c r="N310" s="3"/>
      <c r="O310" s="3"/>
    </row>
    <row r="311" spans="3:15">
      <c r="C311" s="1" t="s">
        <v>0</v>
      </c>
      <c r="D311" s="1" t="s">
        <v>363</v>
      </c>
      <c r="E311" s="2">
        <v>19130427</v>
      </c>
      <c r="F311" s="27" t="s">
        <v>300</v>
      </c>
      <c r="G311" s="1" t="s">
        <v>56</v>
      </c>
      <c r="I311" s="3"/>
      <c r="J311" s="3"/>
      <c r="K311" s="3"/>
      <c r="L311" s="3"/>
      <c r="M311" s="3"/>
      <c r="N311" s="3"/>
      <c r="O311" s="3"/>
    </row>
    <row r="312" spans="3:15">
      <c r="C312" s="1" t="s">
        <v>0</v>
      </c>
      <c r="D312" s="1" t="s">
        <v>364</v>
      </c>
      <c r="E312" s="2">
        <v>15653907</v>
      </c>
      <c r="F312" s="27" t="s">
        <v>302</v>
      </c>
      <c r="G312" s="1" t="s">
        <v>56</v>
      </c>
      <c r="I312" s="3"/>
      <c r="J312" s="3"/>
      <c r="K312" s="3"/>
      <c r="L312" s="3"/>
      <c r="M312" s="3"/>
      <c r="N312" s="3"/>
      <c r="O312" s="3"/>
    </row>
    <row r="313" spans="3:15">
      <c r="C313" s="1" t="s">
        <v>0</v>
      </c>
      <c r="D313" s="1" t="s">
        <v>365</v>
      </c>
      <c r="E313" s="2">
        <v>11197770</v>
      </c>
      <c r="F313" s="27" t="s">
        <v>350</v>
      </c>
      <c r="G313" s="1" t="s">
        <v>56</v>
      </c>
      <c r="I313" s="3"/>
      <c r="J313" s="3"/>
      <c r="K313" s="3"/>
      <c r="L313" s="3"/>
      <c r="M313" s="3"/>
      <c r="N313" s="3"/>
      <c r="O313" s="3"/>
    </row>
    <row r="314" spans="3:15">
      <c r="C314" s="1" t="s">
        <v>0</v>
      </c>
      <c r="D314" s="1" t="s">
        <v>366</v>
      </c>
      <c r="E314" s="2">
        <v>17899815</v>
      </c>
      <c r="F314" s="27" t="s">
        <v>300</v>
      </c>
      <c r="G314" s="1" t="s">
        <v>56</v>
      </c>
      <c r="I314" s="3"/>
      <c r="J314" s="3"/>
      <c r="K314" s="3"/>
      <c r="L314" s="3"/>
      <c r="M314" s="3"/>
      <c r="N314" s="3"/>
      <c r="O314" s="3"/>
    </row>
    <row r="315" spans="3:15">
      <c r="C315" s="1" t="s">
        <v>0</v>
      </c>
      <c r="D315" s="1" t="s">
        <v>367</v>
      </c>
      <c r="E315" s="2">
        <v>27393998</v>
      </c>
      <c r="F315" s="27" t="s">
        <v>302</v>
      </c>
      <c r="G315" s="1" t="s">
        <v>56</v>
      </c>
      <c r="I315" s="3"/>
      <c r="J315" s="3"/>
      <c r="K315" s="3"/>
      <c r="L315" s="3"/>
      <c r="M315" s="3"/>
      <c r="N315" s="3"/>
      <c r="O315" s="3"/>
    </row>
    <row r="316" spans="3:15">
      <c r="C316" s="1" t="s">
        <v>0</v>
      </c>
      <c r="D316" s="1" t="s">
        <v>351</v>
      </c>
      <c r="E316" s="2"/>
      <c r="F316" s="27" t="s">
        <v>302</v>
      </c>
      <c r="G316" s="1" t="s">
        <v>56</v>
      </c>
      <c r="I316" s="3"/>
      <c r="J316" s="3"/>
      <c r="K316" s="3"/>
      <c r="L316" s="3"/>
      <c r="M316" s="3"/>
      <c r="N316" s="3"/>
      <c r="O316" s="3"/>
    </row>
    <row r="317" spans="3:15">
      <c r="C317" s="1" t="s">
        <v>0</v>
      </c>
      <c r="D317" s="1" t="s">
        <v>352</v>
      </c>
      <c r="E317" s="2">
        <v>20959115</v>
      </c>
      <c r="F317" s="27" t="s">
        <v>50</v>
      </c>
      <c r="G317" s="1" t="s">
        <v>56</v>
      </c>
      <c r="I317" s="3"/>
      <c r="J317" s="3"/>
      <c r="K317" s="3"/>
      <c r="L317" s="3"/>
      <c r="M317" s="3"/>
      <c r="N317" s="3"/>
      <c r="O317" s="3"/>
    </row>
    <row r="318" spans="3:15">
      <c r="C318" s="1" t="s">
        <v>0</v>
      </c>
      <c r="D318" s="1" t="s">
        <v>353</v>
      </c>
      <c r="E318" s="2">
        <v>10230740</v>
      </c>
      <c r="F318" s="27" t="s">
        <v>50</v>
      </c>
      <c r="G318" s="1" t="s">
        <v>56</v>
      </c>
      <c r="I318" s="3"/>
      <c r="J318" s="3"/>
      <c r="K318" s="3"/>
      <c r="L318" s="3"/>
      <c r="M318" s="3"/>
      <c r="N318" s="3"/>
      <c r="O318" s="3"/>
    </row>
    <row r="319" spans="3:15">
      <c r="C319" s="1" t="s">
        <v>0</v>
      </c>
      <c r="D319" s="1" t="s">
        <v>354</v>
      </c>
      <c r="E319" s="2">
        <v>6197994</v>
      </c>
      <c r="F319" s="27" t="s">
        <v>50</v>
      </c>
      <c r="G319" s="1" t="s">
        <v>56</v>
      </c>
      <c r="I319" s="3"/>
      <c r="J319" s="3"/>
      <c r="K319" s="3"/>
      <c r="L319" s="3"/>
      <c r="M319" s="3"/>
      <c r="N319" s="3"/>
      <c r="O319" s="3"/>
    </row>
    <row r="320" spans="3:15">
      <c r="C320" s="1" t="s">
        <v>0</v>
      </c>
      <c r="D320" s="1" t="s">
        <v>355</v>
      </c>
      <c r="E320" s="2">
        <v>15606713</v>
      </c>
      <c r="F320" s="27" t="s">
        <v>50</v>
      </c>
      <c r="G320" s="1" t="s">
        <v>56</v>
      </c>
      <c r="I320" s="3"/>
      <c r="J320" s="3"/>
      <c r="K320" s="3"/>
      <c r="L320" s="3"/>
      <c r="M320" s="3"/>
      <c r="N320" s="3"/>
      <c r="O320" s="3"/>
    </row>
    <row r="321" spans="3:15">
      <c r="C321" s="1" t="s">
        <v>0</v>
      </c>
      <c r="D321" s="1" t="s">
        <v>356</v>
      </c>
      <c r="E321" s="2">
        <v>25476329</v>
      </c>
      <c r="F321" s="27" t="s">
        <v>50</v>
      </c>
      <c r="G321" s="1" t="s">
        <v>56</v>
      </c>
      <c r="I321" s="3"/>
      <c r="J321" s="3"/>
      <c r="K321" s="3"/>
      <c r="L321" s="3"/>
      <c r="M321" s="3"/>
      <c r="N321" s="3"/>
      <c r="O321" s="3"/>
    </row>
    <row r="322" spans="3:15">
      <c r="C322" s="1" t="s">
        <v>0</v>
      </c>
      <c r="D322" s="1" t="s">
        <v>357</v>
      </c>
      <c r="E322" s="2">
        <v>24918294</v>
      </c>
      <c r="F322" s="27" t="s">
        <v>50</v>
      </c>
      <c r="G322" s="1" t="s">
        <v>56</v>
      </c>
      <c r="I322" s="3"/>
      <c r="J322" s="3"/>
      <c r="K322" s="3"/>
      <c r="L322" s="3"/>
      <c r="M322" s="3"/>
      <c r="N322" s="3"/>
      <c r="O322" s="3"/>
    </row>
    <row r="323" spans="3:15">
      <c r="C323" s="1" t="s">
        <v>0</v>
      </c>
      <c r="D323" s="1" t="s">
        <v>358</v>
      </c>
      <c r="E323" s="2">
        <v>16447676</v>
      </c>
      <c r="F323" s="27" t="s">
        <v>50</v>
      </c>
      <c r="G323" s="1" t="s">
        <v>56</v>
      </c>
      <c r="I323" s="3"/>
      <c r="J323" s="3"/>
      <c r="K323" s="3"/>
      <c r="L323" s="3"/>
      <c r="M323" s="3"/>
      <c r="N323" s="3"/>
      <c r="O323" s="3"/>
    </row>
    <row r="324" spans="3:15">
      <c r="C324" s="1" t="s">
        <v>0</v>
      </c>
      <c r="D324" s="1" t="s">
        <v>359</v>
      </c>
      <c r="E324" s="2">
        <v>27502144</v>
      </c>
      <c r="F324" s="27" t="s">
        <v>50</v>
      </c>
      <c r="G324" s="1" t="s">
        <v>56</v>
      </c>
      <c r="I324" s="3"/>
      <c r="J324" s="3"/>
      <c r="K324" s="3"/>
      <c r="L324" s="3"/>
      <c r="M324" s="3"/>
      <c r="N324" s="3"/>
      <c r="O324" s="3"/>
    </row>
    <row r="325" spans="3:15">
      <c r="C325" s="1" t="s">
        <v>0</v>
      </c>
      <c r="D325" s="1" t="s">
        <v>360</v>
      </c>
      <c r="E325" s="2">
        <v>17905449</v>
      </c>
      <c r="F325" s="27" t="s">
        <v>50</v>
      </c>
      <c r="G325" s="1" t="s">
        <v>56</v>
      </c>
      <c r="I325" s="3"/>
      <c r="J325" s="3"/>
      <c r="K325" s="3"/>
      <c r="L325" s="3"/>
      <c r="M325" s="3"/>
      <c r="N325" s="3"/>
      <c r="O325" s="3"/>
    </row>
    <row r="326" spans="3:15">
      <c r="C326" s="1" t="s">
        <v>0</v>
      </c>
      <c r="D326" s="1" t="s">
        <v>361</v>
      </c>
      <c r="E326" s="2">
        <v>22210555</v>
      </c>
      <c r="F326" s="27" t="s">
        <v>50</v>
      </c>
      <c r="G326" s="1" t="s">
        <v>56</v>
      </c>
      <c r="I326" s="3"/>
      <c r="J326" s="3"/>
      <c r="K326" s="3"/>
      <c r="L326" s="3"/>
      <c r="M326" s="3"/>
      <c r="N326" s="3" t="s">
        <v>381</v>
      </c>
      <c r="O326" s="3"/>
    </row>
  </sheetData>
  <dataValidations count="1">
    <dataValidation type="list" allowBlank="1" showInputMessage="1" showErrorMessage="1" sqref="G5:H326">
      <formula1>$R$5:$R$8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O137"/>
  <sheetViews>
    <sheetView topLeftCell="A65" workbookViewId="0">
      <selection activeCell="C133" sqref="C133"/>
    </sheetView>
  </sheetViews>
  <sheetFormatPr baseColWidth="10" defaultRowHeight="15"/>
  <cols>
    <col min="3" max="3" width="15.5703125" customWidth="1"/>
    <col min="4" max="4" width="55.140625" bestFit="1" customWidth="1"/>
    <col min="5" max="5" width="19.85546875" customWidth="1"/>
    <col min="6" max="6" width="14.85546875" customWidth="1"/>
    <col min="7" max="7" width="15.7109375" customWidth="1"/>
    <col min="8" max="8" width="16" customWidth="1"/>
    <col min="9" max="9" width="18.140625" bestFit="1" customWidth="1"/>
    <col min="10" max="10" width="14.28515625" bestFit="1" customWidth="1"/>
    <col min="11" max="11" width="20.28515625" bestFit="1" customWidth="1"/>
    <col min="12" max="12" width="21.5703125" bestFit="1" customWidth="1"/>
    <col min="14" max="14" width="19" customWidth="1"/>
  </cols>
  <sheetData>
    <row r="4" spans="3:15">
      <c r="C4" t="s">
        <v>44</v>
      </c>
      <c r="D4" s="1" t="s">
        <v>45</v>
      </c>
      <c r="E4" s="1" t="s">
        <v>46</v>
      </c>
      <c r="F4" s="1" t="s">
        <v>47</v>
      </c>
      <c r="G4" s="1" t="s">
        <v>48</v>
      </c>
      <c r="H4" t="s">
        <v>147</v>
      </c>
      <c r="I4" t="s">
        <v>148</v>
      </c>
      <c r="J4" t="s">
        <v>149</v>
      </c>
      <c r="K4" t="s">
        <v>150</v>
      </c>
      <c r="L4" s="6" t="s">
        <v>337</v>
      </c>
      <c r="O4" t="s">
        <v>52</v>
      </c>
    </row>
    <row r="5" spans="3:15">
      <c r="C5" s="1" t="s">
        <v>0</v>
      </c>
      <c r="D5" s="1" t="s">
        <v>1</v>
      </c>
      <c r="E5" s="2">
        <v>19772009</v>
      </c>
      <c r="F5" s="1" t="s">
        <v>50</v>
      </c>
      <c r="G5" s="1" t="s">
        <v>53</v>
      </c>
      <c r="H5" s="3" t="s">
        <v>151</v>
      </c>
      <c r="I5" s="3" t="s">
        <v>151</v>
      </c>
      <c r="J5" s="3" t="s">
        <v>151</v>
      </c>
      <c r="K5" s="3" t="s">
        <v>151</v>
      </c>
      <c r="L5" s="3">
        <v>1</v>
      </c>
      <c r="O5" t="s">
        <v>53</v>
      </c>
    </row>
    <row r="6" spans="3:15">
      <c r="C6" s="1" t="s">
        <v>0</v>
      </c>
      <c r="D6" s="1" t="s">
        <v>3</v>
      </c>
      <c r="E6" s="2">
        <v>20729516</v>
      </c>
      <c r="F6" s="1" t="s">
        <v>50</v>
      </c>
      <c r="G6" s="1" t="s">
        <v>53</v>
      </c>
      <c r="H6" s="3" t="s">
        <v>151</v>
      </c>
      <c r="I6" s="3" t="s">
        <v>151</v>
      </c>
      <c r="J6" s="3" t="s">
        <v>151</v>
      </c>
      <c r="K6" s="3" t="s">
        <v>151</v>
      </c>
      <c r="L6" s="3">
        <v>1</v>
      </c>
      <c r="O6" t="s">
        <v>54</v>
      </c>
    </row>
    <row r="7" spans="3:15">
      <c r="C7" s="1" t="s">
        <v>0</v>
      </c>
      <c r="D7" s="1" t="s">
        <v>13</v>
      </c>
      <c r="E7" s="2">
        <v>16309906</v>
      </c>
      <c r="F7" s="1" t="s">
        <v>50</v>
      </c>
      <c r="G7" s="1" t="s">
        <v>53</v>
      </c>
      <c r="H7" s="3" t="s">
        <v>151</v>
      </c>
      <c r="I7" s="3" t="s">
        <v>151</v>
      </c>
      <c r="J7" s="3" t="s">
        <v>151</v>
      </c>
      <c r="K7" s="3" t="s">
        <v>151</v>
      </c>
      <c r="L7" s="3">
        <v>1</v>
      </c>
      <c r="O7" t="s">
        <v>55</v>
      </c>
    </row>
    <row r="8" spans="3:15">
      <c r="C8" s="1" t="s">
        <v>0</v>
      </c>
      <c r="D8" s="1" t="s">
        <v>49</v>
      </c>
      <c r="E8" s="2">
        <v>26195951</v>
      </c>
      <c r="F8" s="1" t="s">
        <v>50</v>
      </c>
      <c r="G8" s="1" t="s">
        <v>53</v>
      </c>
      <c r="H8" s="3" t="s">
        <v>151</v>
      </c>
      <c r="I8" s="3" t="s">
        <v>151</v>
      </c>
      <c r="J8" s="3" t="s">
        <v>151</v>
      </c>
      <c r="K8" s="3" t="s">
        <v>151</v>
      </c>
      <c r="L8" s="3">
        <v>1</v>
      </c>
      <c r="O8" t="s">
        <v>56</v>
      </c>
    </row>
    <row r="9" spans="3:15">
      <c r="C9" s="1" t="s">
        <v>0</v>
      </c>
      <c r="D9" s="1" t="s">
        <v>2</v>
      </c>
      <c r="E9" s="2">
        <v>30046821</v>
      </c>
      <c r="F9" s="1" t="s">
        <v>51</v>
      </c>
      <c r="G9" s="1" t="s">
        <v>53</v>
      </c>
      <c r="H9" s="3" t="s">
        <v>151</v>
      </c>
      <c r="I9" s="3" t="s">
        <v>151</v>
      </c>
      <c r="J9" s="3" t="s">
        <v>151</v>
      </c>
      <c r="K9" s="3" t="s">
        <v>151</v>
      </c>
      <c r="L9" s="3">
        <v>1</v>
      </c>
    </row>
    <row r="10" spans="3:15">
      <c r="C10" s="1" t="s">
        <v>0</v>
      </c>
      <c r="D10" s="1" t="s">
        <v>10</v>
      </c>
      <c r="E10" s="2">
        <v>28465788</v>
      </c>
      <c r="F10" s="1" t="s">
        <v>51</v>
      </c>
      <c r="G10" s="1" t="s">
        <v>53</v>
      </c>
      <c r="H10" s="3" t="s">
        <v>151</v>
      </c>
      <c r="I10" s="3" t="s">
        <v>151</v>
      </c>
      <c r="J10" s="3" t="s">
        <v>151</v>
      </c>
      <c r="K10" s="3" t="s">
        <v>151</v>
      </c>
      <c r="L10" s="3">
        <v>1</v>
      </c>
    </row>
    <row r="11" spans="3:15">
      <c r="C11" s="1" t="s">
        <v>0</v>
      </c>
      <c r="D11" s="1" t="s">
        <v>12</v>
      </c>
      <c r="E11" s="2">
        <v>31139417</v>
      </c>
      <c r="F11" s="1" t="s">
        <v>51</v>
      </c>
      <c r="G11" s="1" t="s">
        <v>53</v>
      </c>
      <c r="H11" s="3" t="s">
        <v>151</v>
      </c>
      <c r="I11" s="3" t="s">
        <v>151</v>
      </c>
      <c r="J11" s="3" t="s">
        <v>151</v>
      </c>
      <c r="K11" s="3" t="s">
        <v>151</v>
      </c>
      <c r="L11" s="3">
        <v>1</v>
      </c>
    </row>
    <row r="12" spans="3:15">
      <c r="C12" s="1" t="s">
        <v>15</v>
      </c>
      <c r="D12" s="1" t="s">
        <v>16</v>
      </c>
      <c r="E12" s="2">
        <v>24827965</v>
      </c>
      <c r="F12" s="1" t="s">
        <v>50</v>
      </c>
      <c r="G12" s="1" t="s">
        <v>53</v>
      </c>
      <c r="H12" s="3" t="s">
        <v>151</v>
      </c>
      <c r="I12" s="3" t="s">
        <v>151</v>
      </c>
      <c r="J12" s="3" t="s">
        <v>151</v>
      </c>
      <c r="K12" s="3" t="s">
        <v>151</v>
      </c>
      <c r="L12" s="3">
        <v>1</v>
      </c>
    </row>
    <row r="13" spans="3:15">
      <c r="C13" s="1" t="s">
        <v>15</v>
      </c>
      <c r="D13" s="1" t="s">
        <v>18</v>
      </c>
      <c r="E13" s="2">
        <v>25478858</v>
      </c>
      <c r="F13" s="1" t="s">
        <v>50</v>
      </c>
      <c r="G13" s="1" t="s">
        <v>53</v>
      </c>
      <c r="H13" s="3" t="s">
        <v>151</v>
      </c>
      <c r="I13" s="3" t="s">
        <v>151</v>
      </c>
      <c r="J13" s="3" t="s">
        <v>151</v>
      </c>
      <c r="K13" s="3" t="s">
        <v>151</v>
      </c>
      <c r="L13" s="3">
        <v>1</v>
      </c>
    </row>
    <row r="14" spans="3:15">
      <c r="C14" s="1" t="s">
        <v>15</v>
      </c>
      <c r="D14" s="1" t="s">
        <v>17</v>
      </c>
      <c r="E14" s="2">
        <v>28069528</v>
      </c>
      <c r="F14" s="1" t="s">
        <v>51</v>
      </c>
      <c r="G14" s="1" t="s">
        <v>53</v>
      </c>
      <c r="H14" s="3" t="s">
        <v>151</v>
      </c>
      <c r="I14" s="3" t="s">
        <v>151</v>
      </c>
      <c r="J14" s="3" t="s">
        <v>151</v>
      </c>
      <c r="K14" s="3" t="s">
        <v>151</v>
      </c>
      <c r="L14" s="3">
        <v>1</v>
      </c>
    </row>
    <row r="15" spans="3:15">
      <c r="C15" s="1" t="s">
        <v>20</v>
      </c>
      <c r="D15" s="1" t="s">
        <v>21</v>
      </c>
      <c r="E15" s="2">
        <v>20700330</v>
      </c>
      <c r="F15" s="1" t="s">
        <v>50</v>
      </c>
      <c r="G15" s="1" t="s">
        <v>53</v>
      </c>
      <c r="H15" s="3" t="s">
        <v>151</v>
      </c>
      <c r="I15" s="3" t="s">
        <v>151</v>
      </c>
      <c r="J15" s="3" t="s">
        <v>151</v>
      </c>
      <c r="K15" s="3" t="s">
        <v>151</v>
      </c>
      <c r="L15" s="3">
        <v>1</v>
      </c>
    </row>
    <row r="16" spans="3:15">
      <c r="C16" s="1" t="s">
        <v>20</v>
      </c>
      <c r="D16" s="1" t="s">
        <v>23</v>
      </c>
      <c r="E16" s="2">
        <v>30371821</v>
      </c>
      <c r="F16" s="1" t="s">
        <v>50</v>
      </c>
      <c r="G16" s="1" t="s">
        <v>53</v>
      </c>
      <c r="H16" s="3" t="s">
        <v>151</v>
      </c>
      <c r="I16" s="3" t="s">
        <v>151</v>
      </c>
      <c r="J16" s="3" t="s">
        <v>151</v>
      </c>
      <c r="K16" s="3" t="s">
        <v>151</v>
      </c>
      <c r="L16" s="3">
        <v>1</v>
      </c>
    </row>
    <row r="17" spans="3:12">
      <c r="C17" s="1" t="s">
        <v>31</v>
      </c>
      <c r="D17" s="1" t="s">
        <v>32</v>
      </c>
      <c r="E17" s="2">
        <v>18057256</v>
      </c>
      <c r="F17" s="1" t="s">
        <v>50</v>
      </c>
      <c r="G17" s="1" t="s">
        <v>53</v>
      </c>
      <c r="H17" s="3" t="s">
        <v>151</v>
      </c>
      <c r="I17" s="3" t="s">
        <v>151</v>
      </c>
      <c r="J17" s="3" t="s">
        <v>151</v>
      </c>
      <c r="K17" s="3" t="s">
        <v>151</v>
      </c>
      <c r="L17" s="3">
        <v>1</v>
      </c>
    </row>
    <row r="18" spans="3:12">
      <c r="C18" s="1" t="s">
        <v>31</v>
      </c>
      <c r="D18" s="1" t="s">
        <v>34</v>
      </c>
      <c r="E18" s="2">
        <v>15730122</v>
      </c>
      <c r="F18" s="1" t="s">
        <v>50</v>
      </c>
      <c r="G18" s="1" t="s">
        <v>53</v>
      </c>
      <c r="H18" s="3" t="s">
        <v>151</v>
      </c>
      <c r="I18" s="3" t="s">
        <v>151</v>
      </c>
      <c r="J18" s="3" t="s">
        <v>151</v>
      </c>
      <c r="K18" s="3" t="s">
        <v>151</v>
      </c>
      <c r="L18" s="3">
        <v>1</v>
      </c>
    </row>
    <row r="19" spans="3:12">
      <c r="C19" s="1" t="s">
        <v>31</v>
      </c>
      <c r="D19" s="1" t="s">
        <v>33</v>
      </c>
      <c r="E19" s="2">
        <v>30446361</v>
      </c>
      <c r="F19" s="1" t="s">
        <v>51</v>
      </c>
      <c r="G19" s="1" t="s">
        <v>53</v>
      </c>
      <c r="H19" s="3" t="s">
        <v>151</v>
      </c>
      <c r="I19" s="3" t="s">
        <v>151</v>
      </c>
      <c r="J19" s="3" t="s">
        <v>151</v>
      </c>
      <c r="K19" s="3" t="s">
        <v>151</v>
      </c>
      <c r="L19" s="3">
        <v>1</v>
      </c>
    </row>
    <row r="20" spans="3:12">
      <c r="C20" s="1" t="s">
        <v>31</v>
      </c>
      <c r="D20" s="1" t="s">
        <v>35</v>
      </c>
      <c r="E20" s="2">
        <v>20943796</v>
      </c>
      <c r="F20" s="1" t="s">
        <v>51</v>
      </c>
      <c r="G20" s="1" t="s">
        <v>53</v>
      </c>
      <c r="H20" s="3" t="s">
        <v>151</v>
      </c>
      <c r="I20" s="3" t="s">
        <v>151</v>
      </c>
      <c r="J20" s="3" t="s">
        <v>151</v>
      </c>
      <c r="K20" s="3" t="s">
        <v>151</v>
      </c>
      <c r="L20" s="3">
        <v>1</v>
      </c>
    </row>
    <row r="21" spans="3:12">
      <c r="C21" s="1" t="s">
        <v>15</v>
      </c>
      <c r="D21" s="1" t="s">
        <v>57</v>
      </c>
      <c r="E21" s="2">
        <v>22842272</v>
      </c>
      <c r="F21" s="1" t="s">
        <v>50</v>
      </c>
      <c r="G21" s="1" t="s">
        <v>54</v>
      </c>
      <c r="H21" s="3" t="s">
        <v>151</v>
      </c>
      <c r="I21" s="3" t="s">
        <v>151</v>
      </c>
      <c r="J21" s="3" t="s">
        <v>151</v>
      </c>
      <c r="K21" s="3" t="s">
        <v>151</v>
      </c>
      <c r="L21" s="3">
        <v>1</v>
      </c>
    </row>
    <row r="22" spans="3:12">
      <c r="C22" s="1" t="s">
        <v>15</v>
      </c>
      <c r="D22" s="1" t="s">
        <v>58</v>
      </c>
      <c r="E22" s="2">
        <v>10227502</v>
      </c>
      <c r="F22" s="1" t="s">
        <v>50</v>
      </c>
      <c r="G22" s="1" t="s">
        <v>54</v>
      </c>
      <c r="H22" s="3" t="s">
        <v>151</v>
      </c>
      <c r="I22" s="3" t="s">
        <v>151</v>
      </c>
      <c r="J22" s="3" t="s">
        <v>151</v>
      </c>
      <c r="K22" s="3" t="s">
        <v>151</v>
      </c>
      <c r="L22" s="3">
        <v>1</v>
      </c>
    </row>
    <row r="23" spans="3:12">
      <c r="C23" s="1" t="s">
        <v>15</v>
      </c>
      <c r="D23" s="1" t="s">
        <v>59</v>
      </c>
      <c r="E23" s="2">
        <v>21311779</v>
      </c>
      <c r="F23" s="1" t="s">
        <v>50</v>
      </c>
      <c r="G23" s="1" t="s">
        <v>54</v>
      </c>
      <c r="H23" s="3" t="s">
        <v>151</v>
      </c>
      <c r="I23" s="3" t="s">
        <v>151</v>
      </c>
      <c r="J23" s="3" t="s">
        <v>151</v>
      </c>
      <c r="K23" s="3" t="s">
        <v>151</v>
      </c>
      <c r="L23" s="3">
        <v>1</v>
      </c>
    </row>
    <row r="24" spans="3:12">
      <c r="C24" s="1" t="s">
        <v>15</v>
      </c>
      <c r="D24" s="1" t="s">
        <v>60</v>
      </c>
      <c r="E24" s="2">
        <v>25721872</v>
      </c>
      <c r="F24" s="1" t="s">
        <v>51</v>
      </c>
      <c r="G24" s="1" t="s">
        <v>54</v>
      </c>
      <c r="H24" s="3" t="s">
        <v>151</v>
      </c>
      <c r="I24" s="3" t="s">
        <v>151</v>
      </c>
      <c r="J24" s="3" t="s">
        <v>151</v>
      </c>
      <c r="K24" s="3" t="s">
        <v>151</v>
      </c>
      <c r="L24" s="3">
        <v>1</v>
      </c>
    </row>
    <row r="25" spans="3:12">
      <c r="C25" s="1" t="s">
        <v>15</v>
      </c>
      <c r="D25" s="1" t="s">
        <v>61</v>
      </c>
      <c r="E25" s="2">
        <v>27345748</v>
      </c>
      <c r="F25" s="1" t="s">
        <v>51</v>
      </c>
      <c r="G25" s="1" t="s">
        <v>54</v>
      </c>
      <c r="H25" s="3" t="s">
        <v>151</v>
      </c>
      <c r="I25" s="3" t="s">
        <v>151</v>
      </c>
      <c r="J25" s="3" t="s">
        <v>151</v>
      </c>
      <c r="K25" s="3" t="s">
        <v>151</v>
      </c>
      <c r="L25" s="3">
        <v>1</v>
      </c>
    </row>
    <row r="26" spans="3:12">
      <c r="C26" s="1" t="s">
        <v>66</v>
      </c>
      <c r="D26" s="1" t="s">
        <v>62</v>
      </c>
      <c r="E26" s="2">
        <v>25897770</v>
      </c>
      <c r="F26" s="1" t="s">
        <v>50</v>
      </c>
      <c r="G26" s="1" t="s">
        <v>54</v>
      </c>
      <c r="H26" s="3" t="s">
        <v>151</v>
      </c>
      <c r="I26" s="3" t="s">
        <v>151</v>
      </c>
      <c r="J26" s="3" t="s">
        <v>151</v>
      </c>
      <c r="K26" s="3" t="s">
        <v>151</v>
      </c>
      <c r="L26" s="3">
        <v>1</v>
      </c>
    </row>
    <row r="27" spans="3:12">
      <c r="C27" s="1" t="s">
        <v>66</v>
      </c>
      <c r="D27" s="1" t="s">
        <v>63</v>
      </c>
      <c r="E27" s="2">
        <v>19346250</v>
      </c>
      <c r="F27" s="1" t="s">
        <v>50</v>
      </c>
      <c r="G27" s="1" t="s">
        <v>54</v>
      </c>
      <c r="H27" s="3" t="s">
        <v>151</v>
      </c>
      <c r="I27" s="3" t="s">
        <v>151</v>
      </c>
      <c r="J27" s="3" t="s">
        <v>151</v>
      </c>
      <c r="K27" s="3" t="s">
        <v>151</v>
      </c>
      <c r="L27" s="3">
        <v>1</v>
      </c>
    </row>
    <row r="28" spans="3:12">
      <c r="C28" s="1" t="s">
        <v>66</v>
      </c>
      <c r="D28" s="1" t="s">
        <v>64</v>
      </c>
      <c r="E28" s="2">
        <v>25528094</v>
      </c>
      <c r="F28" s="1" t="s">
        <v>51</v>
      </c>
      <c r="G28" s="1" t="s">
        <v>54</v>
      </c>
      <c r="H28" s="3" t="s">
        <v>151</v>
      </c>
      <c r="I28" s="3" t="s">
        <v>151</v>
      </c>
      <c r="J28" s="3" t="s">
        <v>151</v>
      </c>
      <c r="K28" s="3" t="s">
        <v>151</v>
      </c>
      <c r="L28" s="3">
        <v>1</v>
      </c>
    </row>
    <row r="29" spans="3:12">
      <c r="C29" s="1" t="s">
        <v>66</v>
      </c>
      <c r="D29" s="1" t="s">
        <v>65</v>
      </c>
      <c r="E29" s="2">
        <v>26704442</v>
      </c>
      <c r="F29" s="1" t="s">
        <v>51</v>
      </c>
      <c r="G29" s="1" t="s">
        <v>54</v>
      </c>
      <c r="H29" s="3" t="s">
        <v>151</v>
      </c>
      <c r="I29" s="3" t="s">
        <v>151</v>
      </c>
      <c r="J29" s="3" t="s">
        <v>151</v>
      </c>
      <c r="K29" s="3" t="s">
        <v>151</v>
      </c>
      <c r="L29" s="3">
        <v>1</v>
      </c>
    </row>
    <row r="30" spans="3:12">
      <c r="C30" s="1" t="s">
        <v>69</v>
      </c>
      <c r="D30" s="1" t="s">
        <v>67</v>
      </c>
      <c r="E30" s="2">
        <v>18558936</v>
      </c>
      <c r="F30" s="1" t="s">
        <v>50</v>
      </c>
      <c r="G30" s="1" t="s">
        <v>54</v>
      </c>
      <c r="H30" s="3" t="s">
        <v>151</v>
      </c>
      <c r="I30" s="3" t="s">
        <v>151</v>
      </c>
      <c r="J30" s="3" t="s">
        <v>151</v>
      </c>
      <c r="K30" s="3" t="s">
        <v>151</v>
      </c>
      <c r="L30" s="3">
        <v>1</v>
      </c>
    </row>
    <row r="31" spans="3:12">
      <c r="C31" s="1" t="s">
        <v>69</v>
      </c>
      <c r="D31" s="1" t="s">
        <v>68</v>
      </c>
      <c r="E31" s="2">
        <v>16791597</v>
      </c>
      <c r="F31" s="1" t="s">
        <v>50</v>
      </c>
      <c r="G31" s="1" t="s">
        <v>54</v>
      </c>
      <c r="H31" s="3" t="s">
        <v>151</v>
      </c>
      <c r="I31" s="3" t="s">
        <v>151</v>
      </c>
      <c r="J31" s="3" t="s">
        <v>151</v>
      </c>
      <c r="K31" s="3" t="s">
        <v>151</v>
      </c>
      <c r="L31" s="3">
        <v>1</v>
      </c>
    </row>
    <row r="32" spans="3:12">
      <c r="C32" s="1" t="s">
        <v>0</v>
      </c>
      <c r="D32" s="1" t="s">
        <v>70</v>
      </c>
      <c r="E32" s="2">
        <v>18501116</v>
      </c>
      <c r="F32" s="1" t="s">
        <v>50</v>
      </c>
      <c r="G32" s="1" t="s">
        <v>54</v>
      </c>
      <c r="H32" s="3" t="s">
        <v>151</v>
      </c>
      <c r="I32" s="3" t="s">
        <v>151</v>
      </c>
      <c r="J32" s="3" t="s">
        <v>151</v>
      </c>
      <c r="K32" s="3" t="s">
        <v>151</v>
      </c>
      <c r="L32" s="3">
        <v>1</v>
      </c>
    </row>
    <row r="33" spans="3:12">
      <c r="C33" s="1" t="s">
        <v>0</v>
      </c>
      <c r="D33" s="1" t="s">
        <v>71</v>
      </c>
      <c r="E33" s="2">
        <v>15653907</v>
      </c>
      <c r="F33" s="1" t="s">
        <v>50</v>
      </c>
      <c r="G33" s="1" t="s">
        <v>54</v>
      </c>
      <c r="H33" s="3" t="s">
        <v>151</v>
      </c>
      <c r="I33" s="3" t="s">
        <v>151</v>
      </c>
      <c r="J33" s="3" t="s">
        <v>151</v>
      </c>
      <c r="K33" s="3" t="s">
        <v>151</v>
      </c>
      <c r="L33" s="3">
        <v>1</v>
      </c>
    </row>
    <row r="34" spans="3:12">
      <c r="C34" s="1" t="s">
        <v>0</v>
      </c>
      <c r="D34" s="1" t="s">
        <v>72</v>
      </c>
      <c r="E34" s="2">
        <v>12035109</v>
      </c>
      <c r="F34" s="1" t="s">
        <v>50</v>
      </c>
      <c r="G34" s="1" t="s">
        <v>54</v>
      </c>
      <c r="H34" s="3" t="s">
        <v>151</v>
      </c>
      <c r="I34" s="3" t="s">
        <v>151</v>
      </c>
      <c r="J34" s="3" t="s">
        <v>151</v>
      </c>
      <c r="K34" s="3" t="s">
        <v>151</v>
      </c>
      <c r="L34" s="3">
        <v>1</v>
      </c>
    </row>
    <row r="35" spans="3:12">
      <c r="C35" s="1" t="s">
        <v>0</v>
      </c>
      <c r="D35" s="1" t="s">
        <v>73</v>
      </c>
      <c r="E35" s="2">
        <v>20622416</v>
      </c>
      <c r="F35" s="1" t="s">
        <v>50</v>
      </c>
      <c r="G35" s="1" t="s">
        <v>54</v>
      </c>
      <c r="H35" s="3" t="s">
        <v>151</v>
      </c>
      <c r="I35" s="3" t="s">
        <v>151</v>
      </c>
      <c r="J35" s="3" t="s">
        <v>151</v>
      </c>
      <c r="K35" s="3" t="s">
        <v>151</v>
      </c>
      <c r="L35" s="3">
        <v>1</v>
      </c>
    </row>
    <row r="36" spans="3:12">
      <c r="C36" s="1" t="s">
        <v>0</v>
      </c>
      <c r="D36" s="1" t="s">
        <v>74</v>
      </c>
      <c r="E36" s="2">
        <v>19320480</v>
      </c>
      <c r="F36" s="1" t="s">
        <v>50</v>
      </c>
      <c r="G36" s="1" t="s">
        <v>54</v>
      </c>
      <c r="H36" s="3" t="s">
        <v>151</v>
      </c>
      <c r="I36" s="3" t="s">
        <v>151</v>
      </c>
      <c r="J36" s="3" t="s">
        <v>151</v>
      </c>
      <c r="K36" s="3" t="s">
        <v>151</v>
      </c>
      <c r="L36" s="3">
        <v>1</v>
      </c>
    </row>
    <row r="37" spans="3:12">
      <c r="C37" s="1" t="s">
        <v>0</v>
      </c>
      <c r="D37" s="1" t="s">
        <v>75</v>
      </c>
      <c r="E37" s="2">
        <v>26233269</v>
      </c>
      <c r="F37" s="1" t="s">
        <v>50</v>
      </c>
      <c r="G37" s="1" t="s">
        <v>54</v>
      </c>
      <c r="H37" s="3" t="s">
        <v>151</v>
      </c>
      <c r="I37" s="3" t="s">
        <v>151</v>
      </c>
      <c r="J37" s="3" t="s">
        <v>151</v>
      </c>
      <c r="K37" s="3" t="s">
        <v>151</v>
      </c>
      <c r="L37" s="3">
        <v>1</v>
      </c>
    </row>
    <row r="38" spans="3:12">
      <c r="C38" s="1" t="s">
        <v>0</v>
      </c>
      <c r="D38" s="1" t="s">
        <v>76</v>
      </c>
      <c r="E38" s="2">
        <v>19188704</v>
      </c>
      <c r="F38" s="1" t="s">
        <v>50</v>
      </c>
      <c r="G38" s="1" t="s">
        <v>54</v>
      </c>
      <c r="H38" s="3" t="s">
        <v>151</v>
      </c>
      <c r="I38" s="3" t="s">
        <v>151</v>
      </c>
      <c r="J38" s="3" t="s">
        <v>151</v>
      </c>
      <c r="K38" s="3" t="s">
        <v>151</v>
      </c>
      <c r="L38" s="3">
        <v>1</v>
      </c>
    </row>
    <row r="39" spans="3:12">
      <c r="C39" s="1" t="s">
        <v>0</v>
      </c>
      <c r="D39" s="1" t="s">
        <v>77</v>
      </c>
      <c r="E39" s="2">
        <v>13271486</v>
      </c>
      <c r="F39" s="1" t="s">
        <v>50</v>
      </c>
      <c r="G39" s="1" t="s">
        <v>54</v>
      </c>
      <c r="H39" s="3" t="s">
        <v>151</v>
      </c>
      <c r="I39" s="3" t="s">
        <v>151</v>
      </c>
      <c r="J39" s="3" t="s">
        <v>151</v>
      </c>
      <c r="K39" s="3" t="s">
        <v>151</v>
      </c>
      <c r="L39" s="3">
        <v>1</v>
      </c>
    </row>
    <row r="40" spans="3:12">
      <c r="C40" s="1" t="s">
        <v>0</v>
      </c>
      <c r="D40" s="1" t="s">
        <v>78</v>
      </c>
      <c r="E40" s="2">
        <v>22213364</v>
      </c>
      <c r="F40" s="1" t="s">
        <v>50</v>
      </c>
      <c r="G40" s="1" t="s">
        <v>54</v>
      </c>
      <c r="H40" s="3" t="s">
        <v>151</v>
      </c>
      <c r="I40" s="3" t="s">
        <v>151</v>
      </c>
      <c r="J40" s="3" t="s">
        <v>151</v>
      </c>
      <c r="K40" s="3" t="s">
        <v>151</v>
      </c>
      <c r="L40" s="3">
        <v>1</v>
      </c>
    </row>
    <row r="41" spans="3:12">
      <c r="C41" s="1" t="s">
        <v>0</v>
      </c>
      <c r="D41" s="1" t="s">
        <v>79</v>
      </c>
      <c r="E41" s="2">
        <v>19843415</v>
      </c>
      <c r="F41" s="1" t="s">
        <v>51</v>
      </c>
      <c r="G41" s="1" t="s">
        <v>54</v>
      </c>
      <c r="H41" s="3" t="s">
        <v>151</v>
      </c>
      <c r="I41" s="3" t="s">
        <v>151</v>
      </c>
      <c r="J41" s="3" t="s">
        <v>151</v>
      </c>
      <c r="K41" s="3" t="s">
        <v>151</v>
      </c>
      <c r="L41" s="3">
        <v>1</v>
      </c>
    </row>
    <row r="42" spans="3:12">
      <c r="C42" s="1" t="s">
        <v>0</v>
      </c>
      <c r="D42" s="1" t="s">
        <v>80</v>
      </c>
      <c r="E42" s="2">
        <v>19130427</v>
      </c>
      <c r="F42" s="1" t="s">
        <v>51</v>
      </c>
      <c r="G42" s="1" t="s">
        <v>54</v>
      </c>
      <c r="H42" s="3" t="s">
        <v>151</v>
      </c>
      <c r="I42" s="3" t="s">
        <v>151</v>
      </c>
      <c r="J42" s="3" t="s">
        <v>151</v>
      </c>
      <c r="K42" s="3" t="s">
        <v>151</v>
      </c>
      <c r="L42" s="3">
        <v>1</v>
      </c>
    </row>
    <row r="43" spans="3:12">
      <c r="C43" s="1" t="s">
        <v>0</v>
      </c>
      <c r="D43" s="1" t="s">
        <v>81</v>
      </c>
      <c r="E43" s="2">
        <v>18999575</v>
      </c>
      <c r="F43" s="1" t="s">
        <v>51</v>
      </c>
      <c r="G43" s="1" t="s">
        <v>54</v>
      </c>
      <c r="H43" s="3" t="s">
        <v>151</v>
      </c>
      <c r="I43" s="3" t="s">
        <v>151</v>
      </c>
      <c r="J43" s="3" t="s">
        <v>151</v>
      </c>
      <c r="K43" s="3" t="s">
        <v>151</v>
      </c>
      <c r="L43" s="3">
        <v>1</v>
      </c>
    </row>
    <row r="44" spans="3:12">
      <c r="C44" s="1" t="s">
        <v>0</v>
      </c>
      <c r="D44" s="1" t="s">
        <v>82</v>
      </c>
      <c r="E44" s="2">
        <v>15897980</v>
      </c>
      <c r="F44" s="1" t="s">
        <v>51</v>
      </c>
      <c r="G44" s="1" t="s">
        <v>54</v>
      </c>
      <c r="H44" s="3" t="s">
        <v>151</v>
      </c>
      <c r="I44" s="3" t="s">
        <v>151</v>
      </c>
      <c r="J44" s="3" t="s">
        <v>151</v>
      </c>
      <c r="K44" s="3" t="s">
        <v>151</v>
      </c>
      <c r="L44" s="3">
        <v>1</v>
      </c>
    </row>
    <row r="45" spans="3:12">
      <c r="C45" s="1" t="s">
        <v>0</v>
      </c>
      <c r="D45" s="1" t="s">
        <v>83</v>
      </c>
      <c r="E45" s="2">
        <v>26019988</v>
      </c>
      <c r="F45" s="1" t="s">
        <v>51</v>
      </c>
      <c r="G45" s="1" t="s">
        <v>54</v>
      </c>
      <c r="H45" s="3" t="s">
        <v>151</v>
      </c>
      <c r="I45" s="3" t="s">
        <v>151</v>
      </c>
      <c r="J45" s="3" t="s">
        <v>151</v>
      </c>
      <c r="K45" s="3" t="s">
        <v>151</v>
      </c>
      <c r="L45" s="3">
        <v>1</v>
      </c>
    </row>
    <row r="46" spans="3:12">
      <c r="C46" s="1" t="s">
        <v>0</v>
      </c>
      <c r="D46" s="1" t="s">
        <v>84</v>
      </c>
      <c r="E46" s="2">
        <v>30639871</v>
      </c>
      <c r="F46" s="1" t="s">
        <v>51</v>
      </c>
      <c r="G46" s="1" t="s">
        <v>54</v>
      </c>
      <c r="H46" s="3" t="s">
        <v>151</v>
      </c>
      <c r="I46" s="3" t="s">
        <v>151</v>
      </c>
      <c r="J46" s="3" t="s">
        <v>151</v>
      </c>
      <c r="K46" s="3" t="s">
        <v>151</v>
      </c>
      <c r="L46" s="3">
        <v>1</v>
      </c>
    </row>
    <row r="47" spans="3:12">
      <c r="C47" s="1" t="s">
        <v>0</v>
      </c>
      <c r="D47" s="1" t="s">
        <v>85</v>
      </c>
      <c r="E47" s="2">
        <v>21029364</v>
      </c>
      <c r="F47" s="1" t="s">
        <v>51</v>
      </c>
      <c r="G47" s="1" t="s">
        <v>54</v>
      </c>
      <c r="H47" s="3" t="s">
        <v>151</v>
      </c>
      <c r="I47" s="3" t="s">
        <v>151</v>
      </c>
      <c r="J47" s="3" t="s">
        <v>151</v>
      </c>
      <c r="K47" s="3" t="s">
        <v>151</v>
      </c>
      <c r="L47" s="3">
        <v>1</v>
      </c>
    </row>
    <row r="48" spans="3:12">
      <c r="C48" s="1" t="s">
        <v>0</v>
      </c>
      <c r="D48" s="1" t="s">
        <v>86</v>
      </c>
      <c r="E48" s="2">
        <v>24443641</v>
      </c>
      <c r="F48" s="1" t="s">
        <v>51</v>
      </c>
      <c r="G48" s="1" t="s">
        <v>54</v>
      </c>
      <c r="H48" s="3" t="s">
        <v>151</v>
      </c>
      <c r="I48" s="3" t="s">
        <v>151</v>
      </c>
      <c r="J48" s="3" t="s">
        <v>151</v>
      </c>
      <c r="K48" s="3" t="s">
        <v>151</v>
      </c>
      <c r="L48" s="3">
        <v>1</v>
      </c>
    </row>
    <row r="49" spans="3:12">
      <c r="C49" s="1" t="s">
        <v>0</v>
      </c>
      <c r="D49" s="1" t="s">
        <v>87</v>
      </c>
      <c r="E49" s="2">
        <v>18748734</v>
      </c>
      <c r="F49" s="1" t="s">
        <v>51</v>
      </c>
      <c r="G49" s="1" t="s">
        <v>54</v>
      </c>
      <c r="H49" s="3" t="s">
        <v>151</v>
      </c>
      <c r="I49" s="3" t="s">
        <v>151</v>
      </c>
      <c r="J49" s="3" t="s">
        <v>151</v>
      </c>
      <c r="K49" s="3" t="s">
        <v>151</v>
      </c>
      <c r="L49" s="3">
        <v>1</v>
      </c>
    </row>
    <row r="50" spans="3:12">
      <c r="C50" s="1" t="s">
        <v>27</v>
      </c>
      <c r="D50" s="1" t="s">
        <v>88</v>
      </c>
      <c r="E50" s="2"/>
      <c r="F50" s="1" t="s">
        <v>50</v>
      </c>
      <c r="G50" s="1" t="s">
        <v>54</v>
      </c>
      <c r="H50" s="3" t="s">
        <v>151</v>
      </c>
      <c r="I50" s="3" t="s">
        <v>151</v>
      </c>
      <c r="J50" s="3" t="s">
        <v>151</v>
      </c>
      <c r="K50" s="3" t="s">
        <v>151</v>
      </c>
      <c r="L50" s="3">
        <v>1</v>
      </c>
    </row>
    <row r="51" spans="3:12">
      <c r="C51" s="1" t="s">
        <v>27</v>
      </c>
      <c r="D51" s="1" t="s">
        <v>89</v>
      </c>
      <c r="E51" s="2"/>
      <c r="F51" s="1" t="s">
        <v>51</v>
      </c>
      <c r="G51" s="1" t="s">
        <v>54</v>
      </c>
      <c r="H51" s="3" t="s">
        <v>151</v>
      </c>
      <c r="I51" s="3" t="s">
        <v>151</v>
      </c>
      <c r="J51" s="3" t="s">
        <v>151</v>
      </c>
      <c r="K51" s="3" t="s">
        <v>151</v>
      </c>
      <c r="L51" s="3">
        <v>1</v>
      </c>
    </row>
    <row r="52" spans="3:12">
      <c r="C52" s="1" t="s">
        <v>0</v>
      </c>
      <c r="D52" s="1" t="s">
        <v>97</v>
      </c>
      <c r="E52" s="2">
        <v>24629986</v>
      </c>
      <c r="F52" s="1" t="s">
        <v>50</v>
      </c>
      <c r="G52" s="1" t="s">
        <v>55</v>
      </c>
      <c r="H52" s="3" t="s">
        <v>151</v>
      </c>
      <c r="I52" s="3" t="s">
        <v>151</v>
      </c>
      <c r="J52" s="3" t="s">
        <v>151</v>
      </c>
      <c r="K52" s="3" t="s">
        <v>151</v>
      </c>
      <c r="L52" s="3">
        <v>1</v>
      </c>
    </row>
    <row r="53" spans="3:12">
      <c r="C53" s="1" t="s">
        <v>0</v>
      </c>
      <c r="D53" s="1" t="s">
        <v>98</v>
      </c>
      <c r="E53" s="2">
        <v>16449647</v>
      </c>
      <c r="F53" s="1" t="s">
        <v>51</v>
      </c>
      <c r="G53" s="1" t="s">
        <v>55</v>
      </c>
      <c r="H53" s="3" t="s">
        <v>151</v>
      </c>
      <c r="I53" s="3" t="s">
        <v>151</v>
      </c>
      <c r="J53" s="3" t="s">
        <v>151</v>
      </c>
      <c r="K53" s="3" t="s">
        <v>151</v>
      </c>
      <c r="L53" s="3">
        <v>1</v>
      </c>
    </row>
    <row r="54" spans="3:12">
      <c r="C54" s="1" t="s">
        <v>0</v>
      </c>
      <c r="D54" s="1" t="s">
        <v>99</v>
      </c>
      <c r="E54" s="2">
        <v>27111205</v>
      </c>
      <c r="F54" s="1" t="s">
        <v>50</v>
      </c>
      <c r="G54" s="1" t="s">
        <v>55</v>
      </c>
      <c r="H54" s="3" t="s">
        <v>151</v>
      </c>
      <c r="I54" s="3" t="s">
        <v>151</v>
      </c>
      <c r="J54" s="3" t="s">
        <v>151</v>
      </c>
      <c r="K54" s="3" t="s">
        <v>151</v>
      </c>
      <c r="L54" s="3">
        <v>1</v>
      </c>
    </row>
    <row r="55" spans="3:12">
      <c r="C55" s="1" t="s">
        <v>0</v>
      </c>
      <c r="D55" s="1" t="s">
        <v>100</v>
      </c>
      <c r="E55" s="2">
        <v>27548643</v>
      </c>
      <c r="F55" s="1" t="s">
        <v>51</v>
      </c>
      <c r="G55" s="1" t="s">
        <v>55</v>
      </c>
      <c r="H55" s="3" t="s">
        <v>151</v>
      </c>
      <c r="I55" s="3" t="s">
        <v>151</v>
      </c>
      <c r="J55" s="3" t="s">
        <v>151</v>
      </c>
      <c r="K55" s="3" t="s">
        <v>151</v>
      </c>
      <c r="L55" s="3">
        <v>1</v>
      </c>
    </row>
    <row r="56" spans="3:12">
      <c r="C56" s="1" t="s">
        <v>0</v>
      </c>
      <c r="D56" s="1" t="s">
        <v>101</v>
      </c>
      <c r="E56" s="2">
        <v>28113122</v>
      </c>
      <c r="F56" s="1" t="s">
        <v>50</v>
      </c>
      <c r="G56" s="1" t="s">
        <v>55</v>
      </c>
      <c r="H56" s="3" t="s">
        <v>151</v>
      </c>
      <c r="I56" s="3" t="s">
        <v>151</v>
      </c>
      <c r="J56" s="3" t="s">
        <v>151</v>
      </c>
      <c r="K56" s="3" t="s">
        <v>151</v>
      </c>
      <c r="L56" s="3">
        <v>1</v>
      </c>
    </row>
    <row r="57" spans="3:12">
      <c r="C57" s="1" t="s">
        <v>0</v>
      </c>
      <c r="D57" s="1" t="s">
        <v>102</v>
      </c>
      <c r="E57" s="2">
        <v>19021730</v>
      </c>
      <c r="F57" s="1" t="s">
        <v>51</v>
      </c>
      <c r="G57" s="1" t="s">
        <v>55</v>
      </c>
      <c r="H57" s="3" t="s">
        <v>151</v>
      </c>
      <c r="I57" s="3" t="s">
        <v>151</v>
      </c>
      <c r="J57" s="3" t="s">
        <v>151</v>
      </c>
      <c r="K57" s="3" t="s">
        <v>151</v>
      </c>
      <c r="L57" s="3">
        <v>1</v>
      </c>
    </row>
    <row r="58" spans="3:12">
      <c r="C58" s="1" t="s">
        <v>0</v>
      </c>
      <c r="D58" s="1" t="s">
        <v>103</v>
      </c>
      <c r="E58" s="2">
        <v>20700562</v>
      </c>
      <c r="F58" s="1" t="s">
        <v>50</v>
      </c>
      <c r="G58" s="1" t="s">
        <v>55</v>
      </c>
      <c r="H58" s="3" t="s">
        <v>151</v>
      </c>
      <c r="I58" s="3" t="s">
        <v>151</v>
      </c>
      <c r="J58" s="3" t="s">
        <v>151</v>
      </c>
      <c r="K58" s="3" t="s">
        <v>151</v>
      </c>
      <c r="L58" s="3">
        <v>1</v>
      </c>
    </row>
    <row r="59" spans="3:12">
      <c r="C59" s="1" t="s">
        <v>0</v>
      </c>
      <c r="D59" s="1" t="s">
        <v>104</v>
      </c>
      <c r="E59" s="2">
        <v>30096039</v>
      </c>
      <c r="F59" s="1" t="s">
        <v>51</v>
      </c>
      <c r="G59" s="1" t="s">
        <v>55</v>
      </c>
      <c r="H59" s="3" t="s">
        <v>151</v>
      </c>
      <c r="I59" s="3" t="s">
        <v>151</v>
      </c>
      <c r="J59" s="3" t="s">
        <v>151</v>
      </c>
      <c r="K59" s="3" t="s">
        <v>151</v>
      </c>
      <c r="L59" s="3">
        <v>1</v>
      </c>
    </row>
    <row r="60" spans="3:12">
      <c r="C60" s="1" t="s">
        <v>0</v>
      </c>
      <c r="D60" s="1" t="s">
        <v>105</v>
      </c>
      <c r="E60" s="2">
        <v>19781281</v>
      </c>
      <c r="F60" s="1" t="s">
        <v>51</v>
      </c>
      <c r="G60" s="1" t="s">
        <v>55</v>
      </c>
      <c r="H60" s="3" t="s">
        <v>151</v>
      </c>
      <c r="I60" s="3" t="s">
        <v>151</v>
      </c>
      <c r="J60" s="3" t="s">
        <v>151</v>
      </c>
      <c r="K60" s="3" t="s">
        <v>151</v>
      </c>
      <c r="L60" s="3">
        <v>1</v>
      </c>
    </row>
    <row r="61" spans="3:12">
      <c r="C61" s="1" t="s">
        <v>0</v>
      </c>
      <c r="D61" s="1" t="s">
        <v>106</v>
      </c>
      <c r="E61" s="2">
        <v>14571391</v>
      </c>
      <c r="F61" s="1" t="s">
        <v>51</v>
      </c>
      <c r="G61" s="1" t="s">
        <v>55</v>
      </c>
      <c r="H61" s="3" t="s">
        <v>151</v>
      </c>
      <c r="I61" s="3" t="s">
        <v>151</v>
      </c>
      <c r="J61" s="3" t="s">
        <v>151</v>
      </c>
      <c r="K61" s="3" t="s">
        <v>151</v>
      </c>
      <c r="L61" s="3">
        <v>1</v>
      </c>
    </row>
    <row r="62" spans="3:12">
      <c r="C62" s="1" t="s">
        <v>0</v>
      </c>
      <c r="D62" s="1" t="s">
        <v>107</v>
      </c>
      <c r="E62" s="2">
        <v>25969677</v>
      </c>
      <c r="F62" s="1" t="s">
        <v>50</v>
      </c>
      <c r="G62" s="1" t="s">
        <v>55</v>
      </c>
      <c r="H62" s="3" t="s">
        <v>151</v>
      </c>
      <c r="I62" s="3" t="s">
        <v>151</v>
      </c>
      <c r="J62" s="3" t="s">
        <v>151</v>
      </c>
      <c r="K62" s="3" t="s">
        <v>151</v>
      </c>
      <c r="L62" s="3">
        <v>1</v>
      </c>
    </row>
    <row r="63" spans="3:12">
      <c r="C63" s="1" t="s">
        <v>0</v>
      </c>
      <c r="D63" s="1" t="s">
        <v>108</v>
      </c>
      <c r="E63" s="2">
        <v>24968477</v>
      </c>
      <c r="F63" s="1" t="s">
        <v>51</v>
      </c>
      <c r="G63" s="1" t="s">
        <v>55</v>
      </c>
      <c r="H63" s="3" t="s">
        <v>151</v>
      </c>
      <c r="I63" s="3" t="s">
        <v>151</v>
      </c>
      <c r="J63" s="3" t="s">
        <v>151</v>
      </c>
      <c r="K63" s="3" t="s">
        <v>151</v>
      </c>
      <c r="L63" s="3">
        <v>1</v>
      </c>
    </row>
    <row r="64" spans="3:12">
      <c r="C64" s="1" t="s">
        <v>66</v>
      </c>
      <c r="D64" s="1" t="s">
        <v>109</v>
      </c>
      <c r="E64" s="2"/>
      <c r="F64" s="1" t="s">
        <v>50</v>
      </c>
      <c r="G64" s="1" t="s">
        <v>55</v>
      </c>
      <c r="H64" s="3" t="s">
        <v>151</v>
      </c>
      <c r="I64" s="3" t="s">
        <v>151</v>
      </c>
      <c r="J64" s="3" t="s">
        <v>151</v>
      </c>
      <c r="K64" s="3" t="s">
        <v>151</v>
      </c>
      <c r="L64" s="3">
        <v>1</v>
      </c>
    </row>
    <row r="65" spans="3:12">
      <c r="C65" s="1" t="s">
        <v>66</v>
      </c>
      <c r="D65" s="1" t="s">
        <v>110</v>
      </c>
      <c r="E65" s="2"/>
      <c r="F65" s="1" t="s">
        <v>50</v>
      </c>
      <c r="G65" s="1" t="s">
        <v>55</v>
      </c>
      <c r="H65" s="3" t="s">
        <v>151</v>
      </c>
      <c r="I65" s="3" t="s">
        <v>151</v>
      </c>
      <c r="J65" s="3" t="s">
        <v>151</v>
      </c>
      <c r="K65" s="3" t="s">
        <v>151</v>
      </c>
      <c r="L65" s="3">
        <v>1</v>
      </c>
    </row>
    <row r="66" spans="3:12">
      <c r="C66" s="1" t="s">
        <v>31</v>
      </c>
      <c r="D66" s="1" t="s">
        <v>111</v>
      </c>
      <c r="E66" s="2"/>
      <c r="F66" s="1" t="s">
        <v>51</v>
      </c>
      <c r="G66" s="1" t="s">
        <v>55</v>
      </c>
      <c r="H66" s="3" t="s">
        <v>151</v>
      </c>
      <c r="I66" s="3" t="s">
        <v>151</v>
      </c>
      <c r="J66" s="3" t="s">
        <v>151</v>
      </c>
      <c r="K66" s="3" t="s">
        <v>151</v>
      </c>
      <c r="L66" s="3">
        <v>1</v>
      </c>
    </row>
    <row r="67" spans="3:12">
      <c r="C67" s="1" t="s">
        <v>31</v>
      </c>
      <c r="D67" s="1" t="s">
        <v>112</v>
      </c>
      <c r="E67" s="2"/>
      <c r="F67" s="1" t="s">
        <v>50</v>
      </c>
      <c r="G67" s="1" t="s">
        <v>55</v>
      </c>
      <c r="H67" s="3" t="s">
        <v>151</v>
      </c>
      <c r="I67" s="3" t="s">
        <v>151</v>
      </c>
      <c r="J67" s="3" t="s">
        <v>151</v>
      </c>
      <c r="K67" s="3" t="s">
        <v>151</v>
      </c>
      <c r="L67" s="3">
        <v>1</v>
      </c>
    </row>
    <row r="68" spans="3:12">
      <c r="C68" s="1" t="s">
        <v>15</v>
      </c>
      <c r="D68" s="1" t="s">
        <v>113</v>
      </c>
      <c r="E68" s="2"/>
      <c r="F68" s="1" t="s">
        <v>50</v>
      </c>
      <c r="G68" s="1" t="s">
        <v>55</v>
      </c>
      <c r="H68" s="3" t="s">
        <v>151</v>
      </c>
      <c r="I68" s="3" t="s">
        <v>151</v>
      </c>
      <c r="J68" s="3" t="s">
        <v>151</v>
      </c>
      <c r="K68" s="3" t="s">
        <v>151</v>
      </c>
      <c r="L68" s="3">
        <v>1</v>
      </c>
    </row>
    <row r="69" spans="3:12">
      <c r="C69" s="1" t="s">
        <v>15</v>
      </c>
      <c r="D69" s="1" t="s">
        <v>114</v>
      </c>
      <c r="E69" s="2"/>
      <c r="F69" s="1" t="s">
        <v>50</v>
      </c>
      <c r="G69" s="1" t="s">
        <v>55</v>
      </c>
      <c r="H69" s="3" t="s">
        <v>151</v>
      </c>
      <c r="I69" s="3" t="s">
        <v>151</v>
      </c>
      <c r="J69" s="3" t="s">
        <v>151</v>
      </c>
      <c r="K69" s="3" t="s">
        <v>151</v>
      </c>
      <c r="L69" s="3">
        <v>1</v>
      </c>
    </row>
    <row r="70" spans="3:12">
      <c r="C70" s="1" t="s">
        <v>15</v>
      </c>
      <c r="D70" s="1" t="s">
        <v>115</v>
      </c>
      <c r="E70" s="2"/>
      <c r="F70" s="1" t="s">
        <v>50</v>
      </c>
      <c r="G70" s="1" t="s">
        <v>55</v>
      </c>
      <c r="H70" s="3" t="s">
        <v>151</v>
      </c>
      <c r="I70" s="3" t="s">
        <v>151</v>
      </c>
      <c r="J70" s="3" t="s">
        <v>151</v>
      </c>
      <c r="K70" s="3" t="s">
        <v>151</v>
      </c>
      <c r="L70" s="3">
        <v>1</v>
      </c>
    </row>
    <row r="71" spans="3:12">
      <c r="C71" s="1" t="s">
        <v>15</v>
      </c>
      <c r="D71" s="1" t="s">
        <v>116</v>
      </c>
      <c r="E71" s="2"/>
      <c r="F71" s="1" t="s">
        <v>50</v>
      </c>
      <c r="G71" s="1" t="s">
        <v>55</v>
      </c>
      <c r="H71" s="3" t="s">
        <v>151</v>
      </c>
      <c r="I71" s="3" t="s">
        <v>151</v>
      </c>
      <c r="J71" s="3" t="s">
        <v>151</v>
      </c>
      <c r="K71" s="3" t="s">
        <v>151</v>
      </c>
      <c r="L71" s="3">
        <v>1</v>
      </c>
    </row>
    <row r="72" spans="3:12">
      <c r="C72" s="1" t="s">
        <v>15</v>
      </c>
      <c r="D72" s="1" t="s">
        <v>117</v>
      </c>
      <c r="E72" s="2"/>
      <c r="F72" s="1" t="s">
        <v>50</v>
      </c>
      <c r="G72" s="1" t="s">
        <v>55</v>
      </c>
      <c r="H72" s="3" t="s">
        <v>151</v>
      </c>
      <c r="I72" s="3" t="s">
        <v>151</v>
      </c>
      <c r="J72" s="3" t="s">
        <v>151</v>
      </c>
      <c r="K72" s="3" t="s">
        <v>151</v>
      </c>
      <c r="L72" s="3">
        <v>1</v>
      </c>
    </row>
    <row r="73" spans="3:12">
      <c r="C73" s="1" t="s">
        <v>15</v>
      </c>
      <c r="D73" s="1" t="s">
        <v>118</v>
      </c>
      <c r="E73" s="2"/>
      <c r="F73" s="1" t="s">
        <v>50</v>
      </c>
      <c r="G73" s="1" t="s">
        <v>55</v>
      </c>
      <c r="H73" s="3" t="s">
        <v>151</v>
      </c>
      <c r="I73" s="3" t="s">
        <v>151</v>
      </c>
      <c r="J73" s="3" t="s">
        <v>151</v>
      </c>
      <c r="K73" s="3" t="s">
        <v>151</v>
      </c>
      <c r="L73" s="3">
        <v>1</v>
      </c>
    </row>
    <row r="74" spans="3:12">
      <c r="C74" s="1" t="s">
        <v>15</v>
      </c>
      <c r="D74" s="1" t="s">
        <v>119</v>
      </c>
      <c r="E74" s="2"/>
      <c r="F74" s="1" t="s">
        <v>51</v>
      </c>
      <c r="G74" s="1" t="s">
        <v>55</v>
      </c>
      <c r="H74" s="3" t="s">
        <v>151</v>
      </c>
      <c r="I74" s="3" t="s">
        <v>151</v>
      </c>
      <c r="J74" s="3" t="s">
        <v>151</v>
      </c>
      <c r="K74" s="3" t="s">
        <v>151</v>
      </c>
      <c r="L74" s="3">
        <v>1</v>
      </c>
    </row>
    <row r="75" spans="3:12">
      <c r="C75" s="1" t="s">
        <v>15</v>
      </c>
      <c r="D75" s="1" t="s">
        <v>183</v>
      </c>
      <c r="E75" s="2">
        <v>23517606</v>
      </c>
      <c r="F75" s="1" t="s">
        <v>50</v>
      </c>
      <c r="G75" s="1" t="s">
        <v>56</v>
      </c>
      <c r="H75" s="3" t="s">
        <v>151</v>
      </c>
      <c r="I75" s="3" t="s">
        <v>151</v>
      </c>
      <c r="J75" s="3" t="s">
        <v>151</v>
      </c>
      <c r="K75" s="3" t="s">
        <v>151</v>
      </c>
      <c r="L75" s="3">
        <v>1</v>
      </c>
    </row>
    <row r="76" spans="3:12">
      <c r="C76" s="1" t="s">
        <v>15</v>
      </c>
      <c r="D76" s="1" t="s">
        <v>184</v>
      </c>
      <c r="E76" s="2">
        <v>14828999</v>
      </c>
      <c r="F76" s="1" t="s">
        <v>50</v>
      </c>
      <c r="G76" s="1" t="s">
        <v>56</v>
      </c>
      <c r="H76" s="3" t="s">
        <v>151</v>
      </c>
      <c r="I76" s="3" t="s">
        <v>151</v>
      </c>
      <c r="J76" s="3" t="s">
        <v>151</v>
      </c>
      <c r="K76" s="3" t="s">
        <v>151</v>
      </c>
      <c r="L76" s="3">
        <v>1</v>
      </c>
    </row>
    <row r="77" spans="3:12">
      <c r="C77" s="1" t="s">
        <v>15</v>
      </c>
      <c r="D77" s="1" t="s">
        <v>185</v>
      </c>
      <c r="E77" s="2">
        <v>13168246</v>
      </c>
      <c r="F77" s="1" t="s">
        <v>51</v>
      </c>
      <c r="G77" s="1" t="s">
        <v>56</v>
      </c>
      <c r="H77" s="3" t="s">
        <v>151</v>
      </c>
      <c r="I77" s="3" t="s">
        <v>151</v>
      </c>
      <c r="J77" s="3" t="s">
        <v>151</v>
      </c>
      <c r="K77" s="3" t="s">
        <v>151</v>
      </c>
      <c r="L77" s="3">
        <v>1</v>
      </c>
    </row>
    <row r="78" spans="3:12">
      <c r="C78" s="1" t="s">
        <v>15</v>
      </c>
      <c r="D78" s="1" t="s">
        <v>186</v>
      </c>
      <c r="E78" s="2">
        <v>8278822</v>
      </c>
      <c r="F78" s="1" t="s">
        <v>50</v>
      </c>
      <c r="G78" s="1" t="s">
        <v>56</v>
      </c>
      <c r="H78" s="3" t="s">
        <v>151</v>
      </c>
      <c r="I78" s="3" t="s">
        <v>151</v>
      </c>
      <c r="J78" s="3" t="s">
        <v>151</v>
      </c>
      <c r="K78" s="3" t="s">
        <v>151</v>
      </c>
      <c r="L78" s="3">
        <v>1</v>
      </c>
    </row>
    <row r="79" spans="3:12">
      <c r="C79" s="1" t="s">
        <v>15</v>
      </c>
      <c r="D79" s="1" t="s">
        <v>187</v>
      </c>
      <c r="E79" s="2">
        <v>8278822</v>
      </c>
      <c r="F79" s="1" t="s">
        <v>51</v>
      </c>
      <c r="G79" s="1" t="s">
        <v>56</v>
      </c>
      <c r="H79" s="3" t="s">
        <v>151</v>
      </c>
      <c r="I79" s="3" t="s">
        <v>151</v>
      </c>
      <c r="J79" s="3" t="s">
        <v>151</v>
      </c>
      <c r="K79" s="3" t="s">
        <v>151</v>
      </c>
      <c r="L79" s="3">
        <v>1</v>
      </c>
    </row>
    <row r="80" spans="3:12">
      <c r="C80" s="1" t="s">
        <v>20</v>
      </c>
      <c r="D80" s="1" t="s">
        <v>202</v>
      </c>
      <c r="E80" s="2">
        <v>19260284</v>
      </c>
      <c r="F80" s="1" t="s">
        <v>50</v>
      </c>
      <c r="G80" s="1" t="s">
        <v>56</v>
      </c>
      <c r="H80" s="3" t="s">
        <v>151</v>
      </c>
      <c r="I80" s="3" t="s">
        <v>151</v>
      </c>
      <c r="J80" s="3" t="s">
        <v>151</v>
      </c>
      <c r="K80" s="3" t="s">
        <v>151</v>
      </c>
      <c r="L80" s="3">
        <v>1</v>
      </c>
    </row>
    <row r="81" spans="3:12">
      <c r="C81" s="1" t="s">
        <v>20</v>
      </c>
      <c r="D81" s="1" t="s">
        <v>203</v>
      </c>
      <c r="E81" s="2">
        <v>27013056</v>
      </c>
      <c r="F81" s="1" t="s">
        <v>50</v>
      </c>
      <c r="G81" s="1" t="s">
        <v>56</v>
      </c>
      <c r="H81" s="3" t="s">
        <v>151</v>
      </c>
      <c r="I81" s="3" t="s">
        <v>151</v>
      </c>
      <c r="J81" s="3" t="s">
        <v>151</v>
      </c>
      <c r="K81" s="3" t="s">
        <v>151</v>
      </c>
      <c r="L81" s="3">
        <v>1</v>
      </c>
    </row>
    <row r="82" spans="3:12">
      <c r="C82" s="1" t="s">
        <v>20</v>
      </c>
      <c r="D82" s="1" t="s">
        <v>204</v>
      </c>
      <c r="E82" s="2">
        <v>26145382</v>
      </c>
      <c r="F82" s="1" t="s">
        <v>50</v>
      </c>
      <c r="G82" s="1" t="s">
        <v>56</v>
      </c>
      <c r="H82" s="3" t="s">
        <v>151</v>
      </c>
      <c r="I82" s="3" t="s">
        <v>151</v>
      </c>
      <c r="J82" s="3" t="s">
        <v>151</v>
      </c>
      <c r="K82" s="3" t="s">
        <v>151</v>
      </c>
      <c r="L82" s="3">
        <v>1</v>
      </c>
    </row>
    <row r="83" spans="3:12">
      <c r="C83" s="1" t="s">
        <v>20</v>
      </c>
      <c r="D83" s="1" t="s">
        <v>205</v>
      </c>
      <c r="E83" s="2">
        <v>25534806</v>
      </c>
      <c r="F83" s="1" t="s">
        <v>50</v>
      </c>
      <c r="G83" s="1" t="s">
        <v>56</v>
      </c>
      <c r="H83" s="3" t="s">
        <v>151</v>
      </c>
      <c r="I83" s="3" t="s">
        <v>151</v>
      </c>
      <c r="J83" s="3" t="s">
        <v>151</v>
      </c>
      <c r="K83" s="3" t="s">
        <v>151</v>
      </c>
      <c r="L83" s="3">
        <v>1</v>
      </c>
    </row>
    <row r="84" spans="3:12">
      <c r="C84" s="1" t="s">
        <v>20</v>
      </c>
      <c r="D84" s="1" t="s">
        <v>206</v>
      </c>
      <c r="E84" s="2">
        <v>20041117</v>
      </c>
      <c r="F84" s="1" t="s">
        <v>51</v>
      </c>
      <c r="G84" s="1" t="s">
        <v>56</v>
      </c>
      <c r="H84" s="3" t="s">
        <v>151</v>
      </c>
      <c r="I84" s="3" t="s">
        <v>151</v>
      </c>
      <c r="J84" s="3" t="s">
        <v>151</v>
      </c>
      <c r="K84" s="3" t="s">
        <v>151</v>
      </c>
      <c r="L84" s="3">
        <v>1</v>
      </c>
    </row>
    <row r="85" spans="3:12">
      <c r="C85" s="1" t="s">
        <v>261</v>
      </c>
      <c r="D85" s="1" t="s">
        <v>259</v>
      </c>
      <c r="E85" s="2">
        <v>18926859</v>
      </c>
      <c r="F85" s="1" t="s">
        <v>50</v>
      </c>
      <c r="G85" s="1" t="s">
        <v>56</v>
      </c>
      <c r="H85" s="3" t="s">
        <v>151</v>
      </c>
      <c r="I85" s="3" t="s">
        <v>151</v>
      </c>
      <c r="J85" s="3" t="s">
        <v>151</v>
      </c>
      <c r="K85" s="3" t="s">
        <v>151</v>
      </c>
      <c r="L85" s="3">
        <v>1</v>
      </c>
    </row>
    <row r="86" spans="3:12">
      <c r="C86" s="1" t="s">
        <v>261</v>
      </c>
      <c r="D86" s="1" t="s">
        <v>260</v>
      </c>
      <c r="E86" s="2">
        <v>14993247</v>
      </c>
      <c r="F86" s="1" t="s">
        <v>51</v>
      </c>
      <c r="G86" s="1" t="s">
        <v>56</v>
      </c>
      <c r="H86" s="3" t="s">
        <v>151</v>
      </c>
      <c r="I86" s="3" t="s">
        <v>151</v>
      </c>
      <c r="J86" s="3" t="s">
        <v>151</v>
      </c>
      <c r="K86" s="3" t="s">
        <v>151</v>
      </c>
      <c r="L86" s="3">
        <v>1</v>
      </c>
    </row>
    <row r="87" spans="3:12">
      <c r="C87" s="1" t="s">
        <v>261</v>
      </c>
      <c r="D87" s="1" t="s">
        <v>262</v>
      </c>
      <c r="E87" s="2">
        <v>22722734</v>
      </c>
      <c r="F87" s="1" t="s">
        <v>51</v>
      </c>
      <c r="G87" s="1" t="s">
        <v>56</v>
      </c>
      <c r="H87" s="3" t="s">
        <v>151</v>
      </c>
      <c r="I87" s="3" t="s">
        <v>151</v>
      </c>
      <c r="J87" s="3" t="s">
        <v>151</v>
      </c>
      <c r="K87" s="3" t="s">
        <v>151</v>
      </c>
      <c r="L87" s="3">
        <v>1</v>
      </c>
    </row>
    <row r="88" spans="3:12">
      <c r="C88" s="1" t="s">
        <v>279</v>
      </c>
      <c r="D88" s="1" t="s">
        <v>273</v>
      </c>
      <c r="E88" s="3">
        <v>17539249</v>
      </c>
      <c r="F88" s="1" t="s">
        <v>258</v>
      </c>
      <c r="G88" s="1" t="s">
        <v>56</v>
      </c>
      <c r="H88" s="3" t="s">
        <v>151</v>
      </c>
      <c r="I88" s="3" t="s">
        <v>151</v>
      </c>
      <c r="J88" s="3" t="s">
        <v>151</v>
      </c>
      <c r="K88" s="3" t="s">
        <v>151</v>
      </c>
      <c r="L88" s="3">
        <v>1</v>
      </c>
    </row>
    <row r="89" spans="3:12">
      <c r="C89" s="1" t="s">
        <v>279</v>
      </c>
      <c r="D89" s="1" t="s">
        <v>274</v>
      </c>
      <c r="E89" s="3">
        <v>15612027</v>
      </c>
      <c r="F89" s="1" t="s">
        <v>50</v>
      </c>
      <c r="G89" s="1" t="s">
        <v>56</v>
      </c>
      <c r="H89" s="3" t="s">
        <v>151</v>
      </c>
      <c r="I89" s="3" t="s">
        <v>151</v>
      </c>
      <c r="J89" s="3" t="s">
        <v>151</v>
      </c>
      <c r="K89" s="3" t="s">
        <v>151</v>
      </c>
      <c r="L89" s="3">
        <v>1</v>
      </c>
    </row>
    <row r="90" spans="3:12">
      <c r="C90" s="1" t="s">
        <v>279</v>
      </c>
      <c r="D90" s="1" t="s">
        <v>275</v>
      </c>
      <c r="E90" s="3">
        <v>18212648</v>
      </c>
      <c r="F90" s="1" t="s">
        <v>51</v>
      </c>
      <c r="G90" s="1" t="s">
        <v>56</v>
      </c>
      <c r="H90" s="3" t="s">
        <v>151</v>
      </c>
      <c r="I90" s="3" t="s">
        <v>151</v>
      </c>
      <c r="J90" s="3" t="s">
        <v>151</v>
      </c>
      <c r="K90" s="3" t="s">
        <v>151</v>
      </c>
      <c r="L90" s="3">
        <v>1</v>
      </c>
    </row>
    <row r="91" spans="3:12">
      <c r="C91" s="1" t="s">
        <v>279</v>
      </c>
      <c r="D91" s="1" t="s">
        <v>276</v>
      </c>
      <c r="E91" s="3">
        <v>17763315</v>
      </c>
      <c r="F91" s="1" t="s">
        <v>50</v>
      </c>
      <c r="G91" s="1" t="s">
        <v>56</v>
      </c>
      <c r="H91" s="3" t="s">
        <v>151</v>
      </c>
      <c r="I91" s="3" t="s">
        <v>151</v>
      </c>
      <c r="J91" s="3" t="s">
        <v>151</v>
      </c>
      <c r="K91" s="3" t="s">
        <v>151</v>
      </c>
      <c r="L91" s="3">
        <v>1</v>
      </c>
    </row>
    <row r="92" spans="3:12">
      <c r="C92" s="1" t="s">
        <v>279</v>
      </c>
      <c r="D92" s="1" t="s">
        <v>277</v>
      </c>
      <c r="E92" s="3">
        <v>26108367</v>
      </c>
      <c r="F92" s="1" t="s">
        <v>51</v>
      </c>
      <c r="G92" s="1" t="s">
        <v>56</v>
      </c>
      <c r="H92" s="3" t="s">
        <v>151</v>
      </c>
      <c r="I92" s="3" t="s">
        <v>151</v>
      </c>
      <c r="J92" s="3" t="s">
        <v>151</v>
      </c>
      <c r="K92" s="3" t="s">
        <v>151</v>
      </c>
      <c r="L92" s="3">
        <v>1</v>
      </c>
    </row>
    <row r="93" spans="3:12">
      <c r="C93" s="1" t="s">
        <v>279</v>
      </c>
      <c r="D93" s="1" t="s">
        <v>278</v>
      </c>
      <c r="E93" s="3">
        <v>28242185</v>
      </c>
      <c r="F93" s="1" t="s">
        <v>51</v>
      </c>
      <c r="G93" s="1" t="s">
        <v>56</v>
      </c>
      <c r="H93" s="3" t="s">
        <v>151</v>
      </c>
      <c r="I93" s="3" t="s">
        <v>151</v>
      </c>
      <c r="J93" s="3" t="s">
        <v>151</v>
      </c>
      <c r="K93" s="3" t="s">
        <v>151</v>
      </c>
      <c r="L93" s="3">
        <v>1</v>
      </c>
    </row>
    <row r="94" spans="3:12">
      <c r="C94" s="1" t="s">
        <v>279</v>
      </c>
      <c r="D94" s="1" t="s">
        <v>280</v>
      </c>
      <c r="E94" s="2">
        <v>21398841</v>
      </c>
      <c r="F94" s="1" t="s">
        <v>51</v>
      </c>
      <c r="G94" s="1" t="s">
        <v>56</v>
      </c>
      <c r="H94" s="3" t="s">
        <v>151</v>
      </c>
      <c r="I94" s="3" t="s">
        <v>151</v>
      </c>
      <c r="J94" s="3" t="s">
        <v>151</v>
      </c>
      <c r="K94" s="3" t="s">
        <v>151</v>
      </c>
      <c r="L94" s="3">
        <v>1</v>
      </c>
    </row>
    <row r="95" spans="3:12">
      <c r="C95" s="1" t="s">
        <v>0</v>
      </c>
      <c r="D95" s="1" t="s">
        <v>295</v>
      </c>
      <c r="E95" s="2">
        <v>29525255</v>
      </c>
      <c r="F95" s="1" t="s">
        <v>296</v>
      </c>
      <c r="G95" s="1" t="s">
        <v>56</v>
      </c>
      <c r="H95" s="3" t="s">
        <v>151</v>
      </c>
      <c r="I95" s="3" t="s">
        <v>151</v>
      </c>
      <c r="J95" s="3" t="s">
        <v>151</v>
      </c>
      <c r="K95" s="3" t="s">
        <v>151</v>
      </c>
      <c r="L95" s="3">
        <v>1</v>
      </c>
    </row>
    <row r="96" spans="3:12">
      <c r="C96" s="1" t="s">
        <v>0</v>
      </c>
      <c r="D96" s="1" t="s">
        <v>297</v>
      </c>
      <c r="E96" s="2">
        <v>27228497</v>
      </c>
      <c r="F96" s="1" t="s">
        <v>298</v>
      </c>
      <c r="G96" s="1" t="s">
        <v>56</v>
      </c>
      <c r="H96" s="3" t="s">
        <v>151</v>
      </c>
      <c r="I96" s="3" t="s">
        <v>151</v>
      </c>
      <c r="J96" s="3" t="s">
        <v>151</v>
      </c>
      <c r="K96" s="3" t="s">
        <v>151</v>
      </c>
      <c r="L96" s="3">
        <v>1</v>
      </c>
    </row>
    <row r="97" spans="3:12">
      <c r="C97" s="1" t="s">
        <v>0</v>
      </c>
      <c r="D97" s="1" t="s">
        <v>299</v>
      </c>
      <c r="E97" s="2">
        <v>23439354</v>
      </c>
      <c r="F97" s="1" t="s">
        <v>300</v>
      </c>
      <c r="G97" s="1" t="s">
        <v>56</v>
      </c>
      <c r="H97" s="3" t="s">
        <v>151</v>
      </c>
      <c r="I97" s="3" t="s">
        <v>151</v>
      </c>
      <c r="J97" s="3" t="s">
        <v>151</v>
      </c>
      <c r="K97" s="3" t="s">
        <v>151</v>
      </c>
      <c r="L97" s="3">
        <v>1</v>
      </c>
    </row>
    <row r="98" spans="3:12">
      <c r="C98" s="1" t="s">
        <v>0</v>
      </c>
      <c r="D98" s="1" t="s">
        <v>301</v>
      </c>
      <c r="E98" s="2">
        <v>24569140</v>
      </c>
      <c r="F98" s="1" t="s">
        <v>302</v>
      </c>
      <c r="G98" s="1" t="s">
        <v>56</v>
      </c>
      <c r="H98" s="3" t="s">
        <v>151</v>
      </c>
      <c r="I98" s="3" t="s">
        <v>151</v>
      </c>
      <c r="J98" s="3" t="s">
        <v>151</v>
      </c>
      <c r="K98" s="3" t="s">
        <v>151</v>
      </c>
      <c r="L98" s="3">
        <v>1</v>
      </c>
    </row>
    <row r="99" spans="3:12">
      <c r="C99" s="1" t="s">
        <v>0</v>
      </c>
      <c r="D99" s="1" t="s">
        <v>303</v>
      </c>
      <c r="E99" s="2">
        <v>27853422</v>
      </c>
      <c r="F99" s="1" t="s">
        <v>300</v>
      </c>
      <c r="G99" s="1" t="s">
        <v>56</v>
      </c>
      <c r="H99" s="3" t="s">
        <v>151</v>
      </c>
      <c r="I99" s="3" t="s">
        <v>151</v>
      </c>
      <c r="J99" s="3" t="s">
        <v>151</v>
      </c>
      <c r="K99" s="3" t="s">
        <v>151</v>
      </c>
      <c r="L99" s="3">
        <v>1</v>
      </c>
    </row>
    <row r="100" spans="3:12">
      <c r="C100" s="1" t="s">
        <v>0</v>
      </c>
      <c r="D100" s="1" t="s">
        <v>304</v>
      </c>
      <c r="E100" s="2">
        <v>16153508</v>
      </c>
      <c r="F100" s="1" t="s">
        <v>302</v>
      </c>
      <c r="G100" s="1" t="s">
        <v>56</v>
      </c>
      <c r="H100" s="3" t="s">
        <v>151</v>
      </c>
      <c r="I100" s="3" t="s">
        <v>151</v>
      </c>
      <c r="J100" s="3" t="s">
        <v>151</v>
      </c>
      <c r="K100" s="3" t="s">
        <v>151</v>
      </c>
      <c r="L100" s="3">
        <v>1</v>
      </c>
    </row>
    <row r="101" spans="3:12">
      <c r="C101" s="1" t="s">
        <v>0</v>
      </c>
      <c r="D101" s="1" t="s">
        <v>305</v>
      </c>
      <c r="E101" s="2">
        <v>23428900</v>
      </c>
      <c r="F101" s="1" t="s">
        <v>300</v>
      </c>
      <c r="G101" s="1" t="s">
        <v>56</v>
      </c>
      <c r="H101" s="3" t="s">
        <v>151</v>
      </c>
      <c r="I101" s="3" t="s">
        <v>151</v>
      </c>
      <c r="J101" s="3" t="s">
        <v>151</v>
      </c>
      <c r="K101" s="3" t="s">
        <v>151</v>
      </c>
      <c r="L101" s="3">
        <v>1</v>
      </c>
    </row>
    <row r="102" spans="3:12">
      <c r="C102" s="1" t="s">
        <v>0</v>
      </c>
      <c r="D102" s="1" t="s">
        <v>306</v>
      </c>
      <c r="E102" s="2">
        <v>27856677</v>
      </c>
      <c r="F102" s="1" t="s">
        <v>302</v>
      </c>
      <c r="G102" s="1" t="s">
        <v>56</v>
      </c>
      <c r="H102" s="3" t="s">
        <v>151</v>
      </c>
      <c r="I102" s="3" t="s">
        <v>151</v>
      </c>
      <c r="J102" s="3" t="s">
        <v>151</v>
      </c>
      <c r="K102" s="3" t="s">
        <v>151</v>
      </c>
      <c r="L102" s="3">
        <v>1</v>
      </c>
    </row>
    <row r="103" spans="3:12">
      <c r="C103" s="1" t="s">
        <v>0</v>
      </c>
      <c r="D103" s="1" t="s">
        <v>307</v>
      </c>
      <c r="E103" s="2">
        <v>27343317</v>
      </c>
      <c r="F103" s="1" t="s">
        <v>300</v>
      </c>
      <c r="G103" s="1" t="s">
        <v>56</v>
      </c>
      <c r="H103" s="3" t="s">
        <v>151</v>
      </c>
      <c r="I103" s="3" t="s">
        <v>151</v>
      </c>
      <c r="J103" s="3" t="s">
        <v>151</v>
      </c>
      <c r="K103" s="3" t="s">
        <v>151</v>
      </c>
      <c r="L103" s="3">
        <v>1</v>
      </c>
    </row>
    <row r="104" spans="3:12">
      <c r="C104" s="1" t="s">
        <v>0</v>
      </c>
      <c r="D104" s="1" t="s">
        <v>308</v>
      </c>
      <c r="E104" s="2">
        <v>22556069</v>
      </c>
      <c r="F104" s="1" t="s">
        <v>302</v>
      </c>
      <c r="G104" s="1" t="s">
        <v>56</v>
      </c>
      <c r="H104" s="3" t="s">
        <v>151</v>
      </c>
      <c r="I104" s="3" t="s">
        <v>151</v>
      </c>
      <c r="J104" s="3" t="s">
        <v>151</v>
      </c>
      <c r="K104" s="3" t="s">
        <v>151</v>
      </c>
      <c r="L104" s="3">
        <v>1</v>
      </c>
    </row>
    <row r="105" spans="3:12">
      <c r="C105" s="1" t="s">
        <v>0</v>
      </c>
      <c r="D105" s="1" t="s">
        <v>309</v>
      </c>
      <c r="E105" s="2">
        <v>26160665</v>
      </c>
      <c r="F105" s="1" t="s">
        <v>300</v>
      </c>
      <c r="G105" s="1" t="s">
        <v>56</v>
      </c>
      <c r="H105" s="3" t="s">
        <v>151</v>
      </c>
      <c r="I105" s="3" t="s">
        <v>151</v>
      </c>
      <c r="J105" s="3" t="s">
        <v>151</v>
      </c>
      <c r="K105" s="3" t="s">
        <v>151</v>
      </c>
      <c r="L105" s="3">
        <v>1</v>
      </c>
    </row>
    <row r="106" spans="3:12">
      <c r="C106" s="1" t="s">
        <v>0</v>
      </c>
      <c r="D106" s="1" t="s">
        <v>310</v>
      </c>
      <c r="E106" s="2">
        <v>22223195</v>
      </c>
      <c r="F106" s="1" t="s">
        <v>302</v>
      </c>
      <c r="G106" s="1" t="s">
        <v>56</v>
      </c>
      <c r="H106" s="3" t="s">
        <v>151</v>
      </c>
      <c r="I106" s="3" t="s">
        <v>151</v>
      </c>
      <c r="J106" s="3" t="s">
        <v>151</v>
      </c>
      <c r="K106" s="3" t="s">
        <v>151</v>
      </c>
      <c r="L106" s="3">
        <v>1</v>
      </c>
    </row>
    <row r="107" spans="3:12">
      <c r="C107" s="1" t="s">
        <v>0</v>
      </c>
      <c r="D107" s="1" t="s">
        <v>311</v>
      </c>
      <c r="E107" s="2">
        <v>26547722</v>
      </c>
      <c r="F107" s="1" t="s">
        <v>50</v>
      </c>
      <c r="G107" s="1" t="s">
        <v>56</v>
      </c>
      <c r="H107" s="3" t="s">
        <v>151</v>
      </c>
      <c r="I107" s="3" t="s">
        <v>151</v>
      </c>
      <c r="J107" s="3" t="s">
        <v>151</v>
      </c>
      <c r="K107" s="3" t="s">
        <v>151</v>
      </c>
      <c r="L107" s="3">
        <v>1</v>
      </c>
    </row>
    <row r="108" spans="3:12">
      <c r="C108" s="1" t="s">
        <v>0</v>
      </c>
      <c r="D108" s="1" t="s">
        <v>312</v>
      </c>
      <c r="E108" s="2">
        <v>18957458</v>
      </c>
      <c r="F108" s="1" t="s">
        <v>50</v>
      </c>
      <c r="G108" s="1" t="s">
        <v>56</v>
      </c>
      <c r="H108" s="3" t="s">
        <v>151</v>
      </c>
      <c r="I108" s="3" t="s">
        <v>151</v>
      </c>
      <c r="J108" s="3" t="s">
        <v>151</v>
      </c>
      <c r="K108" s="3" t="s">
        <v>151</v>
      </c>
      <c r="L108" s="3">
        <v>1</v>
      </c>
    </row>
    <row r="109" spans="3:12">
      <c r="C109" s="1" t="s">
        <v>0</v>
      </c>
      <c r="D109" s="1" t="s">
        <v>313</v>
      </c>
      <c r="E109" s="2">
        <v>21479038</v>
      </c>
      <c r="F109" s="1" t="s">
        <v>50</v>
      </c>
      <c r="G109" s="1" t="s">
        <v>56</v>
      </c>
      <c r="H109" s="3" t="s">
        <v>151</v>
      </c>
      <c r="I109" s="3" t="s">
        <v>151</v>
      </c>
      <c r="J109" s="3" t="s">
        <v>151</v>
      </c>
      <c r="K109" s="3" t="s">
        <v>151</v>
      </c>
      <c r="L109" s="3">
        <v>1</v>
      </c>
    </row>
    <row r="110" spans="3:12">
      <c r="C110" s="1" t="s">
        <v>0</v>
      </c>
      <c r="D110" s="1" t="s">
        <v>314</v>
      </c>
      <c r="E110" s="2">
        <v>27429749</v>
      </c>
      <c r="F110" s="1" t="s">
        <v>50</v>
      </c>
      <c r="G110" s="1" t="s">
        <v>56</v>
      </c>
      <c r="H110" s="3" t="s">
        <v>151</v>
      </c>
      <c r="I110" s="3" t="s">
        <v>151</v>
      </c>
      <c r="J110" s="3" t="s">
        <v>151</v>
      </c>
      <c r="K110" s="3" t="s">
        <v>151</v>
      </c>
      <c r="L110" s="3">
        <v>1</v>
      </c>
    </row>
    <row r="111" spans="3:12">
      <c r="C111" s="1" t="s">
        <v>0</v>
      </c>
      <c r="D111" s="1" t="s">
        <v>315</v>
      </c>
      <c r="E111" s="2">
        <v>21584523</v>
      </c>
      <c r="F111" s="1" t="s">
        <v>50</v>
      </c>
      <c r="G111" s="1" t="s">
        <v>56</v>
      </c>
      <c r="H111" s="3" t="s">
        <v>151</v>
      </c>
      <c r="I111" s="3" t="s">
        <v>151</v>
      </c>
      <c r="J111" s="3" t="s">
        <v>151</v>
      </c>
      <c r="K111" s="3" t="s">
        <v>151</v>
      </c>
      <c r="L111" s="3">
        <v>1</v>
      </c>
    </row>
    <row r="112" spans="3:12">
      <c r="C112" s="1" t="s">
        <v>0</v>
      </c>
      <c r="D112" s="1" t="s">
        <v>316</v>
      </c>
      <c r="E112" s="2">
        <v>24630491</v>
      </c>
      <c r="F112" s="1" t="s">
        <v>50</v>
      </c>
      <c r="G112" s="1" t="s">
        <v>56</v>
      </c>
      <c r="H112" s="3" t="s">
        <v>151</v>
      </c>
      <c r="I112" s="3" t="s">
        <v>151</v>
      </c>
      <c r="J112" s="3" t="s">
        <v>151</v>
      </c>
      <c r="K112" s="3" t="s">
        <v>151</v>
      </c>
      <c r="L112" s="3">
        <v>1</v>
      </c>
    </row>
    <row r="113" spans="3:12">
      <c r="C113" s="1" t="s">
        <v>0</v>
      </c>
      <c r="D113" s="1" t="s">
        <v>317</v>
      </c>
      <c r="E113" s="2">
        <v>27856396</v>
      </c>
      <c r="F113" s="1" t="s">
        <v>50</v>
      </c>
      <c r="G113" s="1" t="s">
        <v>56</v>
      </c>
      <c r="H113" s="3" t="s">
        <v>151</v>
      </c>
      <c r="I113" s="3" t="s">
        <v>151</v>
      </c>
      <c r="J113" s="3" t="s">
        <v>151</v>
      </c>
      <c r="K113" s="3" t="s">
        <v>151</v>
      </c>
      <c r="L113" s="3">
        <v>1</v>
      </c>
    </row>
    <row r="114" spans="3:12">
      <c r="C114" s="1" t="s">
        <v>0</v>
      </c>
      <c r="D114" s="1" t="s">
        <v>318</v>
      </c>
      <c r="E114" s="2">
        <v>18687283</v>
      </c>
      <c r="F114" s="1" t="s">
        <v>50</v>
      </c>
      <c r="G114" s="1" t="s">
        <v>56</v>
      </c>
      <c r="H114" s="3" t="s">
        <v>151</v>
      </c>
      <c r="I114" s="3" t="s">
        <v>151</v>
      </c>
      <c r="J114" s="3" t="s">
        <v>151</v>
      </c>
      <c r="K114" s="3" t="s">
        <v>151</v>
      </c>
      <c r="L114" s="3">
        <v>1</v>
      </c>
    </row>
    <row r="115" spans="3:12">
      <c r="C115" s="1" t="s">
        <v>0</v>
      </c>
      <c r="D115" s="1" t="s">
        <v>319</v>
      </c>
      <c r="E115" s="2">
        <v>21242031</v>
      </c>
      <c r="F115" s="1" t="s">
        <v>50</v>
      </c>
      <c r="G115" s="1" t="s">
        <v>56</v>
      </c>
      <c r="H115" s="3" t="s">
        <v>151</v>
      </c>
      <c r="I115" s="3" t="s">
        <v>151</v>
      </c>
      <c r="J115" s="3" t="s">
        <v>151</v>
      </c>
      <c r="K115" s="3" t="s">
        <v>151</v>
      </c>
      <c r="L115" s="3">
        <v>1</v>
      </c>
    </row>
    <row r="116" spans="3:12">
      <c r="C116" s="1" t="s">
        <v>0</v>
      </c>
      <c r="D116" s="1" t="s">
        <v>320</v>
      </c>
      <c r="E116" s="2">
        <v>19843038</v>
      </c>
      <c r="F116" s="1" t="s">
        <v>50</v>
      </c>
      <c r="G116" s="1" t="s">
        <v>56</v>
      </c>
      <c r="H116" s="3" t="s">
        <v>151</v>
      </c>
      <c r="I116" s="3" t="s">
        <v>151</v>
      </c>
      <c r="J116" s="3" t="s">
        <v>151</v>
      </c>
      <c r="K116" s="3" t="s">
        <v>151</v>
      </c>
      <c r="L116" s="3">
        <v>1</v>
      </c>
    </row>
    <row r="117" spans="3:12">
      <c r="C117" s="1" t="s">
        <v>0</v>
      </c>
      <c r="D117" s="1" t="s">
        <v>321</v>
      </c>
      <c r="E117" s="2">
        <v>17258128</v>
      </c>
      <c r="F117" s="1" t="s">
        <v>50</v>
      </c>
      <c r="G117" s="1" t="s">
        <v>56</v>
      </c>
      <c r="H117" s="3" t="s">
        <v>151</v>
      </c>
      <c r="I117" s="3" t="s">
        <v>151</v>
      </c>
      <c r="J117" s="3" t="s">
        <v>151</v>
      </c>
      <c r="K117" s="3" t="s">
        <v>151</v>
      </c>
      <c r="L117" s="3">
        <v>1</v>
      </c>
    </row>
    <row r="118" spans="3:12">
      <c r="C118" s="1" t="s">
        <v>0</v>
      </c>
      <c r="D118" s="1" t="s">
        <v>322</v>
      </c>
      <c r="E118" s="2">
        <v>26505710</v>
      </c>
      <c r="F118" s="1" t="s">
        <v>50</v>
      </c>
      <c r="G118" s="1" t="s">
        <v>56</v>
      </c>
      <c r="H118" s="3" t="s">
        <v>151</v>
      </c>
      <c r="I118" s="3" t="s">
        <v>151</v>
      </c>
      <c r="J118" s="3" t="s">
        <v>151</v>
      </c>
      <c r="K118" s="3" t="s">
        <v>151</v>
      </c>
      <c r="L118" s="3">
        <v>1</v>
      </c>
    </row>
    <row r="119" spans="3:12">
      <c r="C119" s="1" t="s">
        <v>0</v>
      </c>
      <c r="D119" s="1" t="s">
        <v>323</v>
      </c>
      <c r="E119" s="2">
        <v>18611353</v>
      </c>
      <c r="F119" s="1" t="s">
        <v>50</v>
      </c>
      <c r="G119" s="1" t="s">
        <v>56</v>
      </c>
      <c r="H119" s="3" t="s">
        <v>151</v>
      </c>
      <c r="I119" s="3" t="s">
        <v>151</v>
      </c>
      <c r="J119" s="3" t="s">
        <v>151</v>
      </c>
      <c r="K119" s="3" t="s">
        <v>151</v>
      </c>
      <c r="L119" s="3">
        <v>1</v>
      </c>
    </row>
    <row r="120" spans="3:12">
      <c r="C120" s="1" t="s">
        <v>0</v>
      </c>
      <c r="D120" s="1" t="s">
        <v>324</v>
      </c>
      <c r="E120" s="2">
        <v>12477987</v>
      </c>
      <c r="F120" s="1" t="s">
        <v>50</v>
      </c>
      <c r="G120" s="1" t="s">
        <v>56</v>
      </c>
      <c r="H120" s="3" t="s">
        <v>151</v>
      </c>
      <c r="I120" s="3" t="s">
        <v>151</v>
      </c>
      <c r="J120" s="3" t="s">
        <v>151</v>
      </c>
      <c r="K120" s="3" t="s">
        <v>151</v>
      </c>
      <c r="L120" s="3">
        <v>1</v>
      </c>
    </row>
    <row r="121" spans="3:12">
      <c r="C121" s="1" t="s">
        <v>0</v>
      </c>
      <c r="D121" s="1" t="s">
        <v>325</v>
      </c>
      <c r="E121" s="2">
        <v>10983025</v>
      </c>
      <c r="F121" s="1" t="s">
        <v>50</v>
      </c>
      <c r="G121" s="1" t="s">
        <v>56</v>
      </c>
      <c r="H121" s="3" t="s">
        <v>151</v>
      </c>
      <c r="I121" s="3" t="s">
        <v>151</v>
      </c>
      <c r="J121" s="3" t="s">
        <v>151</v>
      </c>
      <c r="K121" s="3" t="s">
        <v>151</v>
      </c>
      <c r="L121" s="3">
        <v>1</v>
      </c>
    </row>
    <row r="122" spans="3:12">
      <c r="C122" s="1" t="s">
        <v>0</v>
      </c>
      <c r="D122" s="1" t="s">
        <v>326</v>
      </c>
      <c r="E122" s="2">
        <v>19021731</v>
      </c>
      <c r="F122" s="1" t="s">
        <v>50</v>
      </c>
      <c r="G122" s="1" t="s">
        <v>56</v>
      </c>
      <c r="H122" s="3" t="s">
        <v>151</v>
      </c>
      <c r="I122" s="3" t="s">
        <v>151</v>
      </c>
      <c r="J122" s="3" t="s">
        <v>151</v>
      </c>
      <c r="K122" s="3" t="s">
        <v>151</v>
      </c>
      <c r="L122" s="3">
        <v>1</v>
      </c>
    </row>
    <row r="123" spans="3:12">
      <c r="C123" s="1" t="s">
        <v>0</v>
      </c>
      <c r="D123" s="1" t="s">
        <v>327</v>
      </c>
      <c r="E123" s="2">
        <v>24423848</v>
      </c>
      <c r="F123" s="1" t="s">
        <v>50</v>
      </c>
      <c r="G123" s="1" t="s">
        <v>56</v>
      </c>
      <c r="H123" s="3" t="s">
        <v>151</v>
      </c>
      <c r="I123" s="3" t="s">
        <v>151</v>
      </c>
      <c r="J123" s="3" t="s">
        <v>151</v>
      </c>
      <c r="K123" s="3" t="s">
        <v>151</v>
      </c>
      <c r="L123" s="3">
        <v>1</v>
      </c>
    </row>
    <row r="124" spans="3:12">
      <c r="C124" s="1" t="s">
        <v>0</v>
      </c>
      <c r="D124" s="1" t="s">
        <v>328</v>
      </c>
      <c r="E124" s="2">
        <v>17066007</v>
      </c>
      <c r="F124" s="1" t="s">
        <v>50</v>
      </c>
      <c r="G124" s="1" t="s">
        <v>56</v>
      </c>
      <c r="H124" s="3" t="s">
        <v>151</v>
      </c>
      <c r="I124" s="3" t="s">
        <v>151</v>
      </c>
      <c r="J124" s="3" t="s">
        <v>151</v>
      </c>
      <c r="K124" s="3" t="s">
        <v>151</v>
      </c>
      <c r="L124" s="3">
        <v>1</v>
      </c>
    </row>
    <row r="125" spans="3:12">
      <c r="C125" s="1" t="s">
        <v>0</v>
      </c>
      <c r="D125" s="1" t="s">
        <v>329</v>
      </c>
      <c r="E125" s="2">
        <v>19983654</v>
      </c>
      <c r="F125" s="1" t="s">
        <v>50</v>
      </c>
      <c r="G125" s="1" t="s">
        <v>56</v>
      </c>
      <c r="H125" s="3" t="s">
        <v>151</v>
      </c>
      <c r="I125" s="3" t="s">
        <v>151</v>
      </c>
      <c r="J125" s="3" t="s">
        <v>151</v>
      </c>
      <c r="K125" s="3" t="s">
        <v>151</v>
      </c>
      <c r="L125" s="3">
        <v>1</v>
      </c>
    </row>
    <row r="126" spans="3:12">
      <c r="C126" s="1" t="s">
        <v>0</v>
      </c>
      <c r="D126" s="1" t="s">
        <v>330</v>
      </c>
      <c r="E126" s="2">
        <v>22510930</v>
      </c>
      <c r="F126" s="1" t="s">
        <v>50</v>
      </c>
      <c r="G126" s="1" t="s">
        <v>56</v>
      </c>
      <c r="H126" s="3" t="s">
        <v>151</v>
      </c>
      <c r="I126" s="3" t="s">
        <v>151</v>
      </c>
      <c r="J126" s="3" t="s">
        <v>151</v>
      </c>
      <c r="K126" s="3" t="s">
        <v>151</v>
      </c>
      <c r="L126" s="3">
        <v>1</v>
      </c>
    </row>
    <row r="127" spans="3:12">
      <c r="C127" s="1" t="s">
        <v>0</v>
      </c>
      <c r="D127" s="1" t="s">
        <v>331</v>
      </c>
      <c r="E127" s="2">
        <v>20162683</v>
      </c>
      <c r="F127" s="1" t="s">
        <v>50</v>
      </c>
      <c r="G127" s="1" t="s">
        <v>56</v>
      </c>
      <c r="H127" s="3" t="s">
        <v>151</v>
      </c>
      <c r="I127" s="3" t="s">
        <v>151</v>
      </c>
      <c r="J127" s="3" t="s">
        <v>151</v>
      </c>
      <c r="K127" s="3" t="s">
        <v>151</v>
      </c>
      <c r="L127" s="3">
        <v>1</v>
      </c>
    </row>
    <row r="128" spans="3:12">
      <c r="C128" s="1" t="s">
        <v>0</v>
      </c>
      <c r="D128" s="1" t="s">
        <v>332</v>
      </c>
      <c r="E128" s="2">
        <v>25317710</v>
      </c>
      <c r="F128" s="1" t="s">
        <v>50</v>
      </c>
      <c r="G128" s="1" t="s">
        <v>56</v>
      </c>
      <c r="H128" s="3" t="s">
        <v>151</v>
      </c>
      <c r="I128" s="3" t="s">
        <v>151</v>
      </c>
      <c r="J128" s="3" t="s">
        <v>151</v>
      </c>
      <c r="K128" s="3" t="s">
        <v>151</v>
      </c>
      <c r="L128" s="3">
        <v>1</v>
      </c>
    </row>
    <row r="129" spans="3:14">
      <c r="C129" s="1" t="s">
        <v>0</v>
      </c>
      <c r="D129" s="1" t="s">
        <v>333</v>
      </c>
      <c r="E129" s="2">
        <v>13518832</v>
      </c>
      <c r="F129" s="1" t="s">
        <v>50</v>
      </c>
      <c r="G129" s="1" t="s">
        <v>56</v>
      </c>
      <c r="H129" s="3" t="s">
        <v>151</v>
      </c>
      <c r="I129" s="3" t="s">
        <v>151</v>
      </c>
      <c r="J129" s="3" t="s">
        <v>151</v>
      </c>
      <c r="K129" s="3" t="s">
        <v>151</v>
      </c>
      <c r="L129" s="3">
        <v>1</v>
      </c>
    </row>
    <row r="130" spans="3:14">
      <c r="C130" s="1" t="s">
        <v>0</v>
      </c>
      <c r="D130" s="1" t="s">
        <v>334</v>
      </c>
      <c r="E130" s="2">
        <v>19129032</v>
      </c>
      <c r="F130" s="1" t="s">
        <v>50</v>
      </c>
      <c r="G130" s="1" t="s">
        <v>56</v>
      </c>
      <c r="H130" s="3" t="s">
        <v>151</v>
      </c>
      <c r="I130" s="3" t="s">
        <v>151</v>
      </c>
      <c r="J130" s="3" t="s">
        <v>151</v>
      </c>
      <c r="K130" s="3" t="s">
        <v>151</v>
      </c>
      <c r="L130" s="3">
        <v>1</v>
      </c>
    </row>
    <row r="131" spans="3:14">
      <c r="C131" s="1" t="s">
        <v>0</v>
      </c>
      <c r="D131" s="1" t="s">
        <v>335</v>
      </c>
      <c r="E131" s="2">
        <v>15310284</v>
      </c>
      <c r="F131" s="1" t="s">
        <v>50</v>
      </c>
      <c r="G131" s="1" t="s">
        <v>56</v>
      </c>
      <c r="H131" s="3" t="s">
        <v>151</v>
      </c>
      <c r="I131" s="3" t="s">
        <v>151</v>
      </c>
      <c r="J131" s="3" t="s">
        <v>151</v>
      </c>
      <c r="K131" s="3" t="s">
        <v>151</v>
      </c>
      <c r="L131" s="3">
        <v>1</v>
      </c>
    </row>
    <row r="132" spans="3:14">
      <c r="C132" s="1" t="s">
        <v>0</v>
      </c>
      <c r="D132" s="1" t="s">
        <v>336</v>
      </c>
      <c r="E132" s="2">
        <v>22515360</v>
      </c>
      <c r="F132" s="1" t="s">
        <v>50</v>
      </c>
      <c r="G132" s="1" t="s">
        <v>56</v>
      </c>
      <c r="H132" s="3" t="s">
        <v>151</v>
      </c>
      <c r="I132" s="3" t="s">
        <v>151</v>
      </c>
      <c r="J132" s="3" t="s">
        <v>151</v>
      </c>
      <c r="K132" s="3" t="s">
        <v>151</v>
      </c>
      <c r="L132" s="3">
        <v>1</v>
      </c>
    </row>
    <row r="133" spans="3:14">
      <c r="N133">
        <v>1</v>
      </c>
    </row>
    <row r="134" spans="3:14">
      <c r="N134">
        <v>82</v>
      </c>
    </row>
    <row r="135" spans="3:14">
      <c r="N135">
        <v>43</v>
      </c>
    </row>
    <row r="136" spans="3:14">
      <c r="N136">
        <v>2</v>
      </c>
    </row>
    <row r="137" spans="3:14">
      <c r="N137">
        <f>SUM(N133:N136)</f>
        <v>128</v>
      </c>
    </row>
  </sheetData>
  <dataValidations disablePrompts="1" count="1">
    <dataValidation type="list" allowBlank="1" showInputMessage="1" showErrorMessage="1" sqref="G5:G132">
      <formula1>$N$5:$N$8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207"/>
  <sheetViews>
    <sheetView workbookViewId="0">
      <selection activeCell="E205" sqref="E205"/>
    </sheetView>
  </sheetViews>
  <sheetFormatPr baseColWidth="10" defaultRowHeight="15"/>
  <cols>
    <col min="2" max="2" width="17" customWidth="1"/>
    <col min="3" max="3" width="45.42578125" bestFit="1" customWidth="1"/>
    <col min="4" max="4" width="10.140625" style="5" bestFit="1" customWidth="1"/>
    <col min="5" max="5" width="32" bestFit="1" customWidth="1"/>
    <col min="6" max="6" width="30.42578125" bestFit="1" customWidth="1"/>
    <col min="10" max="10" width="31.42578125" customWidth="1"/>
  </cols>
  <sheetData>
    <row r="1" spans="2:10" s="1" customFormat="1">
      <c r="D1" s="5"/>
    </row>
    <row r="2" spans="2:10" s="1" customFormat="1">
      <c r="D2" s="5"/>
    </row>
    <row r="3" spans="2:10" s="1" customFormat="1">
      <c r="D3" s="5"/>
    </row>
    <row r="4" spans="2:10" s="1" customFormat="1">
      <c r="D4" s="5"/>
    </row>
    <row r="5" spans="2:10" s="1" customFormat="1">
      <c r="D5" s="5"/>
    </row>
    <row r="6" spans="2:10">
      <c r="J6" t="s">
        <v>52</v>
      </c>
    </row>
    <row r="7" spans="2:10">
      <c r="B7" t="s">
        <v>44</v>
      </c>
      <c r="C7" t="s">
        <v>45</v>
      </c>
      <c r="D7" s="3" t="s">
        <v>46</v>
      </c>
      <c r="E7" t="s">
        <v>47</v>
      </c>
      <c r="F7" t="s">
        <v>368</v>
      </c>
      <c r="G7" t="s">
        <v>289</v>
      </c>
      <c r="J7" t="s">
        <v>53</v>
      </c>
    </row>
    <row r="8" spans="2:10" ht="15.75" hidden="1">
      <c r="B8" s="11" t="s">
        <v>0</v>
      </c>
      <c r="C8" s="11" t="s">
        <v>5</v>
      </c>
      <c r="D8" s="12">
        <v>17811795</v>
      </c>
      <c r="E8" s="13" t="s">
        <v>50</v>
      </c>
      <c r="F8" s="11" t="s">
        <v>53</v>
      </c>
      <c r="G8" s="11">
        <v>1</v>
      </c>
      <c r="J8" t="s">
        <v>389</v>
      </c>
    </row>
    <row r="9" spans="2:10" ht="15.75" hidden="1">
      <c r="B9" s="11" t="s">
        <v>0</v>
      </c>
      <c r="C9" s="11" t="s">
        <v>7</v>
      </c>
      <c r="D9" s="12">
        <v>29785845</v>
      </c>
      <c r="E9" s="13" t="s">
        <v>50</v>
      </c>
      <c r="F9" s="11" t="s">
        <v>53</v>
      </c>
      <c r="G9" s="11">
        <v>1</v>
      </c>
      <c r="J9" t="s">
        <v>405</v>
      </c>
    </row>
    <row r="10" spans="2:10" ht="15.75" hidden="1">
      <c r="B10" s="11" t="s">
        <v>0</v>
      </c>
      <c r="C10" s="11" t="s">
        <v>9</v>
      </c>
      <c r="D10" s="12">
        <v>18611964</v>
      </c>
      <c r="E10" s="13" t="s">
        <v>50</v>
      </c>
      <c r="F10" s="11" t="s">
        <v>53</v>
      </c>
      <c r="G10" s="11">
        <v>1</v>
      </c>
      <c r="J10" t="s">
        <v>55</v>
      </c>
    </row>
    <row r="11" spans="2:10" ht="15.75" hidden="1">
      <c r="B11" s="11" t="s">
        <v>0</v>
      </c>
      <c r="C11" s="11" t="s">
        <v>11</v>
      </c>
      <c r="D11" s="12">
        <v>17595772</v>
      </c>
      <c r="E11" s="13" t="s">
        <v>50</v>
      </c>
      <c r="F11" s="11" t="s">
        <v>53</v>
      </c>
      <c r="G11" s="11">
        <v>1</v>
      </c>
      <c r="J11" t="s">
        <v>56</v>
      </c>
    </row>
    <row r="12" spans="2:10" ht="15.75" hidden="1">
      <c r="B12" s="11" t="s">
        <v>0</v>
      </c>
      <c r="C12" s="11" t="s">
        <v>2</v>
      </c>
      <c r="D12" s="12">
        <v>30046821</v>
      </c>
      <c r="E12" s="13" t="s">
        <v>51</v>
      </c>
      <c r="F12" s="11" t="s">
        <v>53</v>
      </c>
      <c r="G12" s="11">
        <v>1</v>
      </c>
    </row>
    <row r="13" spans="2:10" ht="15.75" hidden="1">
      <c r="B13" s="11" t="s">
        <v>0</v>
      </c>
      <c r="C13" s="11" t="s">
        <v>4</v>
      </c>
      <c r="D13" s="12">
        <v>17990552</v>
      </c>
      <c r="E13" s="13" t="s">
        <v>51</v>
      </c>
      <c r="F13" s="11" t="s">
        <v>53</v>
      </c>
      <c r="G13" s="11">
        <v>1</v>
      </c>
    </row>
    <row r="14" spans="2:10" ht="15.75" hidden="1">
      <c r="B14" s="11" t="s">
        <v>0</v>
      </c>
      <c r="C14" s="11" t="s">
        <v>6</v>
      </c>
      <c r="D14" s="12">
        <v>14379748</v>
      </c>
      <c r="E14" s="13" t="s">
        <v>51</v>
      </c>
      <c r="F14" s="11" t="s">
        <v>53</v>
      </c>
      <c r="G14" s="11">
        <v>1</v>
      </c>
    </row>
    <row r="15" spans="2:10" ht="15.75" hidden="1">
      <c r="B15" s="11" t="s">
        <v>0</v>
      </c>
      <c r="C15" s="11" t="s">
        <v>8</v>
      </c>
      <c r="D15" s="12">
        <v>18468285</v>
      </c>
      <c r="E15" s="13" t="s">
        <v>51</v>
      </c>
      <c r="F15" s="11" t="s">
        <v>53</v>
      </c>
      <c r="G15" s="11">
        <v>1</v>
      </c>
    </row>
    <row r="16" spans="2:10" ht="15.75" hidden="1">
      <c r="B16" s="11" t="s">
        <v>0</v>
      </c>
      <c r="C16" s="11" t="s">
        <v>14</v>
      </c>
      <c r="D16" s="12">
        <v>18254802</v>
      </c>
      <c r="E16" s="13" t="s">
        <v>51</v>
      </c>
      <c r="F16" s="11" t="s">
        <v>53</v>
      </c>
      <c r="G16" s="11">
        <v>1</v>
      </c>
    </row>
    <row r="17" spans="2:7" hidden="1">
      <c r="B17" t="s">
        <v>15</v>
      </c>
      <c r="C17" t="s">
        <v>19</v>
      </c>
      <c r="D17" s="5">
        <v>28580507</v>
      </c>
      <c r="E17" t="s">
        <v>51</v>
      </c>
      <c r="F17" s="1" t="s">
        <v>53</v>
      </c>
      <c r="G17" s="1">
        <v>1</v>
      </c>
    </row>
    <row r="18" spans="2:7" hidden="1">
      <c r="B18" t="s">
        <v>20</v>
      </c>
      <c r="C18" t="s">
        <v>25</v>
      </c>
      <c r="D18" s="5">
        <v>14414733</v>
      </c>
      <c r="E18" t="s">
        <v>50</v>
      </c>
      <c r="F18" s="1" t="s">
        <v>53</v>
      </c>
      <c r="G18" s="1">
        <v>1</v>
      </c>
    </row>
    <row r="19" spans="2:7" hidden="1">
      <c r="B19" t="s">
        <v>20</v>
      </c>
      <c r="C19" t="s">
        <v>22</v>
      </c>
      <c r="D19" s="5">
        <v>25954162</v>
      </c>
      <c r="E19" t="s">
        <v>51</v>
      </c>
      <c r="F19" s="1" t="s">
        <v>53</v>
      </c>
      <c r="G19" s="1">
        <v>1</v>
      </c>
    </row>
    <row r="20" spans="2:7" hidden="1">
      <c r="B20" t="s">
        <v>20</v>
      </c>
      <c r="C20" t="s">
        <v>24</v>
      </c>
      <c r="D20" s="5">
        <v>28339838</v>
      </c>
      <c r="E20" t="s">
        <v>51</v>
      </c>
      <c r="F20" s="1" t="s">
        <v>53</v>
      </c>
      <c r="G20" s="1">
        <v>1</v>
      </c>
    </row>
    <row r="21" spans="2:7" hidden="1">
      <c r="B21" t="s">
        <v>20</v>
      </c>
      <c r="C21" t="s">
        <v>26</v>
      </c>
      <c r="D21" s="5">
        <v>24793644</v>
      </c>
      <c r="E21" t="s">
        <v>51</v>
      </c>
      <c r="F21" s="1" t="s">
        <v>53</v>
      </c>
      <c r="G21" s="1">
        <v>1</v>
      </c>
    </row>
    <row r="22" spans="2:7" hidden="1">
      <c r="B22" t="s">
        <v>27</v>
      </c>
      <c r="C22" t="s">
        <v>28</v>
      </c>
      <c r="D22" s="5">
        <v>31068327</v>
      </c>
      <c r="E22" t="s">
        <v>50</v>
      </c>
      <c r="F22" s="1" t="s">
        <v>53</v>
      </c>
      <c r="G22" s="1">
        <v>1</v>
      </c>
    </row>
    <row r="23" spans="2:7" hidden="1">
      <c r="B23" t="s">
        <v>27</v>
      </c>
      <c r="C23" t="s">
        <v>29</v>
      </c>
      <c r="D23" s="5">
        <v>14301139</v>
      </c>
      <c r="E23" t="s">
        <v>50</v>
      </c>
      <c r="F23" s="1" t="s">
        <v>53</v>
      </c>
      <c r="G23" s="1">
        <v>1</v>
      </c>
    </row>
    <row r="24" spans="2:7" hidden="1">
      <c r="B24" t="s">
        <v>27</v>
      </c>
      <c r="C24" t="s">
        <v>30</v>
      </c>
      <c r="D24" s="5">
        <v>19257168</v>
      </c>
      <c r="E24" t="s">
        <v>51</v>
      </c>
      <c r="F24" s="1" t="s">
        <v>53</v>
      </c>
      <c r="G24" s="1">
        <v>1</v>
      </c>
    </row>
    <row r="25" spans="2:7" hidden="1">
      <c r="B25" t="s">
        <v>36</v>
      </c>
      <c r="C25" t="s">
        <v>37</v>
      </c>
      <c r="D25" s="5">
        <v>27867242</v>
      </c>
      <c r="E25" t="s">
        <v>50</v>
      </c>
      <c r="F25" s="1" t="s">
        <v>53</v>
      </c>
      <c r="G25" s="1">
        <v>1</v>
      </c>
    </row>
    <row r="26" spans="2:7" hidden="1">
      <c r="B26" t="s">
        <v>36</v>
      </c>
      <c r="C26" t="s">
        <v>38</v>
      </c>
      <c r="D26" s="5">
        <v>18972727</v>
      </c>
      <c r="E26" t="s">
        <v>51</v>
      </c>
      <c r="F26" s="1" t="s">
        <v>53</v>
      </c>
      <c r="G26" s="1">
        <v>1</v>
      </c>
    </row>
    <row r="27" spans="2:7">
      <c r="B27" t="s">
        <v>39</v>
      </c>
      <c r="C27" t="s">
        <v>393</v>
      </c>
      <c r="D27" s="5">
        <v>10877686</v>
      </c>
      <c r="E27" t="s">
        <v>394</v>
      </c>
      <c r="F27" s="1" t="s">
        <v>56</v>
      </c>
      <c r="G27" s="1">
        <v>1</v>
      </c>
    </row>
    <row r="28" spans="2:7">
      <c r="B28" t="s">
        <v>39</v>
      </c>
      <c r="C28" t="s">
        <v>395</v>
      </c>
      <c r="D28" s="5">
        <v>28468116</v>
      </c>
      <c r="E28" s="1" t="s">
        <v>394</v>
      </c>
      <c r="F28" s="1" t="s">
        <v>389</v>
      </c>
      <c r="G28" s="1">
        <v>1</v>
      </c>
    </row>
    <row r="29" spans="2:7">
      <c r="B29" t="s">
        <v>39</v>
      </c>
      <c r="C29" t="s">
        <v>396</v>
      </c>
      <c r="D29" s="5">
        <v>12032334</v>
      </c>
      <c r="E29" s="1" t="s">
        <v>394</v>
      </c>
      <c r="F29" s="1" t="s">
        <v>389</v>
      </c>
      <c r="G29" s="1">
        <v>1</v>
      </c>
    </row>
    <row r="30" spans="2:7">
      <c r="B30" t="s">
        <v>39</v>
      </c>
      <c r="C30" t="s">
        <v>397</v>
      </c>
      <c r="D30" s="5">
        <v>30441499</v>
      </c>
      <c r="E30" t="s">
        <v>398</v>
      </c>
      <c r="F30" s="1" t="s">
        <v>56</v>
      </c>
      <c r="G30" s="1">
        <v>1</v>
      </c>
    </row>
    <row r="31" spans="2:7" hidden="1">
      <c r="B31" s="1" t="s">
        <v>15</v>
      </c>
      <c r="C31" t="s">
        <v>90</v>
      </c>
      <c r="D31" s="5">
        <v>28257470</v>
      </c>
      <c r="E31" t="s">
        <v>51</v>
      </c>
      <c r="F31" t="s">
        <v>54</v>
      </c>
      <c r="G31" s="1">
        <v>1</v>
      </c>
    </row>
    <row r="32" spans="2:7" hidden="1">
      <c r="B32" t="s">
        <v>69</v>
      </c>
      <c r="C32" t="s">
        <v>91</v>
      </c>
      <c r="D32" s="5">
        <v>29559448</v>
      </c>
      <c r="E32" s="1" t="s">
        <v>51</v>
      </c>
      <c r="F32" s="1" t="s">
        <v>54</v>
      </c>
      <c r="G32" s="1">
        <v>1</v>
      </c>
    </row>
    <row r="33" spans="2:7" hidden="1">
      <c r="B33" s="1" t="s">
        <v>69</v>
      </c>
      <c r="C33" t="s">
        <v>92</v>
      </c>
      <c r="D33" s="5">
        <v>25468705</v>
      </c>
      <c r="E33" s="1" t="s">
        <v>51</v>
      </c>
      <c r="F33" s="1" t="s">
        <v>54</v>
      </c>
      <c r="G33" s="1">
        <v>1</v>
      </c>
    </row>
    <row r="34" spans="2:7" hidden="1">
      <c r="B34" t="s">
        <v>27</v>
      </c>
      <c r="C34" t="s">
        <v>93</v>
      </c>
      <c r="E34" t="s">
        <v>50</v>
      </c>
      <c r="F34" s="1" t="s">
        <v>54</v>
      </c>
      <c r="G34" s="1">
        <v>1</v>
      </c>
    </row>
    <row r="35" spans="2:7" hidden="1">
      <c r="B35" s="1" t="s">
        <v>27</v>
      </c>
      <c r="C35" t="s">
        <v>94</v>
      </c>
      <c r="E35" s="1" t="s">
        <v>50</v>
      </c>
      <c r="F35" s="1" t="s">
        <v>54</v>
      </c>
      <c r="G35" s="1">
        <v>1</v>
      </c>
    </row>
    <row r="36" spans="2:7" hidden="1">
      <c r="B36" s="1" t="s">
        <v>27</v>
      </c>
      <c r="C36" t="s">
        <v>95</v>
      </c>
      <c r="E36" t="s">
        <v>51</v>
      </c>
      <c r="F36" s="1" t="s">
        <v>54</v>
      </c>
      <c r="G36" s="1">
        <v>1</v>
      </c>
    </row>
    <row r="37" spans="2:7" hidden="1">
      <c r="B37" s="1" t="s">
        <v>27</v>
      </c>
      <c r="C37" t="s">
        <v>96</v>
      </c>
      <c r="E37" s="1" t="s">
        <v>51</v>
      </c>
      <c r="F37" s="1" t="s">
        <v>54</v>
      </c>
      <c r="G37" s="1">
        <v>1</v>
      </c>
    </row>
    <row r="38" spans="2:7" ht="15.75" hidden="1">
      <c r="B38" s="11" t="s">
        <v>0</v>
      </c>
      <c r="C38" s="11" t="s">
        <v>120</v>
      </c>
      <c r="D38" s="12">
        <v>24972191</v>
      </c>
      <c r="E38" s="13" t="s">
        <v>50</v>
      </c>
      <c r="F38" s="11" t="s">
        <v>55</v>
      </c>
      <c r="G38" s="11">
        <v>1</v>
      </c>
    </row>
    <row r="39" spans="2:7" ht="15.75" hidden="1">
      <c r="B39" s="11" t="s">
        <v>0</v>
      </c>
      <c r="C39" s="11" t="s">
        <v>121</v>
      </c>
      <c r="D39" s="14">
        <v>18422251</v>
      </c>
      <c r="E39" s="13" t="s">
        <v>51</v>
      </c>
      <c r="F39" s="11" t="s">
        <v>55</v>
      </c>
      <c r="G39" s="11">
        <v>1</v>
      </c>
    </row>
    <row r="40" spans="2:7" ht="15.75" hidden="1">
      <c r="B40" s="11" t="s">
        <v>0</v>
      </c>
      <c r="C40" s="11" t="s">
        <v>122</v>
      </c>
      <c r="D40" s="12">
        <v>14383233</v>
      </c>
      <c r="E40" s="13" t="s">
        <v>50</v>
      </c>
      <c r="F40" s="11" t="s">
        <v>55</v>
      </c>
      <c r="G40" s="11">
        <v>1</v>
      </c>
    </row>
    <row r="41" spans="2:7" ht="15.75" hidden="1">
      <c r="B41" s="11" t="s">
        <v>0</v>
      </c>
      <c r="C41" s="11" t="s">
        <v>123</v>
      </c>
      <c r="D41" s="12">
        <v>28082113</v>
      </c>
      <c r="E41" s="13" t="s">
        <v>51</v>
      </c>
      <c r="F41" s="11" t="s">
        <v>55</v>
      </c>
      <c r="G41" s="11">
        <v>1</v>
      </c>
    </row>
    <row r="42" spans="2:7" ht="15.75" hidden="1">
      <c r="B42" s="11" t="s">
        <v>0</v>
      </c>
      <c r="C42" s="11" t="s">
        <v>124</v>
      </c>
      <c r="D42" s="15">
        <v>16104188</v>
      </c>
      <c r="E42" s="13" t="s">
        <v>51</v>
      </c>
      <c r="F42" s="11" t="s">
        <v>55</v>
      </c>
      <c r="G42" s="11">
        <v>1</v>
      </c>
    </row>
    <row r="43" spans="2:7" ht="15.75" hidden="1">
      <c r="B43" s="11" t="s">
        <v>0</v>
      </c>
      <c r="C43" s="11" t="s">
        <v>125</v>
      </c>
      <c r="D43" s="12">
        <v>26233912</v>
      </c>
      <c r="E43" s="13" t="s">
        <v>50</v>
      </c>
      <c r="F43" s="11" t="s">
        <v>55</v>
      </c>
      <c r="G43" s="11">
        <v>1</v>
      </c>
    </row>
    <row r="44" spans="2:7" ht="15.75" hidden="1">
      <c r="B44" s="11" t="s">
        <v>0</v>
      </c>
      <c r="C44" s="11" t="s">
        <v>126</v>
      </c>
      <c r="D44" s="12">
        <v>28529130</v>
      </c>
      <c r="E44" s="13" t="s">
        <v>50</v>
      </c>
      <c r="F44" s="11" t="s">
        <v>55</v>
      </c>
      <c r="G44" s="11">
        <v>1</v>
      </c>
    </row>
    <row r="45" spans="2:7" ht="15.75" hidden="1">
      <c r="B45" s="11" t="s">
        <v>0</v>
      </c>
      <c r="C45" s="11" t="s">
        <v>127</v>
      </c>
      <c r="D45" s="12">
        <v>26086041</v>
      </c>
      <c r="E45" s="13" t="s">
        <v>51</v>
      </c>
      <c r="F45" s="11" t="s">
        <v>55</v>
      </c>
      <c r="G45" s="11">
        <v>1</v>
      </c>
    </row>
    <row r="46" spans="2:7" ht="15.75" hidden="1">
      <c r="B46" s="11" t="s">
        <v>0</v>
      </c>
      <c r="C46" s="11" t="s">
        <v>128</v>
      </c>
      <c r="D46" s="12">
        <v>20700337</v>
      </c>
      <c r="E46" s="13" t="s">
        <v>50</v>
      </c>
      <c r="F46" s="11" t="s">
        <v>55</v>
      </c>
      <c r="G46" s="11">
        <v>1</v>
      </c>
    </row>
    <row r="47" spans="2:7" ht="15.75" hidden="1">
      <c r="B47" s="11" t="s">
        <v>0</v>
      </c>
      <c r="C47" s="11" t="s">
        <v>129</v>
      </c>
      <c r="D47" s="12">
        <v>19667127</v>
      </c>
      <c r="E47" s="13" t="s">
        <v>51</v>
      </c>
      <c r="F47" s="11" t="s">
        <v>55</v>
      </c>
      <c r="G47" s="11">
        <v>1</v>
      </c>
    </row>
    <row r="48" spans="2:7" ht="15.75" hidden="1">
      <c r="B48" s="11" t="s">
        <v>0</v>
      </c>
      <c r="C48" s="11" t="s">
        <v>130</v>
      </c>
      <c r="D48" s="12">
        <v>24710684</v>
      </c>
      <c r="E48" s="13" t="s">
        <v>50</v>
      </c>
      <c r="F48" s="11" t="s">
        <v>55</v>
      </c>
      <c r="G48" s="11">
        <v>1</v>
      </c>
    </row>
    <row r="49" spans="2:7" ht="15.75" hidden="1">
      <c r="B49" s="11" t="s">
        <v>0</v>
      </c>
      <c r="C49" s="11" t="s">
        <v>131</v>
      </c>
      <c r="D49" s="12">
        <v>27084198</v>
      </c>
      <c r="E49" s="13" t="s">
        <v>51</v>
      </c>
      <c r="F49" s="11" t="s">
        <v>55</v>
      </c>
      <c r="G49" s="11">
        <v>1</v>
      </c>
    </row>
    <row r="50" spans="2:7" ht="15.75" hidden="1">
      <c r="B50" s="11" t="s">
        <v>0</v>
      </c>
      <c r="C50" s="11" t="s">
        <v>132</v>
      </c>
      <c r="D50" s="12">
        <v>19621336</v>
      </c>
      <c r="E50" s="13" t="s">
        <v>51</v>
      </c>
      <c r="F50" s="11" t="s">
        <v>55</v>
      </c>
      <c r="G50" s="11">
        <v>1</v>
      </c>
    </row>
    <row r="51" spans="2:7" ht="15.75" hidden="1">
      <c r="B51" s="11" t="s">
        <v>0</v>
      </c>
      <c r="C51" s="11" t="s">
        <v>133</v>
      </c>
      <c r="D51" s="12">
        <v>15496280</v>
      </c>
      <c r="E51" s="13" t="s">
        <v>50</v>
      </c>
      <c r="F51" s="11" t="s">
        <v>55</v>
      </c>
      <c r="G51" s="11">
        <v>1</v>
      </c>
    </row>
    <row r="52" spans="2:7" ht="15.75" hidden="1">
      <c r="B52" s="11" t="s">
        <v>0</v>
      </c>
      <c r="C52" s="11" t="s">
        <v>134</v>
      </c>
      <c r="D52" s="12">
        <v>24859431</v>
      </c>
      <c r="E52" s="13" t="s">
        <v>50</v>
      </c>
      <c r="F52" s="11" t="s">
        <v>55</v>
      </c>
      <c r="G52" s="11">
        <v>1</v>
      </c>
    </row>
    <row r="53" spans="2:7" ht="15.75" hidden="1">
      <c r="B53" s="11" t="s">
        <v>0</v>
      </c>
      <c r="C53" s="11" t="s">
        <v>135</v>
      </c>
      <c r="D53" s="12">
        <v>12753168</v>
      </c>
      <c r="E53" s="13" t="s">
        <v>51</v>
      </c>
      <c r="F53" s="11" t="s">
        <v>55</v>
      </c>
      <c r="G53" s="11">
        <v>1</v>
      </c>
    </row>
    <row r="54" spans="2:7" ht="15.75" hidden="1">
      <c r="B54" s="11" t="s">
        <v>0</v>
      </c>
      <c r="C54" s="11" t="s">
        <v>136</v>
      </c>
      <c r="D54" s="12">
        <v>19666658</v>
      </c>
      <c r="E54" s="13" t="s">
        <v>51</v>
      </c>
      <c r="F54" s="11" t="s">
        <v>55</v>
      </c>
      <c r="G54" s="11">
        <v>1</v>
      </c>
    </row>
    <row r="55" spans="2:7" ht="15.75" hidden="1">
      <c r="B55" s="11" t="s">
        <v>0</v>
      </c>
      <c r="C55" s="11" t="s">
        <v>137</v>
      </c>
      <c r="D55" s="12">
        <v>27502430</v>
      </c>
      <c r="E55" s="13" t="s">
        <v>50</v>
      </c>
      <c r="F55" s="11" t="s">
        <v>55</v>
      </c>
      <c r="G55" s="11">
        <v>1</v>
      </c>
    </row>
    <row r="56" spans="2:7" ht="15.75" hidden="1">
      <c r="B56" s="11" t="s">
        <v>0</v>
      </c>
      <c r="C56" s="11" t="s">
        <v>138</v>
      </c>
      <c r="D56" s="12">
        <v>29812447</v>
      </c>
      <c r="E56" s="13" t="s">
        <v>51</v>
      </c>
      <c r="F56" s="11" t="s">
        <v>55</v>
      </c>
      <c r="G56" s="11">
        <v>1</v>
      </c>
    </row>
    <row r="57" spans="2:7" hidden="1">
      <c r="B57" t="s">
        <v>27</v>
      </c>
      <c r="C57" t="s">
        <v>139</v>
      </c>
      <c r="E57" t="s">
        <v>50</v>
      </c>
      <c r="F57" s="1" t="s">
        <v>55</v>
      </c>
      <c r="G57" s="1">
        <v>1</v>
      </c>
    </row>
    <row r="58" spans="2:7" hidden="1">
      <c r="B58" s="1" t="s">
        <v>27</v>
      </c>
      <c r="C58" t="s">
        <v>140</v>
      </c>
      <c r="E58" t="s">
        <v>50</v>
      </c>
      <c r="F58" s="1" t="s">
        <v>55</v>
      </c>
      <c r="G58" s="1">
        <v>1</v>
      </c>
    </row>
    <row r="59" spans="2:7" hidden="1">
      <c r="B59" s="1" t="s">
        <v>27</v>
      </c>
      <c r="C59" t="s">
        <v>141</v>
      </c>
      <c r="E59" t="s">
        <v>51</v>
      </c>
      <c r="F59" s="1" t="s">
        <v>55</v>
      </c>
      <c r="G59" s="1">
        <v>1</v>
      </c>
    </row>
    <row r="60" spans="2:7" hidden="1">
      <c r="B60" s="1" t="s">
        <v>27</v>
      </c>
      <c r="C60" t="s">
        <v>142</v>
      </c>
      <c r="E60" t="s">
        <v>51</v>
      </c>
      <c r="F60" s="1" t="s">
        <v>55</v>
      </c>
      <c r="G60" s="1">
        <v>1</v>
      </c>
    </row>
    <row r="61" spans="2:7" hidden="1">
      <c r="B61" s="1" t="s">
        <v>27</v>
      </c>
      <c r="C61" t="s">
        <v>143</v>
      </c>
      <c r="E61" t="s">
        <v>50</v>
      </c>
      <c r="F61" s="1" t="s">
        <v>55</v>
      </c>
      <c r="G61" s="1">
        <v>1</v>
      </c>
    </row>
    <row r="62" spans="2:7" hidden="1">
      <c r="B62" s="1" t="s">
        <v>27</v>
      </c>
      <c r="C62" t="s">
        <v>144</v>
      </c>
      <c r="E62" t="s">
        <v>50</v>
      </c>
      <c r="F62" s="1" t="s">
        <v>55</v>
      </c>
      <c r="G62" s="1">
        <v>1</v>
      </c>
    </row>
    <row r="63" spans="2:7" hidden="1">
      <c r="B63" s="1" t="s">
        <v>27</v>
      </c>
      <c r="C63" t="s">
        <v>145</v>
      </c>
      <c r="E63" t="s">
        <v>50</v>
      </c>
      <c r="F63" s="1" t="s">
        <v>55</v>
      </c>
      <c r="G63" s="1">
        <v>1</v>
      </c>
    </row>
    <row r="64" spans="2:7" hidden="1">
      <c r="B64" s="1" t="s">
        <v>27</v>
      </c>
      <c r="C64" t="s">
        <v>146</v>
      </c>
      <c r="E64" t="s">
        <v>51</v>
      </c>
      <c r="F64" s="1" t="s">
        <v>55</v>
      </c>
      <c r="G64" s="1">
        <v>1</v>
      </c>
    </row>
    <row r="65" spans="2:7" hidden="1">
      <c r="B65" s="1" t="s">
        <v>27</v>
      </c>
      <c r="C65" t="s">
        <v>152</v>
      </c>
      <c r="D65" s="5">
        <v>16509925</v>
      </c>
      <c r="E65" t="s">
        <v>50</v>
      </c>
      <c r="F65" t="s">
        <v>56</v>
      </c>
      <c r="G65" s="1">
        <v>1</v>
      </c>
    </row>
    <row r="66" spans="2:7" hidden="1">
      <c r="B66" s="1" t="s">
        <v>27</v>
      </c>
      <c r="C66" t="s">
        <v>153</v>
      </c>
      <c r="D66" s="5">
        <v>21195076</v>
      </c>
      <c r="E66" s="1" t="s">
        <v>50</v>
      </c>
      <c r="F66" s="1" t="s">
        <v>56</v>
      </c>
      <c r="G66" s="1">
        <v>1</v>
      </c>
    </row>
    <row r="67" spans="2:7" hidden="1">
      <c r="B67" s="1" t="s">
        <v>27</v>
      </c>
      <c r="C67" t="s">
        <v>154</v>
      </c>
      <c r="D67" s="5">
        <v>28338494</v>
      </c>
      <c r="E67" s="1" t="s">
        <v>50</v>
      </c>
      <c r="F67" s="1" t="s">
        <v>56</v>
      </c>
      <c r="G67" s="1">
        <v>1</v>
      </c>
    </row>
    <row r="68" spans="2:7" hidden="1">
      <c r="B68" s="1" t="s">
        <v>27</v>
      </c>
      <c r="C68" t="s">
        <v>155</v>
      </c>
      <c r="D68" s="5">
        <v>18554085</v>
      </c>
      <c r="E68" s="1" t="s">
        <v>50</v>
      </c>
      <c r="F68" s="1" t="s">
        <v>56</v>
      </c>
      <c r="G68" s="1">
        <v>1</v>
      </c>
    </row>
    <row r="69" spans="2:7" hidden="1">
      <c r="B69" s="1" t="s">
        <v>27</v>
      </c>
      <c r="C69" t="s">
        <v>156</v>
      </c>
      <c r="D69" s="5">
        <v>15587040</v>
      </c>
      <c r="E69" s="1" t="s">
        <v>50</v>
      </c>
      <c r="F69" s="1" t="s">
        <v>56</v>
      </c>
      <c r="G69" s="1">
        <v>1</v>
      </c>
    </row>
    <row r="70" spans="2:7" hidden="1">
      <c r="B70" s="1" t="s">
        <v>27</v>
      </c>
      <c r="C70" t="s">
        <v>157</v>
      </c>
      <c r="D70" s="5">
        <v>20127698</v>
      </c>
      <c r="E70" t="s">
        <v>51</v>
      </c>
      <c r="F70" s="1" t="s">
        <v>56</v>
      </c>
      <c r="G70" s="1">
        <v>1</v>
      </c>
    </row>
    <row r="71" spans="2:7" hidden="1">
      <c r="B71" s="1" t="s">
        <v>27</v>
      </c>
      <c r="C71" t="s">
        <v>158</v>
      </c>
      <c r="D71" s="5">
        <v>18270472</v>
      </c>
      <c r="E71" s="1" t="s">
        <v>51</v>
      </c>
      <c r="F71" s="1" t="s">
        <v>56</v>
      </c>
      <c r="G71" s="1">
        <v>1</v>
      </c>
    </row>
    <row r="72" spans="2:7" hidden="1">
      <c r="B72" s="1" t="s">
        <v>27</v>
      </c>
      <c r="C72" t="s">
        <v>159</v>
      </c>
      <c r="D72" s="5">
        <v>17152866</v>
      </c>
      <c r="E72" s="1" t="s">
        <v>51</v>
      </c>
      <c r="F72" s="1" t="s">
        <v>56</v>
      </c>
      <c r="G72" s="1">
        <v>1</v>
      </c>
    </row>
    <row r="73" spans="2:7" hidden="1">
      <c r="B73" s="1" t="s">
        <v>27</v>
      </c>
      <c r="C73" t="s">
        <v>160</v>
      </c>
      <c r="D73" s="5">
        <v>17562063</v>
      </c>
      <c r="E73" s="1" t="s">
        <v>51</v>
      </c>
      <c r="F73" s="1" t="s">
        <v>56</v>
      </c>
      <c r="G73" s="1">
        <v>1</v>
      </c>
    </row>
    <row r="74" spans="2:7" hidden="1">
      <c r="B74" s="1" t="s">
        <v>27</v>
      </c>
      <c r="C74" t="s">
        <v>161</v>
      </c>
      <c r="D74" s="5">
        <v>14758526</v>
      </c>
      <c r="E74" s="1" t="s">
        <v>51</v>
      </c>
      <c r="F74" s="1" t="s">
        <v>56</v>
      </c>
      <c r="G74" s="1">
        <v>1</v>
      </c>
    </row>
    <row r="75" spans="2:7" hidden="1">
      <c r="B75" t="s">
        <v>31</v>
      </c>
      <c r="C75" t="s">
        <v>182</v>
      </c>
      <c r="D75" s="5">
        <v>27554969</v>
      </c>
      <c r="E75" t="s">
        <v>50</v>
      </c>
      <c r="F75" t="s">
        <v>56</v>
      </c>
      <c r="G75" s="1">
        <v>1</v>
      </c>
    </row>
    <row r="76" spans="2:7" hidden="1">
      <c r="B76" s="1" t="s">
        <v>15</v>
      </c>
      <c r="C76" t="s">
        <v>188</v>
      </c>
      <c r="D76" s="5">
        <v>27949628</v>
      </c>
      <c r="E76" s="1" t="s">
        <v>50</v>
      </c>
      <c r="F76" s="1" t="s">
        <v>56</v>
      </c>
      <c r="G76" s="1">
        <v>1</v>
      </c>
    </row>
    <row r="77" spans="2:7" hidden="1">
      <c r="B77" s="1" t="s">
        <v>15</v>
      </c>
      <c r="C77" t="s">
        <v>189</v>
      </c>
      <c r="D77" s="5">
        <v>29838138</v>
      </c>
      <c r="E77" t="s">
        <v>51</v>
      </c>
      <c r="F77" s="1" t="s">
        <v>56</v>
      </c>
      <c r="G77" s="1">
        <v>1</v>
      </c>
    </row>
    <row r="78" spans="2:7" hidden="1">
      <c r="B78" s="1" t="s">
        <v>15</v>
      </c>
      <c r="C78" t="s">
        <v>190</v>
      </c>
      <c r="D78" s="5">
        <v>17536067</v>
      </c>
      <c r="E78" s="1" t="s">
        <v>51</v>
      </c>
      <c r="F78" s="1" t="s">
        <v>56</v>
      </c>
      <c r="G78" s="1">
        <v>1</v>
      </c>
    </row>
    <row r="79" spans="2:7" hidden="1">
      <c r="B79" s="1" t="s">
        <v>15</v>
      </c>
      <c r="C79" t="s">
        <v>191</v>
      </c>
      <c r="D79" s="5">
        <v>8295161</v>
      </c>
      <c r="E79" s="1" t="s">
        <v>51</v>
      </c>
      <c r="F79" s="1" t="s">
        <v>56</v>
      </c>
      <c r="G79" s="1">
        <v>1</v>
      </c>
    </row>
    <row r="80" spans="2:7" hidden="1">
      <c r="B80" s="1" t="s">
        <v>15</v>
      </c>
      <c r="C80" t="s">
        <v>192</v>
      </c>
      <c r="D80" s="5">
        <v>20096292</v>
      </c>
      <c r="E80" t="s">
        <v>50</v>
      </c>
      <c r="F80" s="1" t="s">
        <v>56</v>
      </c>
      <c r="G80" s="1">
        <v>1</v>
      </c>
    </row>
    <row r="81" spans="2:7" hidden="1">
      <c r="B81" s="1" t="s">
        <v>15</v>
      </c>
      <c r="C81" t="s">
        <v>193</v>
      </c>
      <c r="D81" s="5">
        <v>19961459</v>
      </c>
      <c r="E81" t="s">
        <v>51</v>
      </c>
      <c r="F81" s="1" t="s">
        <v>56</v>
      </c>
      <c r="G81" s="1">
        <v>1</v>
      </c>
    </row>
    <row r="82" spans="2:7" hidden="1">
      <c r="B82" s="1" t="s">
        <v>15</v>
      </c>
      <c r="C82" t="s">
        <v>194</v>
      </c>
      <c r="D82" s="5">
        <v>26065677</v>
      </c>
      <c r="E82" s="1" t="s">
        <v>51</v>
      </c>
      <c r="F82" s="1" t="s">
        <v>56</v>
      </c>
      <c r="G82" s="1">
        <v>1</v>
      </c>
    </row>
    <row r="83" spans="2:7" hidden="1">
      <c r="B83" s="1" t="s">
        <v>15</v>
      </c>
      <c r="C83" t="s">
        <v>195</v>
      </c>
      <c r="D83" s="5">
        <v>28065678</v>
      </c>
      <c r="E83" s="1" t="s">
        <v>51</v>
      </c>
      <c r="F83" s="1" t="s">
        <v>56</v>
      </c>
      <c r="G83" s="1">
        <v>1</v>
      </c>
    </row>
    <row r="84" spans="2:7" hidden="1">
      <c r="B84" t="s">
        <v>69</v>
      </c>
      <c r="C84" t="s">
        <v>196</v>
      </c>
      <c r="D84" s="5">
        <v>12204043</v>
      </c>
      <c r="E84" t="s">
        <v>50</v>
      </c>
      <c r="F84" s="1" t="s">
        <v>56</v>
      </c>
      <c r="G84" s="1">
        <v>1</v>
      </c>
    </row>
    <row r="85" spans="2:7" hidden="1">
      <c r="B85" s="1" t="s">
        <v>69</v>
      </c>
      <c r="C85" t="s">
        <v>197</v>
      </c>
      <c r="D85" s="5">
        <v>28546747</v>
      </c>
      <c r="E85" t="s">
        <v>51</v>
      </c>
      <c r="F85" s="1" t="s">
        <v>56</v>
      </c>
      <c r="G85" s="1">
        <v>1</v>
      </c>
    </row>
    <row r="86" spans="2:7" hidden="1">
      <c r="B86" s="1" t="s">
        <v>69</v>
      </c>
      <c r="C86" t="s">
        <v>198</v>
      </c>
      <c r="D86" s="5">
        <v>25033526</v>
      </c>
      <c r="E86" s="1" t="s">
        <v>51</v>
      </c>
      <c r="F86" s="1" t="s">
        <v>56</v>
      </c>
      <c r="G86" s="1">
        <v>1</v>
      </c>
    </row>
    <row r="87" spans="2:7" hidden="1">
      <c r="B87" s="1" t="s">
        <v>69</v>
      </c>
      <c r="C87" t="s">
        <v>199</v>
      </c>
      <c r="D87" s="5">
        <v>18117004</v>
      </c>
      <c r="E87" s="1" t="s">
        <v>51</v>
      </c>
      <c r="F87" s="1" t="s">
        <v>56</v>
      </c>
      <c r="G87" s="1">
        <v>1</v>
      </c>
    </row>
    <row r="88" spans="2:7" hidden="1">
      <c r="B88" s="1" t="s">
        <v>69</v>
      </c>
      <c r="C88" t="s">
        <v>200</v>
      </c>
      <c r="D88" s="5">
        <v>19187119</v>
      </c>
      <c r="E88" t="s">
        <v>50</v>
      </c>
      <c r="F88" s="1" t="s">
        <v>56</v>
      </c>
      <c r="G88" s="1">
        <v>1</v>
      </c>
    </row>
    <row r="89" spans="2:7" hidden="1">
      <c r="B89" s="1" t="s">
        <v>69</v>
      </c>
      <c r="C89" t="s">
        <v>201</v>
      </c>
      <c r="D89" s="5">
        <v>16475090</v>
      </c>
      <c r="E89" t="s">
        <v>51</v>
      </c>
      <c r="F89" s="1" t="s">
        <v>56</v>
      </c>
      <c r="G89" s="1">
        <v>1</v>
      </c>
    </row>
    <row r="90" spans="2:7" hidden="1">
      <c r="B90" t="s">
        <v>20</v>
      </c>
      <c r="C90" t="s">
        <v>207</v>
      </c>
      <c r="D90" s="5">
        <v>18850224</v>
      </c>
      <c r="E90" s="1" t="s">
        <v>51</v>
      </c>
      <c r="F90" s="1" t="s">
        <v>56</v>
      </c>
      <c r="G90" s="1">
        <v>1</v>
      </c>
    </row>
    <row r="91" spans="2:7" hidden="1">
      <c r="B91" s="1" t="s">
        <v>20</v>
      </c>
      <c r="C91" t="s">
        <v>208</v>
      </c>
      <c r="D91" s="5">
        <v>22597048</v>
      </c>
      <c r="E91" s="1" t="s">
        <v>51</v>
      </c>
      <c r="F91" s="1" t="s">
        <v>56</v>
      </c>
      <c r="G91" s="1">
        <v>1</v>
      </c>
    </row>
    <row r="92" spans="2:7" hidden="1">
      <c r="B92" s="1" t="s">
        <v>20</v>
      </c>
      <c r="C92" t="s">
        <v>209</v>
      </c>
      <c r="D92" s="5">
        <v>19182485</v>
      </c>
      <c r="E92" s="1" t="s">
        <v>51</v>
      </c>
      <c r="F92" s="1" t="s">
        <v>56</v>
      </c>
      <c r="G92" s="1">
        <v>1</v>
      </c>
    </row>
    <row r="93" spans="2:7" hidden="1">
      <c r="B93" s="1" t="s">
        <v>20</v>
      </c>
      <c r="C93" t="s">
        <v>210</v>
      </c>
      <c r="D93" s="5">
        <v>19357155</v>
      </c>
      <c r="E93" s="1" t="s">
        <v>51</v>
      </c>
      <c r="F93" s="1" t="s">
        <v>56</v>
      </c>
      <c r="G93" s="1">
        <v>1</v>
      </c>
    </row>
    <row r="94" spans="2:7" hidden="1">
      <c r="B94" s="1" t="s">
        <v>20</v>
      </c>
      <c r="C94" t="s">
        <v>211</v>
      </c>
      <c r="D94" s="5">
        <v>20641121</v>
      </c>
      <c r="E94" t="s">
        <v>50</v>
      </c>
      <c r="F94" s="1" t="s">
        <v>56</v>
      </c>
      <c r="G94" s="1">
        <v>1</v>
      </c>
    </row>
    <row r="95" spans="2:7" hidden="1">
      <c r="B95" s="1" t="s">
        <v>20</v>
      </c>
      <c r="C95" t="s">
        <v>212</v>
      </c>
      <c r="D95" s="5">
        <v>26400401</v>
      </c>
      <c r="E95" t="s">
        <v>51</v>
      </c>
      <c r="F95" s="1" t="s">
        <v>56</v>
      </c>
      <c r="G95" s="1">
        <v>1</v>
      </c>
    </row>
    <row r="96" spans="2:7" hidden="1">
      <c r="B96" s="1" t="s">
        <v>20</v>
      </c>
      <c r="C96" t="s">
        <v>213</v>
      </c>
      <c r="D96" s="5">
        <v>23959129</v>
      </c>
      <c r="E96" t="s">
        <v>50</v>
      </c>
      <c r="F96" s="1" t="s">
        <v>56</v>
      </c>
      <c r="G96" s="1">
        <v>1</v>
      </c>
    </row>
    <row r="97" spans="2:7" hidden="1">
      <c r="B97" s="1" t="s">
        <v>20</v>
      </c>
      <c r="C97" t="s">
        <v>214</v>
      </c>
      <c r="D97" s="5">
        <v>19542063</v>
      </c>
      <c r="E97" t="s">
        <v>51</v>
      </c>
      <c r="F97" s="1" t="s">
        <v>56</v>
      </c>
      <c r="G97" s="1">
        <v>1</v>
      </c>
    </row>
    <row r="98" spans="2:7" hidden="1">
      <c r="B98" s="1" t="s">
        <v>20</v>
      </c>
      <c r="C98" t="s">
        <v>215</v>
      </c>
      <c r="D98" s="5">
        <v>24793601</v>
      </c>
      <c r="E98" t="s">
        <v>50</v>
      </c>
      <c r="F98" s="1" t="s">
        <v>56</v>
      </c>
      <c r="G98" s="1">
        <v>1</v>
      </c>
    </row>
    <row r="99" spans="2:7" hidden="1">
      <c r="B99" s="1" t="s">
        <v>20</v>
      </c>
      <c r="C99" t="s">
        <v>225</v>
      </c>
      <c r="D99" s="5">
        <v>29920753</v>
      </c>
      <c r="E99" t="s">
        <v>51</v>
      </c>
      <c r="F99" s="1" t="s">
        <v>56</v>
      </c>
      <c r="G99" s="1">
        <v>1</v>
      </c>
    </row>
    <row r="100" spans="2:7" hidden="1">
      <c r="B100" s="1" t="s">
        <v>20</v>
      </c>
      <c r="C100" t="s">
        <v>216</v>
      </c>
      <c r="D100" s="5">
        <v>25954652</v>
      </c>
      <c r="E100" t="s">
        <v>50</v>
      </c>
      <c r="F100" s="1" t="s">
        <v>56</v>
      </c>
      <c r="G100" s="1">
        <v>1</v>
      </c>
    </row>
    <row r="101" spans="2:7" hidden="1">
      <c r="B101" s="1" t="s">
        <v>20</v>
      </c>
      <c r="C101" t="s">
        <v>217</v>
      </c>
      <c r="D101" s="5">
        <v>24247265</v>
      </c>
      <c r="E101" t="s">
        <v>51</v>
      </c>
      <c r="F101" s="1" t="s">
        <v>56</v>
      </c>
      <c r="G101" s="1">
        <v>1</v>
      </c>
    </row>
    <row r="102" spans="2:7" hidden="1">
      <c r="B102" s="1" t="s">
        <v>20</v>
      </c>
      <c r="C102" t="s">
        <v>218</v>
      </c>
      <c r="D102" s="5">
        <v>19356963</v>
      </c>
      <c r="E102" t="s">
        <v>50</v>
      </c>
      <c r="F102" s="1" t="s">
        <v>56</v>
      </c>
      <c r="G102" s="1">
        <v>1</v>
      </c>
    </row>
    <row r="103" spans="2:7" hidden="1">
      <c r="B103" s="1" t="s">
        <v>20</v>
      </c>
      <c r="C103" t="s">
        <v>219</v>
      </c>
      <c r="D103" s="5">
        <v>25419738</v>
      </c>
      <c r="E103" t="s">
        <v>51</v>
      </c>
      <c r="F103" s="1" t="s">
        <v>56</v>
      </c>
      <c r="G103" s="1">
        <v>1</v>
      </c>
    </row>
    <row r="104" spans="2:7" hidden="1">
      <c r="B104" s="1" t="s">
        <v>20</v>
      </c>
      <c r="C104" t="s">
        <v>220</v>
      </c>
      <c r="D104" s="5">
        <v>21139746</v>
      </c>
      <c r="E104" t="s">
        <v>50</v>
      </c>
      <c r="F104" s="1" t="s">
        <v>56</v>
      </c>
      <c r="G104" s="1">
        <v>1</v>
      </c>
    </row>
    <row r="105" spans="2:7" hidden="1">
      <c r="B105" s="1" t="s">
        <v>20</v>
      </c>
      <c r="C105" t="s">
        <v>221</v>
      </c>
      <c r="D105" s="5">
        <v>30241946</v>
      </c>
      <c r="E105" t="s">
        <v>51</v>
      </c>
      <c r="F105" s="1" t="s">
        <v>56</v>
      </c>
      <c r="G105" s="1">
        <v>1</v>
      </c>
    </row>
    <row r="106" spans="2:7" hidden="1">
      <c r="B106" s="1" t="s">
        <v>20</v>
      </c>
      <c r="C106" t="s">
        <v>222</v>
      </c>
      <c r="D106" s="5">
        <v>29525224</v>
      </c>
      <c r="E106" t="s">
        <v>50</v>
      </c>
      <c r="F106" s="1" t="s">
        <v>56</v>
      </c>
      <c r="G106" s="1">
        <v>1</v>
      </c>
    </row>
    <row r="107" spans="2:7" hidden="1">
      <c r="B107" s="1" t="s">
        <v>20</v>
      </c>
      <c r="C107" t="s">
        <v>223</v>
      </c>
      <c r="D107" s="5">
        <v>31903946</v>
      </c>
      <c r="E107" t="s">
        <v>51</v>
      </c>
      <c r="F107" s="1" t="s">
        <v>56</v>
      </c>
      <c r="G107" s="1">
        <v>1</v>
      </c>
    </row>
    <row r="108" spans="2:7" hidden="1">
      <c r="B108" s="1" t="s">
        <v>20</v>
      </c>
      <c r="C108" t="s">
        <v>224</v>
      </c>
      <c r="D108" s="5">
        <v>10992362</v>
      </c>
      <c r="E108" t="s">
        <v>50</v>
      </c>
      <c r="F108" s="1" t="s">
        <v>56</v>
      </c>
      <c r="G108" s="1">
        <v>1</v>
      </c>
    </row>
    <row r="109" spans="2:7" hidden="1">
      <c r="B109" t="s">
        <v>36</v>
      </c>
      <c r="C109" t="s">
        <v>226</v>
      </c>
      <c r="E109" t="s">
        <v>50</v>
      </c>
      <c r="F109" s="1" t="s">
        <v>56</v>
      </c>
      <c r="G109" s="1">
        <v>1</v>
      </c>
    </row>
    <row r="110" spans="2:7" hidden="1">
      <c r="B110" s="1" t="s">
        <v>36</v>
      </c>
      <c r="C110" t="s">
        <v>227</v>
      </c>
      <c r="E110" t="s">
        <v>51</v>
      </c>
      <c r="F110" s="1" t="s">
        <v>56</v>
      </c>
      <c r="G110" s="1">
        <v>1</v>
      </c>
    </row>
    <row r="111" spans="2:7" hidden="1">
      <c r="B111" s="1" t="s">
        <v>36</v>
      </c>
      <c r="C111" t="s">
        <v>228</v>
      </c>
      <c r="E111" s="1" t="s">
        <v>50</v>
      </c>
      <c r="F111" s="1" t="s">
        <v>56</v>
      </c>
      <c r="G111" s="1">
        <v>1</v>
      </c>
    </row>
    <row r="112" spans="2:7" hidden="1">
      <c r="B112" s="1" t="s">
        <v>36</v>
      </c>
      <c r="C112" t="s">
        <v>229</v>
      </c>
      <c r="E112" s="1" t="s">
        <v>50</v>
      </c>
      <c r="F112" s="1" t="s">
        <v>56</v>
      </c>
      <c r="G112" s="1">
        <v>1</v>
      </c>
    </row>
    <row r="113" spans="2:7" hidden="1">
      <c r="B113" s="1" t="s">
        <v>36</v>
      </c>
      <c r="C113" t="s">
        <v>230</v>
      </c>
      <c r="E113" s="1" t="s">
        <v>51</v>
      </c>
      <c r="F113" s="1" t="s">
        <v>56</v>
      </c>
      <c r="G113" s="1">
        <v>1</v>
      </c>
    </row>
    <row r="114" spans="2:7" hidden="1">
      <c r="B114" s="1" t="s">
        <v>36</v>
      </c>
      <c r="C114" t="s">
        <v>231</v>
      </c>
      <c r="E114" s="1" t="s">
        <v>51</v>
      </c>
      <c r="F114" s="1" t="s">
        <v>56</v>
      </c>
      <c r="G114" s="1">
        <v>1</v>
      </c>
    </row>
    <row r="115" spans="2:7" hidden="1">
      <c r="B115" s="1" t="s">
        <v>36</v>
      </c>
      <c r="C115" t="s">
        <v>232</v>
      </c>
      <c r="E115" s="1" t="s">
        <v>50</v>
      </c>
      <c r="F115" s="1" t="s">
        <v>56</v>
      </c>
      <c r="G115" s="1">
        <v>1</v>
      </c>
    </row>
    <row r="116" spans="2:7" hidden="1">
      <c r="B116" s="1" t="s">
        <v>36</v>
      </c>
      <c r="C116" t="s">
        <v>233</v>
      </c>
      <c r="E116" s="1" t="s">
        <v>51</v>
      </c>
      <c r="F116" s="1" t="s">
        <v>56</v>
      </c>
      <c r="G116" s="1">
        <v>1</v>
      </c>
    </row>
    <row r="117" spans="2:7" hidden="1">
      <c r="B117" s="1" t="s">
        <v>36</v>
      </c>
      <c r="C117" t="s">
        <v>234</v>
      </c>
      <c r="E117" s="1" t="s">
        <v>50</v>
      </c>
      <c r="F117" s="1" t="s">
        <v>56</v>
      </c>
      <c r="G117" s="1">
        <v>1</v>
      </c>
    </row>
    <row r="118" spans="2:7" hidden="1">
      <c r="B118" s="1" t="s">
        <v>36</v>
      </c>
      <c r="C118" t="s">
        <v>235</v>
      </c>
      <c r="E118" s="1" t="s">
        <v>51</v>
      </c>
      <c r="F118" s="1" t="s">
        <v>56</v>
      </c>
      <c r="G118" s="1">
        <v>1</v>
      </c>
    </row>
    <row r="119" spans="2:7" hidden="1">
      <c r="B119" s="1" t="s">
        <v>36</v>
      </c>
      <c r="C119" t="s">
        <v>236</v>
      </c>
      <c r="E119" s="1" t="s">
        <v>51</v>
      </c>
      <c r="F119" s="1" t="s">
        <v>56</v>
      </c>
      <c r="G119" s="1">
        <v>1</v>
      </c>
    </row>
    <row r="120" spans="2:7" hidden="1">
      <c r="B120" s="1" t="s">
        <v>36</v>
      </c>
      <c r="C120" t="s">
        <v>237</v>
      </c>
      <c r="E120" s="1" t="s">
        <v>50</v>
      </c>
      <c r="F120" s="1" t="s">
        <v>56</v>
      </c>
      <c r="G120" s="1">
        <v>1</v>
      </c>
    </row>
    <row r="121" spans="2:7" hidden="1">
      <c r="B121" s="1" t="s">
        <v>36</v>
      </c>
      <c r="C121" t="s">
        <v>238</v>
      </c>
      <c r="E121" s="1" t="s">
        <v>51</v>
      </c>
      <c r="F121" s="1" t="s">
        <v>56</v>
      </c>
      <c r="G121" s="1">
        <v>1</v>
      </c>
    </row>
    <row r="122" spans="2:7" hidden="1">
      <c r="B122" s="1" t="s">
        <v>36</v>
      </c>
      <c r="C122" t="s">
        <v>239</v>
      </c>
      <c r="E122" s="1" t="s">
        <v>51</v>
      </c>
      <c r="F122" s="1" t="s">
        <v>56</v>
      </c>
      <c r="G122" s="1">
        <v>1</v>
      </c>
    </row>
    <row r="123" spans="2:7" hidden="1">
      <c r="B123" s="1" t="s">
        <v>36</v>
      </c>
      <c r="C123" t="s">
        <v>240</v>
      </c>
      <c r="E123" s="1" t="s">
        <v>51</v>
      </c>
      <c r="F123" s="1" t="s">
        <v>56</v>
      </c>
      <c r="G123" s="1">
        <v>1</v>
      </c>
    </row>
    <row r="124" spans="2:7" hidden="1">
      <c r="B124" s="1" t="s">
        <v>36</v>
      </c>
      <c r="C124" t="s">
        <v>241</v>
      </c>
      <c r="E124" s="1" t="s">
        <v>51</v>
      </c>
      <c r="F124" s="1" t="s">
        <v>56</v>
      </c>
      <c r="G124" s="1">
        <v>1</v>
      </c>
    </row>
    <row r="125" spans="2:7" hidden="1">
      <c r="B125" s="1" t="s">
        <v>36</v>
      </c>
      <c r="C125" t="s">
        <v>242</v>
      </c>
      <c r="E125" s="1" t="s">
        <v>51</v>
      </c>
      <c r="F125" s="1" t="s">
        <v>56</v>
      </c>
      <c r="G125" s="1">
        <v>1</v>
      </c>
    </row>
    <row r="126" spans="2:7" hidden="1">
      <c r="B126" s="1" t="s">
        <v>36</v>
      </c>
      <c r="C126" t="s">
        <v>243</v>
      </c>
      <c r="E126" s="1" t="s">
        <v>50</v>
      </c>
      <c r="F126" s="1" t="s">
        <v>56</v>
      </c>
      <c r="G126" s="1">
        <v>1</v>
      </c>
    </row>
    <row r="127" spans="2:7" hidden="1">
      <c r="B127" s="1" t="s">
        <v>36</v>
      </c>
      <c r="C127" t="s">
        <v>244</v>
      </c>
      <c r="E127" s="1" t="s">
        <v>51</v>
      </c>
      <c r="F127" s="1" t="s">
        <v>56</v>
      </c>
      <c r="G127" s="1">
        <v>1</v>
      </c>
    </row>
    <row r="128" spans="2:7" hidden="1">
      <c r="B128" s="1" t="s">
        <v>36</v>
      </c>
      <c r="C128" t="s">
        <v>245</v>
      </c>
      <c r="D128" s="5">
        <v>19657734</v>
      </c>
      <c r="E128" s="1" t="s">
        <v>50</v>
      </c>
      <c r="F128" s="1" t="s">
        <v>56</v>
      </c>
      <c r="G128" s="1">
        <v>1</v>
      </c>
    </row>
    <row r="129" spans="2:7" hidden="1">
      <c r="B129" s="1" t="s">
        <v>36</v>
      </c>
      <c r="C129" t="s">
        <v>246</v>
      </c>
      <c r="D129" s="5">
        <v>19361262</v>
      </c>
      <c r="E129" t="s">
        <v>51</v>
      </c>
      <c r="F129" s="1" t="s">
        <v>56</v>
      </c>
      <c r="G129" s="1">
        <v>1</v>
      </c>
    </row>
    <row r="130" spans="2:7" hidden="1">
      <c r="B130" s="1" t="s">
        <v>36</v>
      </c>
      <c r="C130" t="s">
        <v>247</v>
      </c>
      <c r="D130" s="5">
        <v>10976485</v>
      </c>
      <c r="E130" s="1" t="s">
        <v>51</v>
      </c>
      <c r="F130" s="1" t="s">
        <v>56</v>
      </c>
      <c r="G130" s="1">
        <v>1</v>
      </c>
    </row>
    <row r="131" spans="2:7" hidden="1">
      <c r="B131" s="1" t="s">
        <v>36</v>
      </c>
      <c r="C131" t="s">
        <v>248</v>
      </c>
      <c r="D131" s="5">
        <v>18834932</v>
      </c>
      <c r="E131" s="1" t="s">
        <v>51</v>
      </c>
      <c r="F131" s="1" t="s">
        <v>56</v>
      </c>
      <c r="G131" s="1">
        <v>1</v>
      </c>
    </row>
    <row r="132" spans="2:7" hidden="1">
      <c r="B132" s="1" t="s">
        <v>36</v>
      </c>
      <c r="C132" t="s">
        <v>249</v>
      </c>
      <c r="D132" s="5">
        <v>15823162</v>
      </c>
      <c r="E132" s="1" t="s">
        <v>50</v>
      </c>
      <c r="F132" s="1" t="s">
        <v>56</v>
      </c>
      <c r="G132" s="1">
        <v>1</v>
      </c>
    </row>
    <row r="133" spans="2:7" hidden="1">
      <c r="B133" s="1" t="s">
        <v>36</v>
      </c>
      <c r="C133" t="s">
        <v>250</v>
      </c>
      <c r="D133" s="5">
        <v>19067089</v>
      </c>
      <c r="E133" s="1" t="s">
        <v>51</v>
      </c>
      <c r="F133" s="1" t="s">
        <v>56</v>
      </c>
      <c r="G133" s="1">
        <v>1</v>
      </c>
    </row>
    <row r="134" spans="2:7" hidden="1">
      <c r="B134" s="1" t="s">
        <v>36</v>
      </c>
      <c r="C134" t="s">
        <v>251</v>
      </c>
      <c r="D134" s="5">
        <v>21152260</v>
      </c>
      <c r="E134" s="1" t="s">
        <v>50</v>
      </c>
      <c r="F134" s="1" t="s">
        <v>56</v>
      </c>
      <c r="G134" s="1">
        <v>1</v>
      </c>
    </row>
    <row r="135" spans="2:7" hidden="1">
      <c r="B135" s="1" t="s">
        <v>36</v>
      </c>
      <c r="C135" t="s">
        <v>252</v>
      </c>
      <c r="D135" s="5">
        <v>27695464</v>
      </c>
      <c r="E135" s="1" t="s">
        <v>50</v>
      </c>
      <c r="F135" s="1" t="s">
        <v>56</v>
      </c>
      <c r="G135" s="1">
        <v>1</v>
      </c>
    </row>
    <row r="136" spans="2:7" hidden="1">
      <c r="B136" s="1" t="s">
        <v>36</v>
      </c>
      <c r="C136" t="s">
        <v>253</v>
      </c>
      <c r="D136" s="5">
        <v>28586060</v>
      </c>
      <c r="E136" s="1" t="s">
        <v>51</v>
      </c>
      <c r="F136" s="1" t="s">
        <v>56</v>
      </c>
      <c r="G136" s="1">
        <v>1</v>
      </c>
    </row>
    <row r="137" spans="2:7" hidden="1">
      <c r="B137" t="s">
        <v>257</v>
      </c>
      <c r="C137" t="s">
        <v>254</v>
      </c>
      <c r="E137" t="s">
        <v>258</v>
      </c>
      <c r="F137" s="1" t="s">
        <v>56</v>
      </c>
      <c r="G137" s="1">
        <v>1</v>
      </c>
    </row>
    <row r="138" spans="2:7" hidden="1">
      <c r="B138" s="1" t="s">
        <v>257</v>
      </c>
      <c r="C138" t="s">
        <v>255</v>
      </c>
      <c r="E138" t="s">
        <v>50</v>
      </c>
      <c r="F138" s="1" t="s">
        <v>56</v>
      </c>
      <c r="G138" s="1">
        <v>1</v>
      </c>
    </row>
    <row r="139" spans="2:7" hidden="1">
      <c r="B139" s="1" t="s">
        <v>257</v>
      </c>
      <c r="C139" t="s">
        <v>256</v>
      </c>
      <c r="E139" t="s">
        <v>51</v>
      </c>
      <c r="F139" s="1" t="s">
        <v>56</v>
      </c>
      <c r="G139" s="1">
        <v>1</v>
      </c>
    </row>
    <row r="140" spans="2:7" hidden="1">
      <c r="B140" t="s">
        <v>261</v>
      </c>
      <c r="C140" t="s">
        <v>263</v>
      </c>
      <c r="E140" s="1" t="s">
        <v>51</v>
      </c>
      <c r="F140" s="1" t="s">
        <v>56</v>
      </c>
      <c r="G140" s="1">
        <v>1</v>
      </c>
    </row>
    <row r="141" spans="2:7" hidden="1">
      <c r="B141" s="1" t="s">
        <v>261</v>
      </c>
      <c r="C141" t="s">
        <v>264</v>
      </c>
      <c r="E141" t="s">
        <v>50</v>
      </c>
      <c r="F141" s="1" t="s">
        <v>56</v>
      </c>
      <c r="G141" s="1">
        <v>1</v>
      </c>
    </row>
    <row r="142" spans="2:7">
      <c r="B142" t="s">
        <v>39</v>
      </c>
      <c r="C142" t="s">
        <v>399</v>
      </c>
      <c r="D142" s="5">
        <v>12393177</v>
      </c>
      <c r="E142" s="1" t="s">
        <v>400</v>
      </c>
      <c r="F142" s="1" t="s">
        <v>389</v>
      </c>
      <c r="G142" s="1">
        <v>1</v>
      </c>
    </row>
    <row r="143" spans="2:7">
      <c r="B143" s="1" t="s">
        <v>39</v>
      </c>
      <c r="C143" t="s">
        <v>401</v>
      </c>
      <c r="D143" s="5">
        <v>26778197</v>
      </c>
      <c r="E143" s="1" t="s">
        <v>400</v>
      </c>
      <c r="F143" s="1" t="s">
        <v>389</v>
      </c>
      <c r="G143" s="1">
        <v>1</v>
      </c>
    </row>
    <row r="144" spans="2:7">
      <c r="B144" s="1" t="s">
        <v>39</v>
      </c>
      <c r="C144" t="s">
        <v>402</v>
      </c>
      <c r="D144" s="5">
        <v>18788988</v>
      </c>
      <c r="E144" s="1" t="s">
        <v>394</v>
      </c>
      <c r="F144" s="1" t="s">
        <v>389</v>
      </c>
      <c r="G144" s="1">
        <v>1</v>
      </c>
    </row>
    <row r="145" spans="2:7">
      <c r="B145" s="1" t="s">
        <v>39</v>
      </c>
      <c r="C145" t="s">
        <v>403</v>
      </c>
      <c r="D145" s="5">
        <v>11537163</v>
      </c>
      <c r="E145" s="1" t="s">
        <v>400</v>
      </c>
      <c r="F145" s="1" t="s">
        <v>56</v>
      </c>
      <c r="G145" s="1">
        <v>1</v>
      </c>
    </row>
    <row r="146" spans="2:7">
      <c r="B146" s="1" t="s">
        <v>39</v>
      </c>
      <c r="C146" t="s">
        <v>404</v>
      </c>
      <c r="D146" s="5">
        <v>25877580</v>
      </c>
      <c r="E146" s="1" t="s">
        <v>400</v>
      </c>
      <c r="F146" s="1" t="s">
        <v>389</v>
      </c>
      <c r="G146" s="1">
        <v>1</v>
      </c>
    </row>
    <row r="147" spans="2:7">
      <c r="B147" s="1" t="s">
        <v>39</v>
      </c>
      <c r="C147" t="s">
        <v>397</v>
      </c>
      <c r="D147" s="5">
        <v>30441499</v>
      </c>
      <c r="E147" s="1" t="s">
        <v>398</v>
      </c>
      <c r="F147" s="1" t="s">
        <v>405</v>
      </c>
      <c r="G147" s="1">
        <v>1</v>
      </c>
    </row>
    <row r="148" spans="2:7">
      <c r="B148" s="1" t="s">
        <v>39</v>
      </c>
      <c r="C148" t="s">
        <v>406</v>
      </c>
      <c r="D148" s="5">
        <v>18215038</v>
      </c>
      <c r="E148" s="1" t="s">
        <v>394</v>
      </c>
      <c r="F148" s="1" t="s">
        <v>56</v>
      </c>
      <c r="G148" s="1">
        <v>1</v>
      </c>
    </row>
    <row r="149" spans="2:7" hidden="1">
      <c r="B149" t="s">
        <v>66</v>
      </c>
      <c r="C149" t="s">
        <v>281</v>
      </c>
      <c r="E149" s="1" t="s">
        <v>50</v>
      </c>
      <c r="F149" s="1" t="s">
        <v>56</v>
      </c>
      <c r="G149" s="1">
        <v>1</v>
      </c>
    </row>
    <row r="150" spans="2:7" hidden="1">
      <c r="B150" s="1" t="s">
        <v>66</v>
      </c>
      <c r="C150" t="s">
        <v>282</v>
      </c>
      <c r="E150" s="1" t="s">
        <v>51</v>
      </c>
      <c r="F150" s="1" t="s">
        <v>56</v>
      </c>
      <c r="G150" s="1">
        <v>1</v>
      </c>
    </row>
    <row r="151" spans="2:7" hidden="1">
      <c r="B151" s="1" t="s">
        <v>66</v>
      </c>
      <c r="C151" t="s">
        <v>283</v>
      </c>
      <c r="E151" s="1" t="s">
        <v>51</v>
      </c>
      <c r="F151" s="1" t="s">
        <v>56</v>
      </c>
      <c r="G151" s="1">
        <v>1</v>
      </c>
    </row>
    <row r="152" spans="2:7" hidden="1">
      <c r="B152" s="1" t="s">
        <v>66</v>
      </c>
      <c r="C152" t="s">
        <v>284</v>
      </c>
      <c r="E152" s="1" t="s">
        <v>50</v>
      </c>
      <c r="F152" s="1" t="s">
        <v>56</v>
      </c>
      <c r="G152" s="1">
        <v>1</v>
      </c>
    </row>
    <row r="153" spans="2:7" hidden="1">
      <c r="B153" s="1" t="s">
        <v>66</v>
      </c>
      <c r="C153" t="s">
        <v>285</v>
      </c>
      <c r="E153" s="1" t="s">
        <v>51</v>
      </c>
      <c r="F153" s="1" t="s">
        <v>56</v>
      </c>
      <c r="G153" s="1">
        <v>1</v>
      </c>
    </row>
    <row r="154" spans="2:7" hidden="1">
      <c r="B154" s="1" t="s">
        <v>66</v>
      </c>
      <c r="C154" t="s">
        <v>286</v>
      </c>
      <c r="E154" s="1" t="s">
        <v>51</v>
      </c>
      <c r="F154" s="1" t="s">
        <v>56</v>
      </c>
      <c r="G154" s="1">
        <v>1</v>
      </c>
    </row>
    <row r="155" spans="2:7" hidden="1">
      <c r="B155" s="1" t="s">
        <v>66</v>
      </c>
      <c r="C155" t="s">
        <v>287</v>
      </c>
      <c r="E155" s="1" t="s">
        <v>51</v>
      </c>
      <c r="F155" s="1" t="s">
        <v>56</v>
      </c>
      <c r="G155" s="1">
        <v>1</v>
      </c>
    </row>
    <row r="156" spans="2:7" hidden="1">
      <c r="B156" t="s">
        <v>31</v>
      </c>
      <c r="C156" t="s">
        <v>338</v>
      </c>
      <c r="D156" s="5">
        <v>22333451</v>
      </c>
      <c r="E156" t="s">
        <v>339</v>
      </c>
      <c r="F156" t="s">
        <v>56</v>
      </c>
      <c r="G156" s="1">
        <v>1</v>
      </c>
    </row>
    <row r="157" spans="2:7" hidden="1">
      <c r="B157" t="s">
        <v>31</v>
      </c>
      <c r="C157" t="s">
        <v>162</v>
      </c>
      <c r="D157" s="5">
        <v>18057256</v>
      </c>
      <c r="E157" t="s">
        <v>50</v>
      </c>
      <c r="F157" t="s">
        <v>56</v>
      </c>
      <c r="G157" s="1">
        <v>1</v>
      </c>
    </row>
    <row r="158" spans="2:7" hidden="1">
      <c r="B158" t="s">
        <v>31</v>
      </c>
      <c r="C158" t="s">
        <v>163</v>
      </c>
      <c r="D158" s="5">
        <v>15730122</v>
      </c>
      <c r="E158" t="s">
        <v>50</v>
      </c>
      <c r="F158" t="s">
        <v>56</v>
      </c>
      <c r="G158" s="1">
        <v>1</v>
      </c>
    </row>
    <row r="159" spans="2:7" hidden="1">
      <c r="B159" t="s">
        <v>31</v>
      </c>
      <c r="C159" t="s">
        <v>164</v>
      </c>
      <c r="D159" s="5">
        <v>16386133</v>
      </c>
      <c r="E159" t="s">
        <v>51</v>
      </c>
      <c r="F159" t="s">
        <v>56</v>
      </c>
      <c r="G159" s="1">
        <v>1</v>
      </c>
    </row>
    <row r="160" spans="2:7" hidden="1">
      <c r="B160" t="s">
        <v>31</v>
      </c>
      <c r="C160" t="s">
        <v>165</v>
      </c>
      <c r="D160" s="5">
        <v>30446361</v>
      </c>
      <c r="E160" t="s">
        <v>51</v>
      </c>
      <c r="F160" t="s">
        <v>56</v>
      </c>
      <c r="G160" s="1">
        <v>1</v>
      </c>
    </row>
    <row r="161" spans="2:7" hidden="1">
      <c r="B161" t="s">
        <v>31</v>
      </c>
      <c r="C161" t="s">
        <v>166</v>
      </c>
      <c r="D161" s="5">
        <v>20943796</v>
      </c>
      <c r="E161" t="s">
        <v>51</v>
      </c>
      <c r="F161" t="s">
        <v>56</v>
      </c>
      <c r="G161" s="1">
        <v>1</v>
      </c>
    </row>
    <row r="162" spans="2:7" hidden="1">
      <c r="B162" t="s">
        <v>31</v>
      </c>
      <c r="C162" t="s">
        <v>167</v>
      </c>
      <c r="D162" s="5">
        <v>26584200</v>
      </c>
      <c r="E162" t="s">
        <v>51</v>
      </c>
      <c r="F162" t="s">
        <v>56</v>
      </c>
      <c r="G162" s="1">
        <v>1</v>
      </c>
    </row>
    <row r="163" spans="2:7" hidden="1">
      <c r="B163" t="s">
        <v>31</v>
      </c>
      <c r="C163" t="s">
        <v>168</v>
      </c>
      <c r="D163" s="5">
        <v>19431115</v>
      </c>
      <c r="E163" t="s">
        <v>51</v>
      </c>
      <c r="F163" t="s">
        <v>56</v>
      </c>
      <c r="G163" s="1">
        <v>1</v>
      </c>
    </row>
    <row r="164" spans="2:7" hidden="1">
      <c r="B164" t="s">
        <v>31</v>
      </c>
      <c r="C164" t="s">
        <v>169</v>
      </c>
      <c r="D164" s="5">
        <v>30146362</v>
      </c>
      <c r="E164" t="s">
        <v>51</v>
      </c>
      <c r="F164" t="s">
        <v>56</v>
      </c>
      <c r="G164" s="1">
        <v>1</v>
      </c>
    </row>
    <row r="165" spans="2:7" hidden="1">
      <c r="B165" t="s">
        <v>31</v>
      </c>
      <c r="C165" t="s">
        <v>170</v>
      </c>
      <c r="D165" s="5">
        <v>27142424</v>
      </c>
      <c r="E165" t="s">
        <v>51</v>
      </c>
      <c r="F165" t="s">
        <v>56</v>
      </c>
      <c r="G165" s="1">
        <v>1</v>
      </c>
    </row>
    <row r="166" spans="2:7" hidden="1">
      <c r="B166" t="s">
        <v>31</v>
      </c>
      <c r="C166" t="s">
        <v>171</v>
      </c>
      <c r="D166" s="5">
        <v>26136005</v>
      </c>
      <c r="E166" t="s">
        <v>340</v>
      </c>
      <c r="F166" t="s">
        <v>56</v>
      </c>
      <c r="G166" s="1">
        <v>1</v>
      </c>
    </row>
    <row r="167" spans="2:7" hidden="1">
      <c r="B167" t="s">
        <v>31</v>
      </c>
      <c r="C167" t="s">
        <v>172</v>
      </c>
      <c r="D167" s="5">
        <v>15778646</v>
      </c>
      <c r="E167" t="s">
        <v>50</v>
      </c>
      <c r="F167" t="s">
        <v>56</v>
      </c>
      <c r="G167" s="1">
        <v>1</v>
      </c>
    </row>
    <row r="168" spans="2:7" hidden="1">
      <c r="B168" t="s">
        <v>31</v>
      </c>
      <c r="C168" t="s">
        <v>173</v>
      </c>
      <c r="D168" s="5">
        <v>15964859</v>
      </c>
      <c r="E168" t="s">
        <v>50</v>
      </c>
      <c r="F168" t="s">
        <v>56</v>
      </c>
      <c r="G168" s="1">
        <v>1</v>
      </c>
    </row>
    <row r="169" spans="2:7" hidden="1">
      <c r="B169" t="s">
        <v>31</v>
      </c>
      <c r="C169" t="s">
        <v>174</v>
      </c>
      <c r="D169" s="5">
        <v>17372733</v>
      </c>
      <c r="E169" t="s">
        <v>50</v>
      </c>
      <c r="F169" t="s">
        <v>56</v>
      </c>
      <c r="G169" s="1">
        <v>1</v>
      </c>
    </row>
    <row r="170" spans="2:7" hidden="1">
      <c r="B170" t="s">
        <v>31</v>
      </c>
      <c r="C170" t="s">
        <v>175</v>
      </c>
      <c r="D170" s="5">
        <v>14825900</v>
      </c>
      <c r="E170" t="s">
        <v>51</v>
      </c>
      <c r="F170" t="s">
        <v>56</v>
      </c>
      <c r="G170" s="1">
        <v>1</v>
      </c>
    </row>
    <row r="171" spans="2:7" hidden="1">
      <c r="B171" t="s">
        <v>31</v>
      </c>
      <c r="C171" t="s">
        <v>176</v>
      </c>
      <c r="D171" s="5">
        <v>10843697</v>
      </c>
      <c r="E171" t="s">
        <v>50</v>
      </c>
      <c r="F171" t="s">
        <v>56</v>
      </c>
      <c r="G171" s="1">
        <v>1</v>
      </c>
    </row>
    <row r="172" spans="2:7" hidden="1">
      <c r="B172" t="s">
        <v>31</v>
      </c>
      <c r="C172" t="s">
        <v>177</v>
      </c>
      <c r="D172" s="5">
        <v>16404187</v>
      </c>
      <c r="E172" t="s">
        <v>50</v>
      </c>
      <c r="F172" t="s">
        <v>56</v>
      </c>
      <c r="G172" s="1">
        <v>1</v>
      </c>
    </row>
    <row r="173" spans="2:7" hidden="1">
      <c r="B173" t="s">
        <v>31</v>
      </c>
      <c r="C173" t="s">
        <v>178</v>
      </c>
      <c r="D173" s="5">
        <v>27193698</v>
      </c>
      <c r="E173" t="s">
        <v>51</v>
      </c>
      <c r="F173" t="s">
        <v>56</v>
      </c>
      <c r="G173" s="1">
        <v>1</v>
      </c>
    </row>
    <row r="174" spans="2:7" hidden="1">
      <c r="B174" t="s">
        <v>31</v>
      </c>
      <c r="C174" t="s">
        <v>341</v>
      </c>
      <c r="D174" s="5">
        <v>27737966</v>
      </c>
      <c r="E174" t="s">
        <v>51</v>
      </c>
      <c r="F174" t="s">
        <v>56</v>
      </c>
      <c r="G174" s="1">
        <v>1</v>
      </c>
    </row>
    <row r="175" spans="2:7" hidden="1">
      <c r="B175" t="s">
        <v>31</v>
      </c>
      <c r="C175" t="s">
        <v>342</v>
      </c>
      <c r="D175" s="5">
        <v>24418218</v>
      </c>
      <c r="E175" t="s">
        <v>343</v>
      </c>
      <c r="F175" t="s">
        <v>56</v>
      </c>
      <c r="G175" s="1">
        <v>1</v>
      </c>
    </row>
    <row r="176" spans="2:7" hidden="1">
      <c r="B176" t="s">
        <v>31</v>
      </c>
      <c r="C176" t="s">
        <v>179</v>
      </c>
      <c r="D176" s="5">
        <v>29703391</v>
      </c>
      <c r="E176" t="s">
        <v>51</v>
      </c>
      <c r="F176" t="s">
        <v>56</v>
      </c>
      <c r="G176" s="1">
        <v>1</v>
      </c>
    </row>
    <row r="177" spans="2:14" hidden="1">
      <c r="B177" t="s">
        <v>31</v>
      </c>
      <c r="C177" t="s">
        <v>180</v>
      </c>
      <c r="D177" s="5">
        <v>17196736</v>
      </c>
      <c r="E177" t="s">
        <v>50</v>
      </c>
      <c r="F177" t="s">
        <v>56</v>
      </c>
      <c r="G177" s="1">
        <v>1</v>
      </c>
    </row>
    <row r="178" spans="2:14" hidden="1">
      <c r="B178" t="s">
        <v>31</v>
      </c>
      <c r="C178" t="s">
        <v>181</v>
      </c>
      <c r="D178" s="5">
        <v>18135786</v>
      </c>
      <c r="E178" t="s">
        <v>50</v>
      </c>
      <c r="F178" t="s">
        <v>56</v>
      </c>
      <c r="G178" s="1">
        <v>1</v>
      </c>
    </row>
    <row r="179" spans="2:14" hidden="1">
      <c r="B179" t="s">
        <v>31</v>
      </c>
      <c r="C179" t="s">
        <v>182</v>
      </c>
      <c r="D179" s="5">
        <v>27554969</v>
      </c>
      <c r="E179" t="s">
        <v>50</v>
      </c>
      <c r="F179" t="s">
        <v>56</v>
      </c>
      <c r="G179" s="1">
        <v>1</v>
      </c>
    </row>
    <row r="180" spans="2:14" ht="15.75" hidden="1">
      <c r="B180" s="16" t="s">
        <v>0</v>
      </c>
      <c r="C180" s="16" t="s">
        <v>207</v>
      </c>
      <c r="D180" s="16">
        <v>30889139</v>
      </c>
      <c r="E180" s="13" t="s">
        <v>344</v>
      </c>
      <c r="F180" s="11" t="s">
        <v>56</v>
      </c>
      <c r="G180" s="11">
        <v>1</v>
      </c>
    </row>
    <row r="181" spans="2:14" ht="15.75" hidden="1">
      <c r="B181" s="17" t="s">
        <v>0</v>
      </c>
      <c r="C181" s="17" t="s">
        <v>345</v>
      </c>
      <c r="D181" s="18"/>
      <c r="E181" s="19" t="s">
        <v>346</v>
      </c>
      <c r="F181" s="17" t="s">
        <v>56</v>
      </c>
      <c r="G181" s="17">
        <v>1</v>
      </c>
    </row>
    <row r="182" spans="2:14" ht="15.75" hidden="1">
      <c r="B182" s="11" t="s">
        <v>0</v>
      </c>
      <c r="C182" s="11" t="s">
        <v>347</v>
      </c>
      <c r="D182" s="12"/>
      <c r="E182" s="13" t="s">
        <v>346</v>
      </c>
      <c r="F182" s="11" t="s">
        <v>56</v>
      </c>
      <c r="G182" s="11">
        <v>1</v>
      </c>
    </row>
    <row r="183" spans="2:14" ht="15.75" hidden="1">
      <c r="B183" s="11" t="s">
        <v>0</v>
      </c>
      <c r="C183" s="11" t="s">
        <v>348</v>
      </c>
      <c r="D183" s="12"/>
      <c r="E183" s="13" t="s">
        <v>346</v>
      </c>
      <c r="F183" s="11" t="s">
        <v>56</v>
      </c>
      <c r="G183" s="11">
        <v>1</v>
      </c>
    </row>
    <row r="184" spans="2:14" ht="15.75" hidden="1">
      <c r="B184" s="11" t="s">
        <v>0</v>
      </c>
      <c r="C184" s="11" t="s">
        <v>349</v>
      </c>
      <c r="D184" s="12"/>
      <c r="E184" s="13" t="s">
        <v>346</v>
      </c>
      <c r="F184" s="11" t="s">
        <v>56</v>
      </c>
      <c r="G184" s="11">
        <v>1</v>
      </c>
    </row>
    <row r="185" spans="2:14" ht="15.75" hidden="1">
      <c r="B185" s="16" t="s">
        <v>0</v>
      </c>
      <c r="C185" s="16" t="s">
        <v>363</v>
      </c>
      <c r="D185" s="16">
        <v>19130427</v>
      </c>
      <c r="E185" s="13" t="s">
        <v>300</v>
      </c>
      <c r="F185" s="11" t="s">
        <v>56</v>
      </c>
      <c r="G185" s="11">
        <v>1</v>
      </c>
    </row>
    <row r="186" spans="2:14" ht="15.75" hidden="1">
      <c r="B186" s="16" t="s">
        <v>0</v>
      </c>
      <c r="C186" s="16" t="s">
        <v>364</v>
      </c>
      <c r="D186" s="16">
        <v>15653907</v>
      </c>
      <c r="E186" s="13" t="s">
        <v>302</v>
      </c>
      <c r="F186" s="11" t="s">
        <v>56</v>
      </c>
      <c r="G186" s="11">
        <v>1</v>
      </c>
    </row>
    <row r="187" spans="2:14" ht="15.75" hidden="1">
      <c r="B187" s="16" t="s">
        <v>0</v>
      </c>
      <c r="C187" s="16" t="s">
        <v>365</v>
      </c>
      <c r="D187" s="16">
        <v>11197770</v>
      </c>
      <c r="E187" s="13" t="s">
        <v>350</v>
      </c>
      <c r="F187" s="11" t="s">
        <v>56</v>
      </c>
      <c r="G187" s="11">
        <v>1</v>
      </c>
      <c r="N187">
        <v>90</v>
      </c>
    </row>
    <row r="188" spans="2:14" ht="15.75" hidden="1">
      <c r="B188" s="16" t="s">
        <v>0</v>
      </c>
      <c r="C188" s="16" t="s">
        <v>366</v>
      </c>
      <c r="D188" s="16">
        <v>17899815</v>
      </c>
      <c r="E188" s="13" t="s">
        <v>300</v>
      </c>
      <c r="F188" s="11" t="s">
        <v>56</v>
      </c>
      <c r="G188" s="11">
        <v>1</v>
      </c>
    </row>
    <row r="189" spans="2:14" ht="15.75" hidden="1">
      <c r="B189" s="16" t="s">
        <v>0</v>
      </c>
      <c r="C189" s="16" t="s">
        <v>367</v>
      </c>
      <c r="D189" s="16">
        <v>27393998</v>
      </c>
      <c r="E189" s="13" t="s">
        <v>302</v>
      </c>
      <c r="F189" s="11" t="s">
        <v>56</v>
      </c>
      <c r="G189" s="11">
        <v>1</v>
      </c>
    </row>
    <row r="190" spans="2:14" ht="15.75" hidden="1">
      <c r="B190" s="11" t="s">
        <v>0</v>
      </c>
      <c r="C190" s="11" t="s">
        <v>351</v>
      </c>
      <c r="D190" s="12"/>
      <c r="E190" s="13" t="s">
        <v>302</v>
      </c>
      <c r="F190" s="11" t="s">
        <v>56</v>
      </c>
      <c r="G190" s="11">
        <v>1</v>
      </c>
    </row>
    <row r="191" spans="2:14" ht="15.75" hidden="1">
      <c r="B191" s="11" t="s">
        <v>0</v>
      </c>
      <c r="C191" s="11" t="s">
        <v>352</v>
      </c>
      <c r="D191" s="12">
        <v>20959115</v>
      </c>
      <c r="E191" s="13" t="s">
        <v>50</v>
      </c>
      <c r="F191" s="11" t="s">
        <v>56</v>
      </c>
      <c r="G191" s="11">
        <v>1</v>
      </c>
    </row>
    <row r="192" spans="2:14" ht="15.75" hidden="1">
      <c r="B192" s="11" t="s">
        <v>0</v>
      </c>
      <c r="C192" s="11" t="s">
        <v>353</v>
      </c>
      <c r="D192" s="12">
        <v>10230740</v>
      </c>
      <c r="E192" s="13" t="s">
        <v>50</v>
      </c>
      <c r="F192" s="11" t="s">
        <v>56</v>
      </c>
      <c r="G192" s="11">
        <v>1</v>
      </c>
    </row>
    <row r="193" spans="2:14" ht="15.75" hidden="1">
      <c r="B193" s="11" t="s">
        <v>0</v>
      </c>
      <c r="C193" s="11" t="s">
        <v>354</v>
      </c>
      <c r="D193" s="12">
        <v>6197994</v>
      </c>
      <c r="E193" s="13" t="s">
        <v>50</v>
      </c>
      <c r="F193" s="11" t="s">
        <v>56</v>
      </c>
      <c r="G193" s="11">
        <v>1</v>
      </c>
    </row>
    <row r="194" spans="2:14" ht="15.75" hidden="1">
      <c r="B194" s="11" t="s">
        <v>0</v>
      </c>
      <c r="C194" s="11" t="s">
        <v>355</v>
      </c>
      <c r="D194" s="12">
        <v>15606713</v>
      </c>
      <c r="E194" s="13" t="s">
        <v>50</v>
      </c>
      <c r="F194" s="11" t="s">
        <v>56</v>
      </c>
      <c r="G194" s="11">
        <v>1</v>
      </c>
    </row>
    <row r="195" spans="2:14" ht="15.75" hidden="1">
      <c r="B195" s="11" t="s">
        <v>0</v>
      </c>
      <c r="C195" s="11" t="s">
        <v>356</v>
      </c>
      <c r="D195" s="12">
        <v>25476329</v>
      </c>
      <c r="E195" s="13" t="s">
        <v>50</v>
      </c>
      <c r="F195" s="11" t="s">
        <v>56</v>
      </c>
      <c r="G195" s="11">
        <v>1</v>
      </c>
    </row>
    <row r="196" spans="2:14" ht="15.75" hidden="1">
      <c r="B196" s="11" t="s">
        <v>0</v>
      </c>
      <c r="C196" s="11" t="s">
        <v>357</v>
      </c>
      <c r="D196" s="12">
        <v>24918294</v>
      </c>
      <c r="E196" s="13" t="s">
        <v>50</v>
      </c>
      <c r="F196" s="11" t="s">
        <v>56</v>
      </c>
      <c r="G196" s="11">
        <v>1</v>
      </c>
    </row>
    <row r="197" spans="2:14" ht="15.75" hidden="1">
      <c r="B197" s="11" t="s">
        <v>0</v>
      </c>
      <c r="C197" s="11" t="s">
        <v>358</v>
      </c>
      <c r="D197" s="12">
        <v>16447676</v>
      </c>
      <c r="E197" s="13" t="s">
        <v>50</v>
      </c>
      <c r="F197" s="11" t="s">
        <v>56</v>
      </c>
      <c r="G197" s="11">
        <v>1</v>
      </c>
    </row>
    <row r="198" spans="2:14" ht="15.75" hidden="1">
      <c r="B198" s="11" t="s">
        <v>0</v>
      </c>
      <c r="C198" s="11" t="s">
        <v>359</v>
      </c>
      <c r="D198" s="12">
        <v>27502144</v>
      </c>
      <c r="E198" s="13" t="s">
        <v>50</v>
      </c>
      <c r="F198" s="11" t="s">
        <v>56</v>
      </c>
      <c r="G198" s="11">
        <v>1</v>
      </c>
    </row>
    <row r="199" spans="2:14" ht="15.75" hidden="1">
      <c r="B199" s="11" t="s">
        <v>0</v>
      </c>
      <c r="C199" s="11" t="s">
        <v>360</v>
      </c>
      <c r="D199" s="12">
        <v>17905449</v>
      </c>
      <c r="E199" s="13" t="s">
        <v>50</v>
      </c>
      <c r="F199" s="11" t="s">
        <v>56</v>
      </c>
      <c r="G199" s="11">
        <v>1</v>
      </c>
    </row>
    <row r="200" spans="2:14" ht="15.75" hidden="1">
      <c r="B200" s="11" t="s">
        <v>0</v>
      </c>
      <c r="C200" s="11" t="s">
        <v>361</v>
      </c>
      <c r="D200" s="12">
        <v>22210555</v>
      </c>
      <c r="E200" s="13" t="s">
        <v>50</v>
      </c>
      <c r="F200" s="11" t="s">
        <v>56</v>
      </c>
      <c r="G200" s="11">
        <v>1</v>
      </c>
    </row>
    <row r="201" spans="2:14">
      <c r="B201" s="1" t="s">
        <v>290</v>
      </c>
      <c r="C201" s="1"/>
      <c r="E201" s="1"/>
      <c r="F201" s="1"/>
      <c r="G201" s="1">
        <f>SUBTOTAL(109,Tabla8[Contador])</f>
        <v>11</v>
      </c>
    </row>
    <row r="203" spans="2:14">
      <c r="N203">
        <v>2</v>
      </c>
    </row>
    <row r="204" spans="2:14">
      <c r="N204">
        <v>99</v>
      </c>
    </row>
    <row r="205" spans="2:14">
      <c r="N205">
        <v>3</v>
      </c>
    </row>
    <row r="207" spans="2:14">
      <c r="N207">
        <f>SUM(N187:N205)</f>
        <v>194</v>
      </c>
    </row>
  </sheetData>
  <conditionalFormatting sqref="D42">
    <cfRule type="duplicateValues" dxfId="1210" priority="1"/>
  </conditionalFormatting>
  <dataValidations disablePrompts="1" count="1">
    <dataValidation type="list" allowBlank="1" showInputMessage="1" showErrorMessage="1" sqref="F8:F200">
      <formula1>$J$7:$J$11</formula1>
    </dataValidation>
  </dataValidations>
  <pageMargins left="0.25" right="0.25" top="0.75" bottom="0.75" header="0.3" footer="0.3"/>
  <pageSetup scale="95" orientation="landscape" verticalDpi="0" r:id="rId1"/>
  <tableParts count="2">
    <tablePart r:id="rId2"/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"/>
  <sheetViews>
    <sheetView workbookViewId="0">
      <selection activeCell="E16" sqref="E16"/>
    </sheetView>
  </sheetViews>
  <sheetFormatPr baseColWidth="10" defaultRowHeight="15"/>
  <cols>
    <col min="1" max="1" width="44.85546875" customWidth="1"/>
    <col min="2" max="2" width="13.28515625" bestFit="1" customWidth="1"/>
    <col min="3" max="3" width="7.7109375" customWidth="1"/>
    <col min="4" max="4" width="12.140625" customWidth="1"/>
    <col min="5" max="5" width="11" hidden="1" customWidth="1"/>
    <col min="6" max="7" width="8.42578125" customWidth="1"/>
    <col min="8" max="8" width="13.140625" customWidth="1"/>
    <col min="9" max="9" width="12.5703125" customWidth="1"/>
    <col min="10" max="10" width="27.7109375" customWidth="1"/>
    <col min="11" max="11" width="8.42578125" customWidth="1"/>
    <col min="12" max="12" width="13.5703125" customWidth="1"/>
    <col min="13" max="13" width="11.140625" customWidth="1"/>
    <col min="14" max="14" width="20.5703125" bestFit="1" customWidth="1"/>
    <col min="15" max="15" width="11.28515625" customWidth="1"/>
    <col min="16" max="16" width="20.7109375" bestFit="1" customWidth="1"/>
    <col min="17" max="17" width="15" bestFit="1" customWidth="1"/>
    <col min="18" max="18" width="30" bestFit="1" customWidth="1"/>
    <col min="19" max="19" width="12.5703125" bestFit="1" customWidth="1"/>
  </cols>
  <sheetData>
    <row r="1" spans="1:2">
      <c r="A1" s="4" t="s">
        <v>44</v>
      </c>
      <c r="B1" s="1" t="s">
        <v>0</v>
      </c>
    </row>
    <row r="3" spans="1:2">
      <c r="A3" s="4" t="s">
        <v>48</v>
      </c>
    </row>
    <row r="4" spans="1:2" ht="37.5" customHeight="1">
      <c r="A4" s="5" t="s">
        <v>51</v>
      </c>
    </row>
    <row r="5" spans="1:2">
      <c r="A5" s="10" t="s">
        <v>132</v>
      </c>
    </row>
    <row r="6" spans="1:2">
      <c r="A6" s="10" t="s">
        <v>123</v>
      </c>
    </row>
    <row r="7" spans="1:2">
      <c r="A7" s="10" t="s">
        <v>131</v>
      </c>
    </row>
    <row r="8" spans="1:2">
      <c r="A8" s="10" t="s">
        <v>138</v>
      </c>
    </row>
    <row r="9" spans="1:2">
      <c r="A9" s="10" t="s">
        <v>121</v>
      </c>
    </row>
    <row r="10" spans="1:2">
      <c r="A10" s="10" t="s">
        <v>8</v>
      </c>
    </row>
    <row r="11" spans="1:2">
      <c r="A11" s="10" t="s">
        <v>124</v>
      </c>
    </row>
    <row r="12" spans="1:2">
      <c r="A12" s="10" t="s">
        <v>129</v>
      </c>
    </row>
    <row r="13" spans="1:2">
      <c r="A13" s="10" t="s">
        <v>135</v>
      </c>
    </row>
    <row r="14" spans="1:2">
      <c r="A14" s="10" t="s">
        <v>6</v>
      </c>
    </row>
    <row r="15" spans="1:2">
      <c r="A15" s="10" t="s">
        <v>136</v>
      </c>
    </row>
    <row r="16" spans="1:2">
      <c r="A16" s="10" t="s">
        <v>127</v>
      </c>
    </row>
    <row r="17" spans="1:1">
      <c r="A17" s="10" t="s">
        <v>4</v>
      </c>
    </row>
    <row r="18" spans="1:1">
      <c r="A18" s="10" t="s">
        <v>2</v>
      </c>
    </row>
    <row r="19" spans="1:1">
      <c r="A19" s="10" t="s">
        <v>14</v>
      </c>
    </row>
    <row r="20" spans="1:1">
      <c r="A20" s="5" t="s">
        <v>50</v>
      </c>
    </row>
    <row r="21" spans="1:1">
      <c r="A21" s="10" t="s">
        <v>352</v>
      </c>
    </row>
    <row r="22" spans="1:1">
      <c r="A22" s="10" t="s">
        <v>128</v>
      </c>
    </row>
    <row r="23" spans="1:1">
      <c r="A23" s="10" t="s">
        <v>130</v>
      </c>
    </row>
    <row r="24" spans="1:1">
      <c r="A24" s="10" t="s">
        <v>7</v>
      </c>
    </row>
    <row r="25" spans="1:1">
      <c r="A25" s="10" t="s">
        <v>355</v>
      </c>
    </row>
    <row r="26" spans="1:1">
      <c r="A26" s="10" t="s">
        <v>134</v>
      </c>
    </row>
    <row r="27" spans="1:1">
      <c r="A27" s="10" t="s">
        <v>361</v>
      </c>
    </row>
    <row r="28" spans="1:1">
      <c r="A28" s="10" t="s">
        <v>133</v>
      </c>
    </row>
    <row r="29" spans="1:1">
      <c r="A29" s="10" t="s">
        <v>9</v>
      </c>
    </row>
    <row r="30" spans="1:1">
      <c r="A30" s="10" t="s">
        <v>354</v>
      </c>
    </row>
    <row r="31" spans="1:1">
      <c r="A31" s="10" t="s">
        <v>358</v>
      </c>
    </row>
    <row r="32" spans="1:1">
      <c r="A32" s="10" t="s">
        <v>357</v>
      </c>
    </row>
    <row r="33" spans="1:1">
      <c r="A33" s="10" t="s">
        <v>5</v>
      </c>
    </row>
    <row r="34" spans="1:1">
      <c r="A34" s="10" t="s">
        <v>120</v>
      </c>
    </row>
    <row r="35" spans="1:1">
      <c r="A35" s="10" t="s">
        <v>11</v>
      </c>
    </row>
    <row r="36" spans="1:1">
      <c r="A36" s="10" t="s">
        <v>356</v>
      </c>
    </row>
    <row r="37" spans="1:1">
      <c r="A37" s="10" t="s">
        <v>122</v>
      </c>
    </row>
    <row r="38" spans="1:1">
      <c r="A38" s="10" t="s">
        <v>353</v>
      </c>
    </row>
    <row r="39" spans="1:1">
      <c r="A39" s="10" t="s">
        <v>126</v>
      </c>
    </row>
    <row r="40" spans="1:1">
      <c r="A40" s="10" t="s">
        <v>360</v>
      </c>
    </row>
    <row r="41" spans="1:1">
      <c r="A41" s="10" t="s">
        <v>137</v>
      </c>
    </row>
    <row r="42" spans="1:1">
      <c r="A42" s="10" t="s">
        <v>125</v>
      </c>
    </row>
    <row r="43" spans="1:1">
      <c r="A43" s="10" t="s">
        <v>359</v>
      </c>
    </row>
    <row r="44" spans="1:1">
      <c r="A44" s="5" t="s">
        <v>344</v>
      </c>
    </row>
    <row r="45" spans="1:1">
      <c r="A45" s="10" t="s">
        <v>207</v>
      </c>
    </row>
    <row r="46" spans="1:1">
      <c r="A46" s="5" t="s">
        <v>346</v>
      </c>
    </row>
    <row r="47" spans="1:1">
      <c r="A47" s="10" t="s">
        <v>345</v>
      </c>
    </row>
    <row r="48" spans="1:1">
      <c r="A48" s="10" t="s">
        <v>349</v>
      </c>
    </row>
    <row r="49" spans="1:1">
      <c r="A49" s="10" t="s">
        <v>348</v>
      </c>
    </row>
    <row r="50" spans="1:1">
      <c r="A50" s="10" t="s">
        <v>347</v>
      </c>
    </row>
    <row r="51" spans="1:1">
      <c r="A51" s="5" t="s">
        <v>300</v>
      </c>
    </row>
    <row r="52" spans="1:1">
      <c r="A52" s="10" t="s">
        <v>363</v>
      </c>
    </row>
    <row r="53" spans="1:1">
      <c r="A53" s="10" t="s">
        <v>366</v>
      </c>
    </row>
    <row r="54" spans="1:1">
      <c r="A54" s="5" t="s">
        <v>302</v>
      </c>
    </row>
    <row r="55" spans="1:1">
      <c r="A55" s="10" t="s">
        <v>351</v>
      </c>
    </row>
    <row r="56" spans="1:1">
      <c r="A56" s="10" t="s">
        <v>364</v>
      </c>
    </row>
    <row r="57" spans="1:1">
      <c r="A57" s="10" t="s">
        <v>367</v>
      </c>
    </row>
    <row r="58" spans="1:1">
      <c r="A58" s="5" t="s">
        <v>350</v>
      </c>
    </row>
    <row r="59" spans="1:1">
      <c r="A59" s="10" t="s">
        <v>365</v>
      </c>
    </row>
    <row r="60" spans="1:1">
      <c r="A60" s="5" t="s">
        <v>288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AA46"/>
  <sheetViews>
    <sheetView showGridLines="0" topLeftCell="N1" zoomScale="80" zoomScaleNormal="80" workbookViewId="0">
      <selection activeCell="T30" sqref="T30"/>
    </sheetView>
  </sheetViews>
  <sheetFormatPr baseColWidth="10" defaultRowHeight="15"/>
  <cols>
    <col min="4" max="4" width="19.85546875" bestFit="1" customWidth="1"/>
    <col min="5" max="5" width="21.85546875" bestFit="1" customWidth="1"/>
    <col min="6" max="6" width="14.85546875" bestFit="1" customWidth="1"/>
    <col min="7" max="7" width="19.85546875" bestFit="1" customWidth="1"/>
    <col min="8" max="9" width="21.28515625" customWidth="1"/>
    <col min="10" max="10" width="17" customWidth="1"/>
    <col min="15" max="15" width="37.140625" customWidth="1"/>
    <col min="16" max="16" width="26.5703125" customWidth="1"/>
    <col min="17" max="17" width="32.28515625" customWidth="1"/>
    <col min="18" max="18" width="12.7109375" customWidth="1"/>
    <col min="19" max="19" width="12.85546875" customWidth="1"/>
    <col min="20" max="20" width="34.42578125" customWidth="1"/>
    <col min="21" max="21" width="23.140625" customWidth="1"/>
    <col min="22" max="22" width="9.5703125" customWidth="1"/>
    <col min="23" max="23" width="15.140625" customWidth="1"/>
    <col min="24" max="24" width="12.7109375" customWidth="1"/>
    <col min="25" max="25" width="8.85546875" customWidth="1"/>
    <col min="26" max="26" width="35.5703125" customWidth="1"/>
    <col min="27" max="27" width="12.85546875" customWidth="1"/>
    <col min="28" max="28" width="31.7109375" bestFit="1" customWidth="1"/>
    <col min="29" max="29" width="37.42578125" bestFit="1" customWidth="1"/>
  </cols>
  <sheetData>
    <row r="4" spans="4:27" ht="18" customHeight="1">
      <c r="D4" s="177"/>
      <c r="E4" s="177"/>
      <c r="F4" s="177"/>
      <c r="G4" s="177"/>
      <c r="H4" s="177"/>
    </row>
    <row r="5" spans="4:27">
      <c r="D5" s="177"/>
      <c r="E5" s="177"/>
      <c r="F5" s="177"/>
      <c r="G5" s="177"/>
      <c r="H5" s="177"/>
    </row>
    <row r="6" spans="4:27" ht="39">
      <c r="D6" s="8" t="s">
        <v>291</v>
      </c>
      <c r="E6" s="8" t="s">
        <v>417</v>
      </c>
      <c r="F6" s="8" t="s">
        <v>636</v>
      </c>
      <c r="G6" s="8" t="s">
        <v>362</v>
      </c>
      <c r="H6" s="9" t="s">
        <v>258</v>
      </c>
      <c r="I6" s="9" t="s">
        <v>50</v>
      </c>
      <c r="J6" s="9" t="s">
        <v>294</v>
      </c>
    </row>
    <row r="7" spans="4:27" ht="20.100000000000001" customHeight="1">
      <c r="D7" s="8" t="s">
        <v>292</v>
      </c>
      <c r="E7" s="8">
        <v>0</v>
      </c>
      <c r="F7" s="8">
        <v>43</v>
      </c>
      <c r="G7" s="8">
        <v>2</v>
      </c>
      <c r="H7" s="8">
        <v>2</v>
      </c>
      <c r="I7" s="8">
        <v>82</v>
      </c>
      <c r="J7" s="8">
        <f>SUM(Tabla1[[#This Row],[Auxiliar I]:[Técnico]])</f>
        <v>129</v>
      </c>
    </row>
    <row r="8" spans="4:27" ht="20.100000000000001" customHeight="1">
      <c r="D8" s="8" t="s">
        <v>293</v>
      </c>
      <c r="E8" s="8">
        <v>2</v>
      </c>
      <c r="F8" s="8">
        <v>100</v>
      </c>
      <c r="G8" s="8">
        <v>0</v>
      </c>
      <c r="H8" s="8">
        <v>6</v>
      </c>
      <c r="I8" s="8">
        <v>101</v>
      </c>
      <c r="J8" s="8">
        <f>SUM(Tabla1[[#This Row],[Auxiliar I]:[Técnico]])</f>
        <v>209</v>
      </c>
      <c r="S8" s="1"/>
    </row>
    <row r="9" spans="4:27">
      <c r="Q9" s="1"/>
      <c r="R9" s="1"/>
      <c r="S9" s="1"/>
    </row>
    <row r="10" spans="4:27">
      <c r="Q10" s="1"/>
    </row>
    <row r="11" spans="4:27">
      <c r="Q11" s="5"/>
      <c r="R11" s="28"/>
    </row>
    <row r="12" spans="4:27">
      <c r="O12" s="4" t="s">
        <v>383</v>
      </c>
      <c r="P12" s="1" t="s">
        <v>860</v>
      </c>
      <c r="Q12" s="1" t="s">
        <v>861</v>
      </c>
      <c r="T12" s="4" t="s">
        <v>858</v>
      </c>
      <c r="U12" s="4" t="s">
        <v>859</v>
      </c>
    </row>
    <row r="13" spans="4:27">
      <c r="O13" s="5" t="s">
        <v>729</v>
      </c>
      <c r="P13" s="28">
        <v>60</v>
      </c>
      <c r="Q13" s="28">
        <v>60</v>
      </c>
      <c r="T13" s="108" t="s">
        <v>383</v>
      </c>
      <c r="U13" s="1" t="s">
        <v>729</v>
      </c>
      <c r="V13" s="1" t="s">
        <v>725</v>
      </c>
      <c r="W13" s="1" t="s">
        <v>706</v>
      </c>
      <c r="X13" s="1" t="s">
        <v>410</v>
      </c>
      <c r="Y13" s="1" t="s">
        <v>730</v>
      </c>
      <c r="Z13" s="1" t="s">
        <v>754</v>
      </c>
      <c r="AA13" s="1" t="s">
        <v>288</v>
      </c>
    </row>
    <row r="14" spans="4:27">
      <c r="O14" s="10" t="s">
        <v>868</v>
      </c>
      <c r="P14" s="28">
        <v>60</v>
      </c>
      <c r="Q14" s="28">
        <v>60</v>
      </c>
      <c r="T14" s="5" t="s">
        <v>292</v>
      </c>
      <c r="U14" s="28"/>
      <c r="V14" s="28">
        <v>53</v>
      </c>
      <c r="W14" s="28">
        <v>3</v>
      </c>
      <c r="X14" s="28">
        <v>3</v>
      </c>
      <c r="Y14" s="28">
        <v>69</v>
      </c>
      <c r="Z14" s="28"/>
      <c r="AA14" s="28">
        <v>128</v>
      </c>
    </row>
    <row r="15" spans="4:27">
      <c r="O15" s="107" t="s">
        <v>292</v>
      </c>
      <c r="P15" s="28">
        <v>3</v>
      </c>
      <c r="Q15" s="28">
        <v>3</v>
      </c>
      <c r="T15" s="5" t="s">
        <v>868</v>
      </c>
      <c r="U15" s="28">
        <v>60</v>
      </c>
      <c r="V15" s="28">
        <v>114</v>
      </c>
      <c r="W15" s="28">
        <v>17</v>
      </c>
      <c r="X15" s="28">
        <v>21</v>
      </c>
      <c r="Y15" s="28">
        <v>92</v>
      </c>
      <c r="Z15" s="28">
        <v>2</v>
      </c>
      <c r="AA15" s="28">
        <v>306</v>
      </c>
    </row>
    <row r="16" spans="4:27">
      <c r="O16" s="107" t="s">
        <v>293</v>
      </c>
      <c r="P16" s="28">
        <v>57</v>
      </c>
      <c r="Q16" s="28">
        <v>57</v>
      </c>
      <c r="T16" s="10" t="s">
        <v>733</v>
      </c>
      <c r="U16" s="28">
        <v>60</v>
      </c>
      <c r="V16" s="28">
        <v>114</v>
      </c>
      <c r="W16" s="28">
        <v>17</v>
      </c>
      <c r="X16" s="28">
        <v>21</v>
      </c>
      <c r="Y16" s="28">
        <v>92</v>
      </c>
      <c r="Z16" s="28">
        <v>2</v>
      </c>
      <c r="AA16" s="28">
        <v>306</v>
      </c>
    </row>
    <row r="17" spans="3:27">
      <c r="O17" s="5" t="s">
        <v>725</v>
      </c>
      <c r="P17" s="28">
        <v>167</v>
      </c>
      <c r="Q17" s="28">
        <v>167</v>
      </c>
      <c r="T17" s="5" t="s">
        <v>288</v>
      </c>
      <c r="U17" s="28">
        <v>60</v>
      </c>
      <c r="V17" s="28">
        <v>167</v>
      </c>
      <c r="W17" s="28">
        <v>20</v>
      </c>
      <c r="X17" s="28">
        <v>24</v>
      </c>
      <c r="Y17" s="28">
        <v>161</v>
      </c>
      <c r="Z17" s="28">
        <v>2</v>
      </c>
      <c r="AA17" s="28">
        <v>434</v>
      </c>
    </row>
    <row r="18" spans="3:27">
      <c r="O18" s="10" t="s">
        <v>292</v>
      </c>
      <c r="P18" s="28">
        <v>53</v>
      </c>
      <c r="Q18" s="28">
        <v>53</v>
      </c>
    </row>
    <row r="19" spans="3:27">
      <c r="O19" s="107" t="s">
        <v>292</v>
      </c>
      <c r="P19" s="28">
        <v>47</v>
      </c>
      <c r="Q19" s="28">
        <v>47</v>
      </c>
      <c r="T19" s="4" t="s">
        <v>862</v>
      </c>
      <c r="U19" s="4" t="s">
        <v>859</v>
      </c>
    </row>
    <row r="20" spans="3:27">
      <c r="O20" s="107" t="s">
        <v>293</v>
      </c>
      <c r="P20" s="28">
        <v>6</v>
      </c>
      <c r="Q20" s="28">
        <v>6</v>
      </c>
      <c r="T20" s="4" t="s">
        <v>383</v>
      </c>
      <c r="U20" s="1" t="s">
        <v>729</v>
      </c>
      <c r="V20" s="1" t="s">
        <v>725</v>
      </c>
      <c r="W20" s="1" t="s">
        <v>706</v>
      </c>
      <c r="X20" s="1" t="s">
        <v>410</v>
      </c>
      <c r="Y20" s="1" t="s">
        <v>730</v>
      </c>
      <c r="Z20" s="1" t="s">
        <v>754</v>
      </c>
      <c r="AA20" s="1" t="s">
        <v>288</v>
      </c>
    </row>
    <row r="21" spans="3:27">
      <c r="O21" s="10" t="s">
        <v>868</v>
      </c>
      <c r="P21" s="28">
        <v>114</v>
      </c>
      <c r="Q21" s="28">
        <v>114</v>
      </c>
      <c r="T21" s="5" t="s">
        <v>292</v>
      </c>
      <c r="U21" s="28">
        <v>3</v>
      </c>
      <c r="V21" s="28">
        <v>122</v>
      </c>
      <c r="W21" s="28">
        <v>7</v>
      </c>
      <c r="X21" s="28">
        <v>11</v>
      </c>
      <c r="Y21" s="28">
        <v>118</v>
      </c>
      <c r="Z21" s="28"/>
      <c r="AA21" s="28">
        <v>261</v>
      </c>
    </row>
    <row r="22" spans="3:27">
      <c r="O22" s="107" t="s">
        <v>292</v>
      </c>
      <c r="P22" s="28">
        <v>75</v>
      </c>
      <c r="Q22" s="28">
        <v>75</v>
      </c>
      <c r="T22" s="5" t="s">
        <v>293</v>
      </c>
      <c r="U22" s="28">
        <v>57</v>
      </c>
      <c r="V22" s="28">
        <v>45</v>
      </c>
      <c r="W22" s="28">
        <v>13</v>
      </c>
      <c r="X22" s="28">
        <v>13</v>
      </c>
      <c r="Y22" s="28">
        <v>43</v>
      </c>
      <c r="Z22" s="28">
        <v>2</v>
      </c>
      <c r="AA22" s="28">
        <v>173</v>
      </c>
    </row>
    <row r="23" spans="3:27">
      <c r="O23" s="107" t="s">
        <v>293</v>
      </c>
      <c r="P23" s="28">
        <v>39</v>
      </c>
      <c r="Q23" s="28">
        <v>39</v>
      </c>
      <c r="T23" s="5" t="s">
        <v>288</v>
      </c>
      <c r="U23" s="28">
        <v>60</v>
      </c>
      <c r="V23" s="28">
        <v>167</v>
      </c>
      <c r="W23" s="28">
        <v>20</v>
      </c>
      <c r="X23" s="28">
        <v>24</v>
      </c>
      <c r="Y23" s="28">
        <v>161</v>
      </c>
      <c r="Z23" s="28">
        <v>2</v>
      </c>
      <c r="AA23" s="28">
        <v>434</v>
      </c>
    </row>
    <row r="24" spans="3:27">
      <c r="O24" s="5" t="s">
        <v>706</v>
      </c>
      <c r="P24" s="28">
        <v>20</v>
      </c>
      <c r="Q24" s="28">
        <v>20</v>
      </c>
    </row>
    <row r="25" spans="3:27">
      <c r="O25" s="10" t="s">
        <v>292</v>
      </c>
      <c r="P25" s="28">
        <v>3</v>
      </c>
      <c r="Q25" s="28">
        <v>3</v>
      </c>
    </row>
    <row r="26" spans="3:27">
      <c r="O26" s="107" t="s">
        <v>292</v>
      </c>
      <c r="P26" s="28">
        <v>3</v>
      </c>
      <c r="Q26" s="28">
        <v>3</v>
      </c>
    </row>
    <row r="27" spans="3:27">
      <c r="O27" s="10" t="s">
        <v>868</v>
      </c>
      <c r="P27" s="28">
        <v>17</v>
      </c>
      <c r="Q27" s="28">
        <v>17</v>
      </c>
    </row>
    <row r="28" spans="3:27">
      <c r="O28" s="107" t="s">
        <v>292</v>
      </c>
      <c r="P28" s="28">
        <v>4</v>
      </c>
      <c r="Q28" s="28">
        <v>4</v>
      </c>
    </row>
    <row r="29" spans="3:27">
      <c r="O29" s="107" t="s">
        <v>293</v>
      </c>
      <c r="P29" s="28">
        <v>13</v>
      </c>
      <c r="Q29" s="28">
        <v>13</v>
      </c>
    </row>
    <row r="30" spans="3:27">
      <c r="O30" s="5" t="s">
        <v>410</v>
      </c>
      <c r="P30" s="28">
        <v>24</v>
      </c>
      <c r="Q30" s="28">
        <v>24</v>
      </c>
    </row>
    <row r="31" spans="3:27">
      <c r="C31" t="s">
        <v>731</v>
      </c>
      <c r="D31" s="1" t="s">
        <v>637</v>
      </c>
      <c r="O31" s="10" t="s">
        <v>292</v>
      </c>
      <c r="P31" s="28">
        <v>3</v>
      </c>
      <c r="Q31" s="28">
        <v>3</v>
      </c>
    </row>
    <row r="32" spans="3:27">
      <c r="C32" t="s">
        <v>639</v>
      </c>
      <c r="D32" s="6" t="s">
        <v>292</v>
      </c>
      <c r="E32" s="6" t="s">
        <v>732</v>
      </c>
      <c r="F32" s="3" t="s">
        <v>293</v>
      </c>
      <c r="G32" s="6" t="s">
        <v>288</v>
      </c>
      <c r="O32" s="107" t="s">
        <v>292</v>
      </c>
      <c r="P32" s="28">
        <v>3</v>
      </c>
      <c r="Q32" s="28">
        <v>3</v>
      </c>
    </row>
    <row r="33" spans="3:17">
      <c r="C33" t="s">
        <v>729</v>
      </c>
      <c r="D33" s="75" t="s">
        <v>733</v>
      </c>
      <c r="E33" s="76">
        <v>2</v>
      </c>
      <c r="F33" s="76">
        <v>10</v>
      </c>
      <c r="G33" s="76">
        <v>12</v>
      </c>
      <c r="O33" s="10" t="s">
        <v>868</v>
      </c>
      <c r="P33" s="28">
        <v>21</v>
      </c>
      <c r="Q33" s="28">
        <v>21</v>
      </c>
    </row>
    <row r="34" spans="3:17">
      <c r="C34" t="s">
        <v>725</v>
      </c>
      <c r="D34" s="77">
        <v>62</v>
      </c>
      <c r="E34" s="78">
        <v>21</v>
      </c>
      <c r="F34" s="78">
        <v>32</v>
      </c>
      <c r="G34" s="78">
        <v>173</v>
      </c>
      <c r="O34" s="107" t="s">
        <v>292</v>
      </c>
      <c r="P34" s="28">
        <v>8</v>
      </c>
      <c r="Q34" s="28">
        <v>8</v>
      </c>
    </row>
    <row r="35" spans="3:17">
      <c r="C35" t="s">
        <v>706</v>
      </c>
      <c r="D35" s="77">
        <v>1</v>
      </c>
      <c r="E35" s="78">
        <v>3</v>
      </c>
      <c r="F35" s="78">
        <v>6</v>
      </c>
      <c r="G35" s="78">
        <v>12</v>
      </c>
      <c r="O35" s="107" t="s">
        <v>293</v>
      </c>
      <c r="P35" s="28">
        <v>13</v>
      </c>
      <c r="Q35" s="28">
        <v>13</v>
      </c>
    </row>
    <row r="36" spans="3:17">
      <c r="C36" t="s">
        <v>410</v>
      </c>
      <c r="D36" s="77">
        <v>6</v>
      </c>
      <c r="E36" s="78">
        <v>3</v>
      </c>
      <c r="F36" s="78">
        <v>7</v>
      </c>
      <c r="G36" s="78">
        <v>19</v>
      </c>
      <c r="O36" s="5" t="s">
        <v>730</v>
      </c>
      <c r="P36" s="28">
        <v>161</v>
      </c>
      <c r="Q36" s="28">
        <v>161</v>
      </c>
    </row>
    <row r="37" spans="3:17">
      <c r="C37" t="s">
        <v>730</v>
      </c>
      <c r="D37" s="79">
        <v>49</v>
      </c>
      <c r="E37" s="80">
        <v>23</v>
      </c>
      <c r="F37" s="80">
        <v>20</v>
      </c>
      <c r="G37" s="80">
        <v>163</v>
      </c>
      <c r="O37" s="10" t="s">
        <v>292</v>
      </c>
      <c r="P37" s="28">
        <v>69</v>
      </c>
      <c r="Q37" s="28">
        <v>69</v>
      </c>
    </row>
    <row r="38" spans="3:17">
      <c r="C38" t="s">
        <v>288</v>
      </c>
      <c r="D38" s="6">
        <v>140</v>
      </c>
      <c r="E38" s="6">
        <f>SUM(E33:E37)</f>
        <v>52</v>
      </c>
      <c r="F38" s="3">
        <f>SUM(F33:F37)</f>
        <v>75</v>
      </c>
      <c r="G38" s="6">
        <f>SUM(G33:G37)</f>
        <v>379</v>
      </c>
      <c r="O38" s="107" t="s">
        <v>292</v>
      </c>
      <c r="P38" s="28">
        <v>55</v>
      </c>
      <c r="Q38" s="28">
        <v>55</v>
      </c>
    </row>
    <row r="39" spans="3:17">
      <c r="O39" s="107" t="s">
        <v>293</v>
      </c>
      <c r="P39" s="28">
        <v>14</v>
      </c>
      <c r="Q39" s="28">
        <v>14</v>
      </c>
    </row>
    <row r="40" spans="3:17">
      <c r="O40" s="10" t="s">
        <v>868</v>
      </c>
      <c r="P40" s="28">
        <v>92</v>
      </c>
      <c r="Q40" s="28">
        <v>92</v>
      </c>
    </row>
    <row r="41" spans="3:17">
      <c r="C41" s="1" t="s">
        <v>731</v>
      </c>
      <c r="D41" s="1" t="s">
        <v>637</v>
      </c>
      <c r="E41" s="1"/>
      <c r="F41" s="1"/>
      <c r="G41" s="1"/>
      <c r="O41" s="107" t="s">
        <v>292</v>
      </c>
      <c r="P41" s="28">
        <v>63</v>
      </c>
      <c r="Q41" s="28">
        <v>63</v>
      </c>
    </row>
    <row r="42" spans="3:17">
      <c r="C42" s="1" t="s">
        <v>639</v>
      </c>
      <c r="D42" s="6" t="s">
        <v>292</v>
      </c>
      <c r="E42" s="6" t="s">
        <v>728</v>
      </c>
      <c r="F42" s="3" t="s">
        <v>293</v>
      </c>
      <c r="G42" s="6" t="s">
        <v>288</v>
      </c>
      <c r="O42" s="107" t="s">
        <v>293</v>
      </c>
      <c r="P42" s="28">
        <v>29</v>
      </c>
      <c r="Q42" s="28">
        <v>29</v>
      </c>
    </row>
    <row r="43" spans="3:17">
      <c r="C43" s="1" t="s">
        <v>288</v>
      </c>
      <c r="D43" s="6">
        <v>140</v>
      </c>
      <c r="E43" s="6">
        <v>52</v>
      </c>
      <c r="F43" s="3">
        <v>75</v>
      </c>
      <c r="G43" s="6">
        <v>379</v>
      </c>
      <c r="O43" s="5" t="s">
        <v>754</v>
      </c>
      <c r="P43" s="28">
        <v>2</v>
      </c>
      <c r="Q43" s="28">
        <v>2</v>
      </c>
    </row>
    <row r="44" spans="3:17">
      <c r="O44" s="10" t="s">
        <v>868</v>
      </c>
      <c r="P44" s="28">
        <v>2</v>
      </c>
      <c r="Q44" s="28">
        <v>2</v>
      </c>
    </row>
    <row r="45" spans="3:17">
      <c r="O45" s="107" t="s">
        <v>293</v>
      </c>
      <c r="P45" s="28">
        <v>2</v>
      </c>
      <c r="Q45" s="28">
        <v>2</v>
      </c>
    </row>
    <row r="46" spans="3:17">
      <c r="O46" s="5" t="s">
        <v>288</v>
      </c>
      <c r="P46" s="28">
        <v>434</v>
      </c>
      <c r="Q46" s="28">
        <v>434</v>
      </c>
    </row>
  </sheetData>
  <mergeCells count="1">
    <mergeCell ref="D4:H5"/>
  </mergeCells>
  <pageMargins left="0.7" right="0.7" top="0.75" bottom="0.75" header="0.3" footer="0.3"/>
  <pageSetup orientation="portrait" verticalDpi="0" r:id="rId4"/>
  <drawing r:id="rId5"/>
  <tableParts count="1">
    <tablePart r:id="rId6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M80"/>
  <sheetViews>
    <sheetView showGridLines="0" zoomScaleNormal="100" workbookViewId="0">
      <selection activeCell="C14" sqref="C14"/>
    </sheetView>
  </sheetViews>
  <sheetFormatPr baseColWidth="10" defaultRowHeight="15"/>
  <cols>
    <col min="1" max="1" width="37.85546875" bestFit="1" customWidth="1"/>
    <col min="2" max="2" width="4.5703125" customWidth="1"/>
    <col min="3" max="3" width="17.7109375" customWidth="1"/>
    <col min="4" max="4" width="5.42578125" bestFit="1" customWidth="1"/>
    <col min="5" max="5" width="5.28515625" bestFit="1" customWidth="1"/>
    <col min="6" max="6" width="12" bestFit="1" customWidth="1"/>
    <col min="7" max="7" width="5.85546875" bestFit="1" customWidth="1"/>
    <col min="8" max="8" width="10" bestFit="1" customWidth="1"/>
    <col min="9" max="9" width="16.42578125" bestFit="1" customWidth="1"/>
    <col min="10" max="10" width="16.5703125" bestFit="1" customWidth="1"/>
    <col min="11" max="11" width="30.7109375" bestFit="1" customWidth="1"/>
    <col min="12" max="12" width="26.5703125" bestFit="1" customWidth="1"/>
    <col min="13" max="13" width="12.5703125" bestFit="1" customWidth="1"/>
    <col min="14" max="14" width="12.5703125" customWidth="1"/>
    <col min="15" max="15" width="22" customWidth="1"/>
    <col min="16" max="16" width="10.7109375" customWidth="1"/>
    <col min="17" max="17" width="12.5703125" customWidth="1"/>
    <col min="18" max="18" width="21.42578125" customWidth="1"/>
    <col min="19" max="19" width="24.5703125" customWidth="1"/>
    <col min="20" max="20" width="10.28515625" customWidth="1"/>
    <col min="21" max="21" width="10.85546875" customWidth="1"/>
    <col min="22" max="22" width="15.5703125" bestFit="1" customWidth="1"/>
    <col min="23" max="23" width="16.28515625" bestFit="1" customWidth="1"/>
    <col min="24" max="24" width="12.140625" customWidth="1"/>
    <col min="25" max="25" width="9.7109375" customWidth="1"/>
    <col min="26" max="26" width="10.28515625" customWidth="1"/>
    <col min="27" max="27" width="10.85546875" customWidth="1"/>
    <col min="28" max="28" width="10.7109375" customWidth="1"/>
    <col min="29" max="29" width="12.5703125" customWidth="1"/>
    <col min="30" max="30" width="20.5703125" bestFit="1" customWidth="1"/>
    <col min="31" max="31" width="12.5703125" bestFit="1" customWidth="1"/>
  </cols>
  <sheetData>
    <row r="3" spans="1:13">
      <c r="A3" s="6"/>
      <c r="B3" s="54" t="s">
        <v>637</v>
      </c>
    </row>
    <row r="4" spans="1:13">
      <c r="A4" s="54" t="s">
        <v>639</v>
      </c>
      <c r="B4" s="1" t="s">
        <v>53</v>
      </c>
      <c r="C4" s="1" t="s">
        <v>389</v>
      </c>
      <c r="D4" s="1" t="s">
        <v>750</v>
      </c>
      <c r="E4" s="1" t="s">
        <v>55</v>
      </c>
      <c r="F4" s="1" t="s">
        <v>638</v>
      </c>
      <c r="G4" s="1" t="s">
        <v>56</v>
      </c>
      <c r="H4" s="1" t="s">
        <v>727</v>
      </c>
      <c r="I4" s="1" t="s">
        <v>755</v>
      </c>
      <c r="J4" s="1" t="s">
        <v>752</v>
      </c>
      <c r="K4" s="1" t="s">
        <v>405</v>
      </c>
      <c r="L4" s="1" t="s">
        <v>763</v>
      </c>
      <c r="M4" s="1" t="s">
        <v>288</v>
      </c>
    </row>
    <row r="5" spans="1:13">
      <c r="A5" s="56" t="s">
        <v>15</v>
      </c>
      <c r="B5" s="103"/>
      <c r="C5" s="103"/>
      <c r="D5" s="103"/>
      <c r="E5" s="103"/>
      <c r="F5" s="103"/>
      <c r="G5" s="103"/>
      <c r="H5" s="103"/>
      <c r="I5" s="103"/>
      <c r="J5" s="103"/>
      <c r="K5" s="103"/>
      <c r="L5" s="103"/>
      <c r="M5" s="103"/>
    </row>
    <row r="6" spans="1:13">
      <c r="A6" s="10" t="s">
        <v>729</v>
      </c>
    </row>
    <row r="7" spans="1:13">
      <c r="A7" s="10" t="s">
        <v>725</v>
      </c>
    </row>
    <row r="8" spans="1:13">
      <c r="A8" s="10" t="s">
        <v>410</v>
      </c>
    </row>
    <row r="9" spans="1:13">
      <c r="A9" s="10" t="s">
        <v>730</v>
      </c>
    </row>
    <row r="10" spans="1:13">
      <c r="A10" s="10" t="s">
        <v>706</v>
      </c>
    </row>
    <row r="11" spans="1:13">
      <c r="A11" s="56" t="s">
        <v>257</v>
      </c>
      <c r="B11" s="103"/>
      <c r="C11" s="103"/>
      <c r="D11" s="103"/>
      <c r="E11" s="103"/>
      <c r="F11" s="103"/>
      <c r="G11" s="103"/>
      <c r="H11" s="103"/>
      <c r="I11" s="103"/>
      <c r="J11" s="103"/>
      <c r="K11" s="103"/>
      <c r="L11" s="103"/>
      <c r="M11" s="103"/>
    </row>
    <row r="12" spans="1:13">
      <c r="A12" s="10" t="s">
        <v>725</v>
      </c>
    </row>
    <row r="13" spans="1:13">
      <c r="A13" s="55" t="s">
        <v>410</v>
      </c>
      <c r="B13" s="101"/>
      <c r="C13" s="101"/>
      <c r="D13" s="101"/>
      <c r="E13" s="101"/>
      <c r="F13" s="101"/>
      <c r="G13" s="101"/>
      <c r="H13" s="101"/>
      <c r="I13" s="101"/>
      <c r="J13" s="101"/>
      <c r="K13" s="101"/>
      <c r="L13" s="101"/>
      <c r="M13" s="101"/>
    </row>
    <row r="14" spans="1:13">
      <c r="A14" s="10" t="s">
        <v>730</v>
      </c>
    </row>
    <row r="15" spans="1:13">
      <c r="A15" s="56" t="s">
        <v>69</v>
      </c>
      <c r="B15" s="103"/>
      <c r="C15" s="103"/>
      <c r="D15" s="103"/>
      <c r="E15" s="103"/>
      <c r="F15" s="103"/>
      <c r="G15" s="103"/>
      <c r="H15" s="103"/>
      <c r="I15" s="103"/>
      <c r="J15" s="103"/>
      <c r="K15" s="103"/>
      <c r="L15" s="103"/>
      <c r="M15" s="103"/>
    </row>
    <row r="16" spans="1:13">
      <c r="A16" s="10" t="s">
        <v>729</v>
      </c>
    </row>
    <row r="17" spans="1:13">
      <c r="A17" s="10" t="s">
        <v>725</v>
      </c>
    </row>
    <row r="18" spans="1:13">
      <c r="A18" s="10" t="s">
        <v>410</v>
      </c>
    </row>
    <row r="19" spans="1:13">
      <c r="A19" s="10" t="s">
        <v>730</v>
      </c>
    </row>
    <row r="20" spans="1:13">
      <c r="A20" s="10" t="s">
        <v>706</v>
      </c>
    </row>
    <row r="21" spans="1:13">
      <c r="A21" s="56" t="s">
        <v>0</v>
      </c>
      <c r="B21" s="103"/>
      <c r="C21" s="103"/>
      <c r="D21" s="103"/>
      <c r="E21" s="103"/>
      <c r="F21" s="103"/>
      <c r="G21" s="103"/>
      <c r="H21" s="103"/>
      <c r="I21" s="103"/>
      <c r="J21" s="103"/>
      <c r="K21" s="103"/>
      <c r="L21" s="103"/>
      <c r="M21" s="103"/>
    </row>
    <row r="22" spans="1:13">
      <c r="A22" s="10" t="s">
        <v>729</v>
      </c>
    </row>
    <row r="23" spans="1:13">
      <c r="A23" s="10" t="s">
        <v>725</v>
      </c>
    </row>
    <row r="24" spans="1:13">
      <c r="A24" s="55" t="s">
        <v>410</v>
      </c>
      <c r="B24" s="101"/>
      <c r="C24" s="101"/>
      <c r="D24" s="101"/>
      <c r="E24" s="101"/>
      <c r="F24" s="101"/>
      <c r="G24" s="101"/>
      <c r="H24" s="101"/>
      <c r="I24" s="101"/>
      <c r="J24" s="101"/>
      <c r="K24" s="101"/>
      <c r="L24" s="101"/>
      <c r="M24" s="101"/>
    </row>
    <row r="25" spans="1:13">
      <c r="A25" s="10" t="s">
        <v>730</v>
      </c>
    </row>
    <row r="26" spans="1:13">
      <c r="A26" s="10" t="s">
        <v>706</v>
      </c>
    </row>
    <row r="27" spans="1:13">
      <c r="A27" s="56" t="s">
        <v>27</v>
      </c>
      <c r="B27" s="103"/>
      <c r="C27" s="103"/>
      <c r="D27" s="103"/>
      <c r="E27" s="103"/>
      <c r="F27" s="103"/>
      <c r="G27" s="103"/>
      <c r="H27" s="103"/>
      <c r="I27" s="103"/>
      <c r="J27" s="103"/>
      <c r="K27" s="103"/>
      <c r="L27" s="103"/>
      <c r="M27" s="103"/>
    </row>
    <row r="28" spans="1:13">
      <c r="A28" s="10" t="s">
        <v>729</v>
      </c>
    </row>
    <row r="29" spans="1:13">
      <c r="A29" s="10" t="s">
        <v>725</v>
      </c>
    </row>
    <row r="30" spans="1:13">
      <c r="A30" s="55" t="s">
        <v>410</v>
      </c>
      <c r="B30" s="102"/>
      <c r="C30" s="102"/>
      <c r="D30" s="102"/>
      <c r="E30" s="102"/>
      <c r="F30" s="101"/>
      <c r="G30" s="102"/>
      <c r="H30" s="102"/>
      <c r="I30" s="102"/>
      <c r="J30" s="102"/>
      <c r="K30" s="102"/>
      <c r="L30" s="102"/>
      <c r="M30" s="101"/>
    </row>
    <row r="31" spans="1:13">
      <c r="A31" s="10" t="s">
        <v>730</v>
      </c>
    </row>
    <row r="32" spans="1:13">
      <c r="A32" s="10" t="s">
        <v>706</v>
      </c>
    </row>
    <row r="33" spans="1:13">
      <c r="A33" s="10" t="s">
        <v>754</v>
      </c>
    </row>
    <row r="34" spans="1:13">
      <c r="A34" s="56" t="s">
        <v>20</v>
      </c>
      <c r="B34" s="103"/>
      <c r="C34" s="103"/>
      <c r="D34" s="103"/>
      <c r="E34" s="103"/>
      <c r="F34" s="103"/>
      <c r="G34" s="103"/>
      <c r="H34" s="103"/>
      <c r="I34" s="103"/>
      <c r="J34" s="103"/>
      <c r="K34" s="103"/>
      <c r="L34" s="103"/>
      <c r="M34" s="103"/>
    </row>
    <row r="35" spans="1:13">
      <c r="A35" s="10" t="s">
        <v>729</v>
      </c>
    </row>
    <row r="36" spans="1:13">
      <c r="A36" s="10" t="s">
        <v>725</v>
      </c>
    </row>
    <row r="37" spans="1:13">
      <c r="A37" s="55" t="s">
        <v>410</v>
      </c>
      <c r="B37" s="101"/>
      <c r="C37" s="101"/>
      <c r="D37" s="101"/>
      <c r="E37" s="101"/>
      <c r="F37" s="101"/>
      <c r="G37" s="101"/>
      <c r="H37" s="101"/>
      <c r="I37" s="101"/>
      <c r="J37" s="101"/>
      <c r="K37" s="101"/>
      <c r="L37" s="101"/>
      <c r="M37" s="101"/>
    </row>
    <row r="38" spans="1:13">
      <c r="A38" s="10" t="s">
        <v>730</v>
      </c>
    </row>
    <row r="39" spans="1:13">
      <c r="A39" s="10" t="s">
        <v>706</v>
      </c>
    </row>
    <row r="40" spans="1:13">
      <c r="A40" s="56" t="s">
        <v>36</v>
      </c>
      <c r="B40" s="103"/>
      <c r="C40" s="103"/>
      <c r="D40" s="103"/>
      <c r="E40" s="103"/>
      <c r="F40" s="103"/>
      <c r="G40" s="103"/>
      <c r="H40" s="103"/>
      <c r="I40" s="103"/>
      <c r="J40" s="103"/>
      <c r="K40" s="103"/>
      <c r="L40" s="103"/>
      <c r="M40" s="103"/>
    </row>
    <row r="41" spans="1:13">
      <c r="A41" s="10" t="s">
        <v>729</v>
      </c>
    </row>
    <row r="42" spans="1:13">
      <c r="A42" s="10" t="s">
        <v>725</v>
      </c>
    </row>
    <row r="43" spans="1:13">
      <c r="A43" s="55" t="s">
        <v>410</v>
      </c>
      <c r="B43" s="101"/>
      <c r="C43" s="101"/>
      <c r="D43" s="101"/>
      <c r="E43" s="101"/>
      <c r="F43" s="101"/>
      <c r="G43" s="101"/>
      <c r="H43" s="101"/>
      <c r="I43" s="101"/>
      <c r="J43" s="101"/>
      <c r="K43" s="101"/>
      <c r="L43" s="101"/>
      <c r="M43" s="101"/>
    </row>
    <row r="44" spans="1:13">
      <c r="A44" s="10" t="s">
        <v>730</v>
      </c>
    </row>
    <row r="45" spans="1:13">
      <c r="A45" s="10" t="s">
        <v>706</v>
      </c>
    </row>
    <row r="46" spans="1:13">
      <c r="A46" s="56" t="s">
        <v>31</v>
      </c>
      <c r="B46" s="103"/>
      <c r="C46" s="103"/>
      <c r="D46" s="103"/>
      <c r="E46" s="103"/>
      <c r="F46" s="103"/>
      <c r="G46" s="103"/>
      <c r="H46" s="103"/>
      <c r="I46" s="103"/>
      <c r="J46" s="103"/>
      <c r="K46" s="103"/>
      <c r="L46" s="103"/>
      <c r="M46" s="103"/>
    </row>
    <row r="47" spans="1:13">
      <c r="A47" s="10" t="s">
        <v>729</v>
      </c>
    </row>
    <row r="48" spans="1:13">
      <c r="A48" s="10" t="s">
        <v>725</v>
      </c>
    </row>
    <row r="49" spans="1:13">
      <c r="A49" s="55" t="s">
        <v>410</v>
      </c>
      <c r="B49" s="101"/>
      <c r="C49" s="101"/>
      <c r="D49" s="101"/>
      <c r="E49" s="101"/>
      <c r="F49" s="101"/>
      <c r="G49" s="101"/>
      <c r="H49" s="101"/>
      <c r="I49" s="101"/>
      <c r="J49" s="101"/>
      <c r="K49" s="101"/>
      <c r="L49" s="101"/>
      <c r="M49" s="101"/>
    </row>
    <row r="50" spans="1:13">
      <c r="A50" s="10" t="s">
        <v>730</v>
      </c>
    </row>
    <row r="51" spans="1:13">
      <c r="A51" s="10" t="s">
        <v>706</v>
      </c>
    </row>
    <row r="52" spans="1:13">
      <c r="A52" s="56" t="s">
        <v>261</v>
      </c>
      <c r="B52" s="103"/>
      <c r="C52" s="103"/>
      <c r="D52" s="103"/>
      <c r="E52" s="103"/>
      <c r="F52" s="103"/>
      <c r="G52" s="103"/>
      <c r="H52" s="103"/>
      <c r="I52" s="103"/>
      <c r="J52" s="103"/>
      <c r="K52" s="103"/>
      <c r="L52" s="103"/>
      <c r="M52" s="103"/>
    </row>
    <row r="53" spans="1:13">
      <c r="A53" s="10" t="s">
        <v>725</v>
      </c>
    </row>
    <row r="54" spans="1:13">
      <c r="A54" s="10" t="s">
        <v>730</v>
      </c>
    </row>
    <row r="55" spans="1:13">
      <c r="A55" s="56" t="s">
        <v>39</v>
      </c>
      <c r="B55" s="103"/>
      <c r="C55" s="103"/>
      <c r="D55" s="103"/>
      <c r="E55" s="103"/>
      <c r="F55" s="103"/>
      <c r="G55" s="103"/>
      <c r="H55" s="103"/>
      <c r="I55" s="103"/>
      <c r="J55" s="103"/>
      <c r="K55" s="103"/>
      <c r="L55" s="103"/>
      <c r="M55" s="103"/>
    </row>
    <row r="56" spans="1:13">
      <c r="A56" s="10" t="s">
        <v>729</v>
      </c>
    </row>
    <row r="57" spans="1:13">
      <c r="A57" s="10" t="s">
        <v>725</v>
      </c>
    </row>
    <row r="58" spans="1:13">
      <c r="A58" s="55" t="s">
        <v>410</v>
      </c>
      <c r="B58" s="101"/>
      <c r="C58" s="101"/>
      <c r="D58" s="101"/>
      <c r="E58" s="101"/>
      <c r="F58" s="101"/>
      <c r="G58" s="101"/>
      <c r="H58" s="101"/>
      <c r="I58" s="101"/>
      <c r="J58" s="101"/>
      <c r="K58" s="101"/>
      <c r="L58" s="101"/>
      <c r="M58" s="101"/>
    </row>
    <row r="59" spans="1:13">
      <c r="A59" s="10" t="s">
        <v>730</v>
      </c>
    </row>
    <row r="60" spans="1:13">
      <c r="A60" s="10" t="s">
        <v>706</v>
      </c>
    </row>
    <row r="61" spans="1:13">
      <c r="A61" s="56" t="s">
        <v>66</v>
      </c>
      <c r="B61" s="103"/>
      <c r="C61" s="103"/>
      <c r="D61" s="103"/>
      <c r="E61" s="103"/>
      <c r="F61" s="103"/>
      <c r="G61" s="103"/>
      <c r="H61" s="103"/>
      <c r="I61" s="103"/>
      <c r="J61" s="103"/>
      <c r="K61" s="103"/>
      <c r="L61" s="103"/>
      <c r="M61" s="103"/>
    </row>
    <row r="62" spans="1:13">
      <c r="A62" s="10" t="s">
        <v>729</v>
      </c>
    </row>
    <row r="63" spans="1:13">
      <c r="A63" s="10" t="s">
        <v>725</v>
      </c>
    </row>
    <row r="64" spans="1:13">
      <c r="A64" s="55" t="s">
        <v>410</v>
      </c>
      <c r="B64" s="101"/>
      <c r="C64" s="101"/>
      <c r="D64" s="101"/>
      <c r="E64" s="101"/>
      <c r="F64" s="101"/>
      <c r="G64" s="101"/>
      <c r="H64" s="101"/>
      <c r="I64" s="101"/>
      <c r="J64" s="101"/>
      <c r="K64" s="101"/>
      <c r="L64" s="101"/>
      <c r="M64" s="101"/>
    </row>
    <row r="65" spans="1:13">
      <c r="A65" s="10" t="s">
        <v>730</v>
      </c>
    </row>
    <row r="66" spans="1:13">
      <c r="A66" s="10" t="s">
        <v>706</v>
      </c>
    </row>
    <row r="67" spans="1:13">
      <c r="A67" s="56" t="s">
        <v>531</v>
      </c>
      <c r="B67" s="103"/>
      <c r="C67" s="103"/>
      <c r="D67" s="103"/>
      <c r="E67" s="103"/>
      <c r="F67" s="103"/>
      <c r="G67" s="103"/>
      <c r="H67" s="103"/>
      <c r="I67" s="103"/>
      <c r="J67" s="103"/>
      <c r="K67" s="103"/>
      <c r="L67" s="103"/>
      <c r="M67" s="103"/>
    </row>
    <row r="68" spans="1:13">
      <c r="A68" s="10" t="s">
        <v>729</v>
      </c>
    </row>
    <row r="69" spans="1:13">
      <c r="A69" s="10" t="s">
        <v>725</v>
      </c>
    </row>
    <row r="70" spans="1:13">
      <c r="A70" s="55" t="s">
        <v>410</v>
      </c>
      <c r="B70" s="101"/>
      <c r="C70" s="101"/>
      <c r="D70" s="101"/>
      <c r="E70" s="101"/>
      <c r="F70" s="101"/>
      <c r="G70" s="101"/>
      <c r="H70" s="101"/>
      <c r="I70" s="101"/>
      <c r="J70" s="101"/>
      <c r="K70" s="101"/>
      <c r="L70" s="101"/>
      <c r="M70" s="101"/>
    </row>
    <row r="71" spans="1:13">
      <c r="A71" s="10" t="s">
        <v>730</v>
      </c>
    </row>
    <row r="72" spans="1:13">
      <c r="A72" s="10" t="s">
        <v>706</v>
      </c>
    </row>
    <row r="73" spans="1:13">
      <c r="A73" s="62" t="s">
        <v>642</v>
      </c>
      <c r="B73" s="105"/>
      <c r="C73" s="105"/>
      <c r="D73" s="105"/>
      <c r="E73" s="105"/>
      <c r="F73" s="105"/>
      <c r="G73" s="105"/>
      <c r="H73" s="105"/>
      <c r="I73" s="105"/>
      <c r="J73" s="105"/>
      <c r="K73" s="105"/>
      <c r="L73" s="105"/>
      <c r="M73" s="105"/>
    </row>
    <row r="74" spans="1:13">
      <c r="A74" s="10" t="s">
        <v>725</v>
      </c>
    </row>
    <row r="75" spans="1:13">
      <c r="A75" s="10" t="s">
        <v>730</v>
      </c>
    </row>
    <row r="76" spans="1:13">
      <c r="A76" s="62" t="s">
        <v>645</v>
      </c>
      <c r="B76" s="105"/>
      <c r="C76" s="105"/>
      <c r="D76" s="105"/>
      <c r="E76" s="105"/>
      <c r="F76" s="105"/>
      <c r="G76" s="105"/>
      <c r="H76" s="105"/>
      <c r="I76" s="105"/>
      <c r="J76" s="105"/>
      <c r="K76" s="105"/>
      <c r="L76" s="105"/>
      <c r="M76" s="105"/>
    </row>
    <row r="77" spans="1:13">
      <c r="A77" s="10" t="s">
        <v>725</v>
      </c>
    </row>
    <row r="78" spans="1:13">
      <c r="A78" s="61" t="s">
        <v>410</v>
      </c>
      <c r="B78" s="104"/>
      <c r="C78" s="104"/>
      <c r="D78" s="104"/>
      <c r="E78" s="104"/>
      <c r="F78" s="104"/>
      <c r="G78" s="106"/>
      <c r="H78" s="104"/>
      <c r="I78" s="104"/>
      <c r="J78" s="104"/>
      <c r="K78" s="104"/>
      <c r="L78" s="104"/>
      <c r="M78" s="106"/>
    </row>
    <row r="79" spans="1:13">
      <c r="A79" s="10" t="s">
        <v>730</v>
      </c>
    </row>
    <row r="80" spans="1:13">
      <c r="A80" s="5" t="s">
        <v>288</v>
      </c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</row>
  </sheetData>
  <pageMargins left="0.25" right="0.25" top="0.75" bottom="0.75" header="0.3" footer="0.3"/>
  <pageSetup orientation="portrait" verticalDpi="0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AG84"/>
  <sheetViews>
    <sheetView showGridLines="0" zoomScaleNormal="100" workbookViewId="0">
      <selection activeCell="B10" sqref="B10"/>
    </sheetView>
  </sheetViews>
  <sheetFormatPr baseColWidth="10" defaultRowHeight="15"/>
  <cols>
    <col min="1" max="1" width="11.42578125" style="1"/>
    <col min="2" max="2" width="34.140625" style="1" customWidth="1"/>
    <col min="3" max="3" width="12.5703125" style="1" customWidth="1"/>
    <col min="4" max="4" width="11" style="1" customWidth="1"/>
    <col min="5" max="5" width="23.7109375" style="1" customWidth="1"/>
    <col min="6" max="6" width="14.42578125" style="1" customWidth="1"/>
    <col min="7" max="8" width="12.5703125" style="1" customWidth="1"/>
    <col min="9" max="9" width="14.5703125" style="1" customWidth="1"/>
    <col min="10" max="10" width="12.140625" style="1" customWidth="1"/>
    <col min="11" max="11" width="8.7109375" style="1" customWidth="1"/>
    <col min="12" max="12" width="14.42578125" style="1" customWidth="1"/>
    <col min="13" max="13" width="9.28515625" style="1" customWidth="1"/>
    <col min="14" max="14" width="14.5703125" style="1" customWidth="1"/>
    <col min="15" max="15" width="12.140625" style="1" customWidth="1"/>
    <col min="16" max="16" width="8.7109375" style="1" customWidth="1"/>
    <col min="17" max="18" width="12.5703125" style="1" customWidth="1"/>
    <col min="19" max="19" width="12.140625" style="1" customWidth="1"/>
    <col min="20" max="20" width="15.140625" style="1" customWidth="1"/>
    <col min="21" max="21" width="12.7109375" style="1" customWidth="1"/>
    <col min="22" max="22" width="15.7109375" style="1" customWidth="1"/>
    <col min="23" max="23" width="32.5703125" style="1" bestFit="1" customWidth="1"/>
    <col min="24" max="24" width="35.7109375" style="1" bestFit="1" customWidth="1"/>
    <col min="25" max="25" width="13.140625" style="1" customWidth="1"/>
    <col min="26" max="26" width="16.28515625" style="1" customWidth="1"/>
    <col min="27" max="27" width="12.5703125" style="1" customWidth="1"/>
    <col min="28" max="28" width="15.5703125" style="1" customWidth="1"/>
    <col min="29" max="29" width="18.7109375" style="1" customWidth="1"/>
    <col min="30" max="30" width="21.85546875" style="1" customWidth="1"/>
    <col min="31" max="31" width="16.42578125" style="1" customWidth="1"/>
    <col min="32" max="32" width="19.5703125" style="1" bestFit="1" customWidth="1"/>
    <col min="33" max="33" width="12.5703125" style="1" bestFit="1" customWidth="1"/>
    <col min="34" max="16384" width="11.42578125" style="1"/>
  </cols>
  <sheetData>
    <row r="3" spans="2:33">
      <c r="B3"/>
      <c r="C3"/>
    </row>
    <row r="5" spans="2:33">
      <c r="B5" s="67" t="s">
        <v>639</v>
      </c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</row>
    <row r="6" spans="2:33">
      <c r="B6" s="74" t="s">
        <v>729</v>
      </c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</row>
    <row r="7" spans="2:33">
      <c r="B7" s="74" t="s">
        <v>725</v>
      </c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</row>
    <row r="8" spans="2:33">
      <c r="B8" s="74" t="s">
        <v>706</v>
      </c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</row>
    <row r="9" spans="2:33">
      <c r="B9" s="74" t="s">
        <v>410</v>
      </c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</row>
    <row r="10" spans="2:33">
      <c r="B10" s="74" t="s">
        <v>754</v>
      </c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</row>
    <row r="11" spans="2:33">
      <c r="B11" s="74" t="s">
        <v>730</v>
      </c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</row>
    <row r="12" spans="2:33">
      <c r="B12" s="69" t="s">
        <v>288</v>
      </c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</row>
    <row r="13" spans="2:33"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</row>
    <row r="14" spans="2:33"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</row>
    <row r="15" spans="2:33"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</row>
    <row r="16" spans="2:33"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</row>
    <row r="17" spans="2:33"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</row>
    <row r="18" spans="2:33"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</row>
    <row r="19" spans="2:33"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</row>
    <row r="20" spans="2:33"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</row>
    <row r="21" spans="2:33"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</row>
    <row r="22" spans="2:33"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</row>
    <row r="23" spans="2:33"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</row>
    <row r="24" spans="2:33"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</row>
    <row r="25" spans="2:33"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</row>
    <row r="26" spans="2:33"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</row>
    <row r="27" spans="2:33"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</row>
    <row r="28" spans="2:33"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</row>
    <row r="29" spans="2:33"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</row>
    <row r="30" spans="2:33"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</row>
    <row r="31" spans="2:33"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</row>
    <row r="32" spans="2:33"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</row>
    <row r="33" spans="2:18"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</row>
    <row r="34" spans="2:18"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</row>
    <row r="35" spans="2:18"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</row>
    <row r="36" spans="2:18"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</row>
    <row r="37" spans="2:18"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</row>
    <row r="38" spans="2:18"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</row>
    <row r="39" spans="2:18"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</row>
    <row r="40" spans="2:18"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</row>
    <row r="41" spans="2:18"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</row>
    <row r="42" spans="2:18"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</row>
    <row r="43" spans="2:18"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</row>
    <row r="44" spans="2:18">
      <c r="B44"/>
      <c r="C44"/>
      <c r="D44"/>
      <c r="E44"/>
      <c r="F44"/>
      <c r="G44"/>
      <c r="H44"/>
      <c r="I44"/>
    </row>
    <row r="45" spans="2:18">
      <c r="B45"/>
      <c r="C45"/>
      <c r="D45"/>
      <c r="E45"/>
      <c r="F45"/>
      <c r="G45"/>
      <c r="H45"/>
      <c r="I45"/>
    </row>
    <row r="46" spans="2:18">
      <c r="B46"/>
      <c r="C46"/>
      <c r="D46"/>
      <c r="E46"/>
      <c r="F46"/>
      <c r="G46"/>
      <c r="H46"/>
      <c r="I46"/>
    </row>
    <row r="47" spans="2:18">
      <c r="B47"/>
      <c r="C47"/>
      <c r="D47"/>
      <c r="E47"/>
      <c r="F47"/>
      <c r="G47"/>
      <c r="H47"/>
      <c r="I47"/>
    </row>
    <row r="48" spans="2:18">
      <c r="B48"/>
      <c r="C48"/>
      <c r="D48"/>
      <c r="E48"/>
      <c r="F48"/>
      <c r="G48"/>
      <c r="H48"/>
      <c r="I48"/>
    </row>
    <row r="49" spans="2:9">
      <c r="B49"/>
      <c r="C49"/>
      <c r="D49"/>
      <c r="E49"/>
      <c r="F49"/>
      <c r="G49"/>
      <c r="H49"/>
      <c r="I49"/>
    </row>
    <row r="50" spans="2:9">
      <c r="B50"/>
      <c r="C50"/>
      <c r="D50"/>
      <c r="E50"/>
      <c r="F50"/>
      <c r="G50"/>
      <c r="H50"/>
      <c r="I50"/>
    </row>
    <row r="51" spans="2:9">
      <c r="B51"/>
      <c r="C51"/>
      <c r="D51"/>
      <c r="E51"/>
      <c r="F51"/>
      <c r="G51"/>
      <c r="H51"/>
      <c r="I51"/>
    </row>
    <row r="52" spans="2:9">
      <c r="B52"/>
      <c r="C52"/>
      <c r="D52"/>
      <c r="E52"/>
      <c r="F52"/>
      <c r="G52"/>
      <c r="H52"/>
      <c r="I52"/>
    </row>
    <row r="53" spans="2:9">
      <c r="B53"/>
      <c r="C53"/>
      <c r="D53"/>
      <c r="E53"/>
      <c r="F53"/>
      <c r="G53"/>
      <c r="H53"/>
      <c r="I53"/>
    </row>
    <row r="54" spans="2:9">
      <c r="B54"/>
      <c r="C54"/>
      <c r="D54"/>
      <c r="E54"/>
      <c r="F54"/>
      <c r="G54"/>
      <c r="H54"/>
      <c r="I54"/>
    </row>
    <row r="55" spans="2:9">
      <c r="B55"/>
      <c r="C55"/>
      <c r="D55"/>
      <c r="E55"/>
      <c r="F55"/>
      <c r="G55"/>
      <c r="H55"/>
      <c r="I55"/>
    </row>
    <row r="56" spans="2:9">
      <c r="B56"/>
      <c r="C56"/>
      <c r="D56"/>
      <c r="E56"/>
      <c r="F56"/>
      <c r="G56"/>
      <c r="H56"/>
      <c r="I56"/>
    </row>
    <row r="57" spans="2:9">
      <c r="B57"/>
      <c r="C57"/>
      <c r="D57"/>
      <c r="E57"/>
      <c r="F57"/>
      <c r="G57"/>
      <c r="H57"/>
      <c r="I57"/>
    </row>
    <row r="58" spans="2:9">
      <c r="B58"/>
      <c r="C58"/>
      <c r="D58"/>
      <c r="E58"/>
      <c r="F58"/>
      <c r="G58"/>
      <c r="H58"/>
      <c r="I58"/>
    </row>
    <row r="59" spans="2:9">
      <c r="B59"/>
      <c r="C59"/>
      <c r="D59"/>
      <c r="E59"/>
      <c r="F59"/>
      <c r="G59"/>
      <c r="H59"/>
      <c r="I59"/>
    </row>
    <row r="60" spans="2:9">
      <c r="B60"/>
      <c r="C60"/>
      <c r="D60"/>
      <c r="E60"/>
      <c r="F60"/>
      <c r="G60"/>
      <c r="H60"/>
      <c r="I60"/>
    </row>
    <row r="61" spans="2:9">
      <c r="B61"/>
      <c r="C61"/>
      <c r="D61"/>
      <c r="E61"/>
      <c r="F61"/>
      <c r="G61"/>
      <c r="H61"/>
      <c r="I61"/>
    </row>
    <row r="62" spans="2:9">
      <c r="B62"/>
      <c r="C62"/>
      <c r="D62"/>
      <c r="E62"/>
      <c r="F62"/>
      <c r="G62"/>
      <c r="H62"/>
      <c r="I62"/>
    </row>
    <row r="63" spans="2:9">
      <c r="B63"/>
      <c r="C63"/>
      <c r="D63"/>
      <c r="E63"/>
      <c r="F63"/>
      <c r="G63"/>
      <c r="H63"/>
      <c r="I63"/>
    </row>
    <row r="64" spans="2:9">
      <c r="B64"/>
      <c r="C64"/>
      <c r="D64"/>
      <c r="E64"/>
      <c r="F64"/>
      <c r="G64"/>
      <c r="H64"/>
      <c r="I64"/>
    </row>
    <row r="65" spans="2:9">
      <c r="B65"/>
      <c r="C65"/>
      <c r="D65"/>
      <c r="E65"/>
      <c r="F65"/>
      <c r="G65"/>
      <c r="H65"/>
      <c r="I65"/>
    </row>
    <row r="66" spans="2:9">
      <c r="B66"/>
      <c r="C66"/>
      <c r="D66"/>
      <c r="E66"/>
      <c r="F66"/>
      <c r="G66"/>
      <c r="H66"/>
      <c r="I66"/>
    </row>
    <row r="67" spans="2:9">
      <c r="B67"/>
      <c r="C67"/>
      <c r="D67"/>
      <c r="E67"/>
      <c r="F67"/>
      <c r="G67"/>
      <c r="H67"/>
      <c r="I67"/>
    </row>
    <row r="68" spans="2:9">
      <c r="B68"/>
      <c r="C68"/>
      <c r="D68"/>
      <c r="E68"/>
      <c r="F68"/>
      <c r="G68"/>
      <c r="H68"/>
      <c r="I68"/>
    </row>
    <row r="69" spans="2:9">
      <c r="B69"/>
      <c r="C69"/>
      <c r="D69"/>
      <c r="E69"/>
      <c r="F69"/>
      <c r="G69"/>
      <c r="H69"/>
      <c r="I69"/>
    </row>
    <row r="70" spans="2:9">
      <c r="B70"/>
      <c r="C70"/>
      <c r="D70"/>
      <c r="E70"/>
      <c r="F70"/>
      <c r="G70"/>
      <c r="H70"/>
      <c r="I70"/>
    </row>
    <row r="71" spans="2:9">
      <c r="B71"/>
      <c r="C71"/>
      <c r="D71"/>
      <c r="E71"/>
      <c r="F71"/>
      <c r="G71"/>
      <c r="H71"/>
      <c r="I71"/>
    </row>
    <row r="72" spans="2:9">
      <c r="B72"/>
      <c r="C72"/>
      <c r="D72"/>
      <c r="E72"/>
      <c r="F72"/>
      <c r="G72"/>
      <c r="H72"/>
      <c r="I72"/>
    </row>
    <row r="73" spans="2:9">
      <c r="B73"/>
      <c r="C73"/>
      <c r="D73"/>
      <c r="E73"/>
      <c r="F73"/>
      <c r="G73"/>
      <c r="H73"/>
      <c r="I73"/>
    </row>
    <row r="74" spans="2:9">
      <c r="B74"/>
      <c r="C74"/>
      <c r="D74"/>
      <c r="E74"/>
      <c r="F74"/>
      <c r="G74"/>
      <c r="H74"/>
      <c r="I74"/>
    </row>
    <row r="75" spans="2:9">
      <c r="B75"/>
      <c r="C75"/>
      <c r="D75"/>
      <c r="E75"/>
      <c r="F75"/>
      <c r="G75"/>
      <c r="H75"/>
      <c r="I75"/>
    </row>
    <row r="76" spans="2:9">
      <c r="B76"/>
      <c r="C76"/>
      <c r="D76"/>
      <c r="E76"/>
      <c r="F76"/>
      <c r="G76"/>
      <c r="H76"/>
      <c r="I76"/>
    </row>
    <row r="77" spans="2:9">
      <c r="B77"/>
      <c r="C77"/>
      <c r="D77"/>
      <c r="E77"/>
      <c r="F77"/>
      <c r="G77"/>
      <c r="H77"/>
      <c r="I77"/>
    </row>
    <row r="78" spans="2:9">
      <c r="B78"/>
      <c r="C78"/>
      <c r="D78"/>
      <c r="E78"/>
      <c r="F78"/>
      <c r="G78"/>
      <c r="H78"/>
      <c r="I78"/>
    </row>
    <row r="79" spans="2:9">
      <c r="B79"/>
      <c r="C79"/>
      <c r="D79"/>
      <c r="E79"/>
      <c r="F79"/>
      <c r="G79"/>
      <c r="H79"/>
      <c r="I79"/>
    </row>
    <row r="80" spans="2:9">
      <c r="B80"/>
      <c r="C80"/>
      <c r="D80"/>
      <c r="E80"/>
      <c r="F80"/>
      <c r="G80"/>
      <c r="H80"/>
      <c r="I80"/>
    </row>
    <row r="81" spans="2:9">
      <c r="B81"/>
      <c r="C81"/>
      <c r="D81"/>
      <c r="E81"/>
      <c r="F81"/>
      <c r="G81"/>
      <c r="H81"/>
      <c r="I81"/>
    </row>
    <row r="82" spans="2:9">
      <c r="B82"/>
      <c r="C82"/>
      <c r="D82"/>
      <c r="E82"/>
      <c r="F82"/>
      <c r="G82"/>
      <c r="H82"/>
      <c r="I82"/>
    </row>
    <row r="83" spans="2:9">
      <c r="B83"/>
      <c r="C83"/>
      <c r="D83"/>
      <c r="E83"/>
      <c r="F83"/>
      <c r="G83"/>
      <c r="H83"/>
      <c r="I83"/>
    </row>
    <row r="84" spans="2:9">
      <c r="B84"/>
      <c r="C84"/>
      <c r="D84"/>
      <c r="E84"/>
      <c r="F84"/>
      <c r="G84"/>
      <c r="H84"/>
      <c r="I84"/>
    </row>
  </sheetData>
  <pageMargins left="0.25" right="0.25" top="0.75" bottom="0.75" header="0.3" footer="0.3"/>
  <pageSetup orientation="portrait" verticalDpi="0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9"/>
  <sheetViews>
    <sheetView showGridLines="0" zoomScaleNormal="100" workbookViewId="0">
      <selection activeCell="E7" sqref="E7"/>
    </sheetView>
  </sheetViews>
  <sheetFormatPr baseColWidth="10" defaultRowHeight="15"/>
  <cols>
    <col min="1" max="1" width="37.85546875" style="1" customWidth="1"/>
    <col min="2" max="2" width="4.5703125" style="1" customWidth="1"/>
    <col min="3" max="3" width="17.7109375" style="1" customWidth="1"/>
    <col min="4" max="4" width="5.42578125" style="1" customWidth="1"/>
    <col min="5" max="5" width="5.28515625" style="1" customWidth="1"/>
    <col min="6" max="6" width="12" style="1" customWidth="1"/>
    <col min="7" max="7" width="5.85546875" style="1" customWidth="1"/>
    <col min="8" max="8" width="10" style="1" customWidth="1"/>
    <col min="9" max="9" width="16.42578125" style="1" customWidth="1"/>
    <col min="10" max="10" width="16.5703125" style="1" customWidth="1"/>
    <col min="11" max="11" width="30.7109375" style="1" customWidth="1"/>
    <col min="12" max="12" width="26.5703125" style="1" customWidth="1"/>
    <col min="13" max="14" width="12.5703125" style="1" customWidth="1"/>
    <col min="15" max="15" width="22" style="1" customWidth="1"/>
    <col min="16" max="16" width="10.7109375" style="1" customWidth="1"/>
    <col min="17" max="17" width="12.5703125" style="1" customWidth="1"/>
    <col min="18" max="18" width="21.42578125" style="1" customWidth="1"/>
    <col min="19" max="19" width="24.5703125" style="1" customWidth="1"/>
    <col min="20" max="20" width="10.28515625" style="1" customWidth="1"/>
    <col min="21" max="21" width="10.85546875" style="1" customWidth="1"/>
    <col min="22" max="22" width="15.5703125" style="1" bestFit="1" customWidth="1"/>
    <col min="23" max="23" width="16.28515625" style="1" bestFit="1" customWidth="1"/>
    <col min="24" max="24" width="12.140625" style="1" customWidth="1"/>
    <col min="25" max="25" width="9.7109375" style="1" customWidth="1"/>
    <col min="26" max="26" width="10.28515625" style="1" customWidth="1"/>
    <col min="27" max="27" width="10.85546875" style="1" customWidth="1"/>
    <col min="28" max="28" width="10.7109375" style="1" customWidth="1"/>
    <col min="29" max="29" width="12.5703125" style="1" customWidth="1"/>
    <col min="30" max="30" width="20.5703125" style="1" bestFit="1" customWidth="1"/>
    <col min="31" max="31" width="12.5703125" style="1" bestFit="1" customWidth="1"/>
    <col min="32" max="16384" width="11.42578125" style="1"/>
  </cols>
  <sheetData>
    <row r="1" spans="1:13">
      <c r="A1"/>
      <c r="B1"/>
    </row>
    <row r="3" spans="1:13">
      <c r="A3" s="6"/>
      <c r="B3" s="54" t="s">
        <v>637</v>
      </c>
      <c r="C3"/>
      <c r="D3"/>
      <c r="E3"/>
      <c r="F3"/>
      <c r="G3"/>
      <c r="H3"/>
      <c r="I3"/>
      <c r="J3"/>
      <c r="K3"/>
      <c r="L3"/>
      <c r="M3"/>
    </row>
    <row r="4" spans="1:13">
      <c r="A4" s="54" t="s">
        <v>639</v>
      </c>
      <c r="B4" s="1" t="s">
        <v>53</v>
      </c>
      <c r="C4" s="1" t="s">
        <v>389</v>
      </c>
      <c r="D4" s="1" t="s">
        <v>750</v>
      </c>
      <c r="E4" s="1" t="s">
        <v>55</v>
      </c>
      <c r="F4" s="1" t="s">
        <v>638</v>
      </c>
      <c r="G4" s="1" t="s">
        <v>56</v>
      </c>
      <c r="H4" s="1" t="s">
        <v>727</v>
      </c>
      <c r="I4" s="1" t="s">
        <v>755</v>
      </c>
      <c r="J4" s="1" t="s">
        <v>752</v>
      </c>
      <c r="K4" s="1" t="s">
        <v>405</v>
      </c>
      <c r="L4" s="1" t="s">
        <v>763</v>
      </c>
      <c r="M4" s="1" t="s">
        <v>288</v>
      </c>
    </row>
    <row r="5" spans="1:13">
      <c r="A5" s="56" t="s">
        <v>15</v>
      </c>
      <c r="B5" s="103"/>
      <c r="C5" s="103"/>
      <c r="D5" s="103"/>
      <c r="E5" s="103"/>
      <c r="F5" s="103"/>
      <c r="G5" s="103"/>
      <c r="H5" s="103"/>
      <c r="I5" s="103"/>
      <c r="J5" s="103"/>
      <c r="K5" s="103"/>
      <c r="L5" s="103"/>
      <c r="M5" s="103"/>
    </row>
    <row r="6" spans="1:13">
      <c r="A6" s="10" t="s">
        <v>729</v>
      </c>
      <c r="B6"/>
      <c r="C6"/>
      <c r="D6"/>
      <c r="E6"/>
      <c r="F6"/>
      <c r="G6"/>
      <c r="H6"/>
      <c r="I6"/>
      <c r="J6"/>
      <c r="K6"/>
      <c r="L6"/>
      <c r="M6"/>
    </row>
    <row r="7" spans="1:13">
      <c r="A7" s="10" t="s">
        <v>725</v>
      </c>
      <c r="B7"/>
      <c r="C7"/>
      <c r="D7"/>
      <c r="E7"/>
      <c r="F7"/>
      <c r="G7"/>
      <c r="H7"/>
      <c r="I7"/>
      <c r="J7"/>
      <c r="K7"/>
      <c r="L7"/>
      <c r="M7"/>
    </row>
    <row r="8" spans="1:13">
      <c r="A8" s="10" t="s">
        <v>410</v>
      </c>
      <c r="B8"/>
      <c r="C8"/>
      <c r="D8"/>
      <c r="E8"/>
      <c r="F8"/>
      <c r="G8"/>
      <c r="H8"/>
      <c r="I8"/>
      <c r="J8"/>
      <c r="K8"/>
      <c r="L8"/>
      <c r="M8"/>
    </row>
    <row r="9" spans="1:13">
      <c r="A9" s="10" t="s">
        <v>730</v>
      </c>
      <c r="B9"/>
      <c r="C9"/>
      <c r="D9"/>
      <c r="E9"/>
      <c r="F9"/>
      <c r="G9"/>
      <c r="H9"/>
      <c r="I9"/>
      <c r="J9"/>
      <c r="K9"/>
      <c r="L9"/>
      <c r="M9"/>
    </row>
    <row r="10" spans="1:13">
      <c r="A10" s="10" t="s">
        <v>706</v>
      </c>
      <c r="B10"/>
      <c r="C10"/>
      <c r="D10"/>
      <c r="E10"/>
      <c r="F10"/>
      <c r="G10"/>
      <c r="H10"/>
      <c r="I10"/>
      <c r="J10"/>
      <c r="K10"/>
      <c r="L10"/>
      <c r="M10"/>
    </row>
    <row r="11" spans="1:13">
      <c r="A11" s="56" t="s">
        <v>257</v>
      </c>
      <c r="B11" s="103"/>
      <c r="C11" s="103"/>
      <c r="D11" s="103"/>
      <c r="E11" s="103"/>
      <c r="F11" s="103"/>
      <c r="G11" s="103"/>
      <c r="H11" s="103"/>
      <c r="I11" s="103"/>
      <c r="J11" s="103"/>
      <c r="K11" s="103"/>
      <c r="L11" s="103"/>
      <c r="M11" s="103"/>
    </row>
    <row r="12" spans="1:13">
      <c r="A12" s="10" t="s">
        <v>725</v>
      </c>
      <c r="B12"/>
      <c r="C12"/>
      <c r="D12"/>
      <c r="E12"/>
      <c r="F12"/>
      <c r="G12"/>
      <c r="H12"/>
      <c r="I12"/>
      <c r="J12"/>
      <c r="K12"/>
      <c r="L12"/>
      <c r="M12"/>
    </row>
    <row r="13" spans="1:13">
      <c r="A13" s="55" t="s">
        <v>410</v>
      </c>
      <c r="B13" s="101"/>
      <c r="C13" s="101"/>
      <c r="D13" s="101"/>
      <c r="E13" s="101"/>
      <c r="F13" s="101"/>
      <c r="G13" s="101"/>
      <c r="H13" s="101"/>
      <c r="I13" s="101"/>
      <c r="J13" s="101"/>
      <c r="K13" s="101"/>
      <c r="L13" s="101"/>
      <c r="M13" s="101"/>
    </row>
    <row r="14" spans="1:13">
      <c r="A14" s="10" t="s">
        <v>730</v>
      </c>
      <c r="B14"/>
      <c r="C14"/>
      <c r="D14"/>
      <c r="E14"/>
      <c r="F14"/>
      <c r="G14"/>
      <c r="H14"/>
      <c r="I14"/>
      <c r="J14"/>
      <c r="K14"/>
      <c r="L14"/>
      <c r="M14"/>
    </row>
    <row r="15" spans="1:13">
      <c r="A15" s="56" t="s">
        <v>69</v>
      </c>
      <c r="B15" s="103"/>
      <c r="C15" s="103"/>
      <c r="D15" s="103"/>
      <c r="E15" s="103"/>
      <c r="F15" s="103"/>
      <c r="G15" s="103"/>
      <c r="H15" s="103"/>
      <c r="I15" s="103"/>
      <c r="J15" s="103"/>
      <c r="K15" s="103"/>
      <c r="L15" s="103"/>
      <c r="M15" s="103"/>
    </row>
    <row r="16" spans="1:13">
      <c r="A16" s="10" t="s">
        <v>729</v>
      </c>
      <c r="B16"/>
      <c r="C16"/>
      <c r="D16"/>
      <c r="E16"/>
      <c r="F16"/>
      <c r="G16"/>
      <c r="H16"/>
      <c r="I16"/>
      <c r="J16"/>
      <c r="K16"/>
      <c r="L16"/>
      <c r="M16"/>
    </row>
    <row r="17" spans="1:13">
      <c r="A17" s="10" t="s">
        <v>725</v>
      </c>
      <c r="B17"/>
      <c r="C17"/>
      <c r="D17"/>
      <c r="E17"/>
      <c r="F17"/>
      <c r="G17"/>
      <c r="H17"/>
      <c r="I17"/>
      <c r="J17"/>
      <c r="K17"/>
      <c r="L17"/>
      <c r="M17"/>
    </row>
    <row r="18" spans="1:13">
      <c r="A18" s="10" t="s">
        <v>410</v>
      </c>
      <c r="B18"/>
      <c r="C18"/>
      <c r="D18"/>
      <c r="E18"/>
      <c r="F18"/>
      <c r="G18"/>
      <c r="H18"/>
      <c r="I18"/>
      <c r="J18"/>
      <c r="K18"/>
      <c r="L18"/>
      <c r="M18"/>
    </row>
    <row r="19" spans="1:13">
      <c r="A19" s="10" t="s">
        <v>730</v>
      </c>
      <c r="B19"/>
      <c r="C19"/>
      <c r="D19"/>
      <c r="E19"/>
      <c r="F19"/>
      <c r="G19"/>
      <c r="H19"/>
      <c r="I19"/>
      <c r="J19"/>
      <c r="K19"/>
      <c r="L19"/>
      <c r="M19"/>
    </row>
    <row r="20" spans="1:13">
      <c r="A20" s="10" t="s">
        <v>706</v>
      </c>
      <c r="B20"/>
      <c r="C20"/>
      <c r="D20"/>
      <c r="E20"/>
      <c r="F20"/>
      <c r="G20"/>
      <c r="H20"/>
      <c r="I20"/>
      <c r="J20"/>
      <c r="K20"/>
      <c r="L20"/>
      <c r="M20"/>
    </row>
    <row r="21" spans="1:13">
      <c r="A21" s="56" t="s">
        <v>0</v>
      </c>
      <c r="B21" s="103"/>
      <c r="C21" s="103"/>
      <c r="D21" s="103"/>
      <c r="E21" s="103"/>
      <c r="F21" s="103"/>
      <c r="G21" s="103"/>
      <c r="H21" s="103"/>
      <c r="I21" s="103"/>
      <c r="J21" s="103"/>
      <c r="K21" s="103"/>
      <c r="L21" s="103"/>
      <c r="M21" s="103"/>
    </row>
    <row r="22" spans="1:13">
      <c r="A22" s="10" t="s">
        <v>729</v>
      </c>
      <c r="B22"/>
      <c r="C22"/>
      <c r="D22"/>
      <c r="E22"/>
      <c r="F22"/>
      <c r="G22"/>
      <c r="H22"/>
      <c r="I22"/>
      <c r="J22"/>
      <c r="K22"/>
      <c r="L22"/>
      <c r="M22"/>
    </row>
    <row r="23" spans="1:13">
      <c r="A23" s="10" t="s">
        <v>725</v>
      </c>
      <c r="B23"/>
      <c r="C23"/>
      <c r="D23"/>
      <c r="E23"/>
      <c r="F23"/>
      <c r="G23"/>
      <c r="H23"/>
      <c r="I23"/>
      <c r="J23"/>
      <c r="K23"/>
      <c r="L23"/>
      <c r="M23"/>
    </row>
    <row r="24" spans="1:13">
      <c r="A24" s="55" t="s">
        <v>410</v>
      </c>
      <c r="B24" s="101"/>
      <c r="C24" s="101"/>
      <c r="D24" s="101"/>
      <c r="E24" s="101"/>
      <c r="F24" s="101"/>
      <c r="G24" s="101"/>
      <c r="H24" s="101"/>
      <c r="I24" s="101"/>
      <c r="J24" s="101"/>
      <c r="K24" s="101"/>
      <c r="L24" s="101"/>
      <c r="M24" s="101"/>
    </row>
    <row r="25" spans="1:13">
      <c r="A25" s="10" t="s">
        <v>730</v>
      </c>
      <c r="B25"/>
      <c r="C25"/>
      <c r="D25"/>
      <c r="E25"/>
      <c r="F25"/>
      <c r="G25"/>
      <c r="H25"/>
      <c r="I25"/>
      <c r="J25"/>
      <c r="K25"/>
      <c r="L25"/>
      <c r="M25"/>
    </row>
    <row r="26" spans="1:13">
      <c r="A26" s="10" t="s">
        <v>706</v>
      </c>
      <c r="B26"/>
      <c r="C26"/>
      <c r="D26"/>
      <c r="E26"/>
      <c r="F26"/>
      <c r="G26"/>
      <c r="H26"/>
      <c r="I26"/>
      <c r="J26"/>
      <c r="K26"/>
      <c r="L26"/>
      <c r="M26"/>
    </row>
    <row r="27" spans="1:13">
      <c r="A27" s="56" t="s">
        <v>27</v>
      </c>
      <c r="B27" s="103"/>
      <c r="C27" s="103"/>
      <c r="D27" s="103"/>
      <c r="E27" s="103"/>
      <c r="F27" s="103"/>
      <c r="G27" s="103"/>
      <c r="H27" s="103"/>
      <c r="I27" s="103"/>
      <c r="J27" s="103"/>
      <c r="K27" s="103"/>
      <c r="L27" s="103"/>
      <c r="M27" s="103"/>
    </row>
    <row r="28" spans="1:13">
      <c r="A28" s="10" t="s">
        <v>729</v>
      </c>
      <c r="B28"/>
      <c r="C28"/>
      <c r="D28"/>
      <c r="E28"/>
      <c r="F28"/>
      <c r="G28"/>
      <c r="H28"/>
      <c r="I28"/>
      <c r="J28"/>
      <c r="K28"/>
      <c r="L28"/>
      <c r="M28"/>
    </row>
    <row r="29" spans="1:13">
      <c r="A29" s="10" t="s">
        <v>725</v>
      </c>
      <c r="B29"/>
      <c r="C29"/>
      <c r="D29"/>
      <c r="E29"/>
      <c r="F29"/>
      <c r="G29"/>
      <c r="H29"/>
      <c r="I29"/>
      <c r="J29"/>
      <c r="K29"/>
      <c r="L29"/>
      <c r="M29"/>
    </row>
    <row r="30" spans="1:13">
      <c r="A30" s="55" t="s">
        <v>410</v>
      </c>
      <c r="B30" s="102"/>
      <c r="C30" s="102"/>
      <c r="D30" s="102"/>
      <c r="E30" s="102"/>
      <c r="F30" s="101"/>
      <c r="G30" s="102"/>
      <c r="H30" s="102"/>
      <c r="I30" s="102"/>
      <c r="J30" s="102"/>
      <c r="K30" s="102"/>
      <c r="L30" s="102"/>
      <c r="M30" s="101"/>
    </row>
    <row r="31" spans="1:13">
      <c r="A31" s="10" t="s">
        <v>730</v>
      </c>
      <c r="B31"/>
      <c r="C31"/>
      <c r="D31"/>
      <c r="E31"/>
      <c r="F31"/>
      <c r="G31"/>
      <c r="H31"/>
      <c r="I31"/>
      <c r="J31"/>
      <c r="K31"/>
      <c r="L31"/>
      <c r="M31"/>
    </row>
    <row r="32" spans="1:13">
      <c r="A32" s="10" t="s">
        <v>706</v>
      </c>
      <c r="B32"/>
      <c r="C32"/>
      <c r="D32"/>
      <c r="E32"/>
      <c r="F32"/>
      <c r="G32"/>
      <c r="H32"/>
      <c r="I32"/>
      <c r="J32"/>
      <c r="K32"/>
      <c r="L32"/>
      <c r="M32"/>
    </row>
    <row r="33" spans="1:13">
      <c r="A33" s="10" t="s">
        <v>754</v>
      </c>
      <c r="B33"/>
      <c r="C33"/>
      <c r="D33"/>
      <c r="E33"/>
      <c r="F33"/>
      <c r="G33"/>
      <c r="H33"/>
      <c r="I33"/>
      <c r="J33"/>
      <c r="K33"/>
      <c r="L33"/>
      <c r="M33"/>
    </row>
    <row r="34" spans="1:13">
      <c r="A34" s="56" t="s">
        <v>20</v>
      </c>
      <c r="B34" s="103"/>
      <c r="C34" s="103"/>
      <c r="D34" s="103"/>
      <c r="E34" s="103"/>
      <c r="F34" s="103"/>
      <c r="G34" s="103"/>
      <c r="H34" s="103"/>
      <c r="I34" s="103"/>
      <c r="J34" s="103"/>
      <c r="K34" s="103"/>
      <c r="L34" s="103"/>
      <c r="M34" s="103"/>
    </row>
    <row r="35" spans="1:13">
      <c r="A35" s="10" t="s">
        <v>729</v>
      </c>
      <c r="B35"/>
      <c r="C35"/>
      <c r="D35"/>
      <c r="E35"/>
      <c r="F35"/>
      <c r="G35"/>
      <c r="H35"/>
      <c r="I35"/>
      <c r="J35"/>
      <c r="K35"/>
      <c r="L35"/>
      <c r="M35"/>
    </row>
    <row r="36" spans="1:13">
      <c r="A36" s="10" t="s">
        <v>725</v>
      </c>
      <c r="B36"/>
      <c r="C36"/>
      <c r="D36"/>
      <c r="E36"/>
      <c r="F36"/>
      <c r="G36"/>
      <c r="H36"/>
      <c r="I36"/>
      <c r="J36"/>
      <c r="K36"/>
      <c r="L36"/>
      <c r="M36"/>
    </row>
    <row r="37" spans="1:13">
      <c r="A37" s="55" t="s">
        <v>410</v>
      </c>
      <c r="B37" s="101"/>
      <c r="C37" s="101"/>
      <c r="D37" s="101"/>
      <c r="E37" s="101"/>
      <c r="F37" s="101"/>
      <c r="G37" s="101"/>
      <c r="H37" s="101"/>
      <c r="I37" s="101"/>
      <c r="J37" s="101"/>
      <c r="K37" s="101"/>
      <c r="L37" s="101"/>
      <c r="M37" s="101"/>
    </row>
    <row r="38" spans="1:13">
      <c r="A38" s="10" t="s">
        <v>730</v>
      </c>
      <c r="B38"/>
      <c r="C38"/>
      <c r="D38"/>
      <c r="E38"/>
      <c r="F38"/>
      <c r="G38"/>
      <c r="H38"/>
      <c r="I38"/>
      <c r="J38"/>
      <c r="K38"/>
      <c r="L38"/>
      <c r="M38"/>
    </row>
    <row r="39" spans="1:13">
      <c r="A39" s="10" t="s">
        <v>706</v>
      </c>
      <c r="B39"/>
      <c r="C39"/>
      <c r="D39"/>
      <c r="E39"/>
      <c r="F39"/>
      <c r="G39"/>
      <c r="H39"/>
      <c r="I39"/>
      <c r="J39"/>
      <c r="K39"/>
      <c r="L39"/>
      <c r="M39"/>
    </row>
    <row r="40" spans="1:13">
      <c r="A40" s="56" t="s">
        <v>36</v>
      </c>
      <c r="B40" s="103"/>
      <c r="C40" s="103"/>
      <c r="D40" s="103"/>
      <c r="E40" s="103"/>
      <c r="F40" s="103"/>
      <c r="G40" s="103"/>
      <c r="H40" s="103"/>
      <c r="I40" s="103"/>
      <c r="J40" s="103"/>
      <c r="K40" s="103"/>
      <c r="L40" s="103"/>
      <c r="M40" s="103"/>
    </row>
    <row r="41" spans="1:13">
      <c r="A41" s="10" t="s">
        <v>729</v>
      </c>
      <c r="B41"/>
      <c r="C41"/>
      <c r="D41"/>
      <c r="E41"/>
      <c r="F41"/>
      <c r="G41"/>
      <c r="H41"/>
      <c r="I41"/>
      <c r="J41"/>
      <c r="K41"/>
      <c r="L41"/>
      <c r="M41"/>
    </row>
    <row r="42" spans="1:13">
      <c r="A42" s="10" t="s">
        <v>725</v>
      </c>
      <c r="B42"/>
      <c r="C42"/>
      <c r="D42"/>
      <c r="E42"/>
      <c r="F42"/>
      <c r="G42"/>
      <c r="H42"/>
      <c r="I42"/>
      <c r="J42"/>
      <c r="K42"/>
      <c r="L42"/>
      <c r="M42"/>
    </row>
    <row r="43" spans="1:13">
      <c r="A43" s="55" t="s">
        <v>410</v>
      </c>
      <c r="B43" s="101"/>
      <c r="C43" s="101"/>
      <c r="D43" s="101"/>
      <c r="E43" s="101"/>
      <c r="F43" s="101"/>
      <c r="G43" s="101"/>
      <c r="H43" s="101"/>
      <c r="I43" s="101"/>
      <c r="J43" s="101"/>
      <c r="K43" s="101"/>
      <c r="L43" s="101"/>
      <c r="M43" s="101"/>
    </row>
    <row r="44" spans="1:13">
      <c r="A44" s="10" t="s">
        <v>730</v>
      </c>
      <c r="B44"/>
      <c r="C44"/>
      <c r="D44"/>
      <c r="E44"/>
      <c r="F44"/>
      <c r="G44"/>
      <c r="H44"/>
      <c r="I44"/>
      <c r="J44"/>
      <c r="K44"/>
      <c r="L44"/>
      <c r="M44"/>
    </row>
    <row r="45" spans="1:13">
      <c r="A45" s="10" t="s">
        <v>706</v>
      </c>
      <c r="B45"/>
      <c r="C45"/>
      <c r="D45"/>
      <c r="E45"/>
      <c r="F45"/>
      <c r="G45"/>
      <c r="H45"/>
      <c r="I45"/>
      <c r="J45"/>
      <c r="K45"/>
      <c r="L45"/>
      <c r="M45"/>
    </row>
    <row r="46" spans="1:13">
      <c r="A46" s="56" t="s">
        <v>31</v>
      </c>
      <c r="B46" s="103"/>
      <c r="C46" s="103"/>
      <c r="D46" s="103"/>
      <c r="E46" s="103"/>
      <c r="F46" s="103"/>
      <c r="G46" s="103"/>
      <c r="H46" s="103"/>
      <c r="I46" s="103"/>
      <c r="J46" s="103"/>
      <c r="K46" s="103"/>
      <c r="L46" s="103"/>
      <c r="M46" s="103"/>
    </row>
    <row r="47" spans="1:13">
      <c r="A47" s="10" t="s">
        <v>729</v>
      </c>
      <c r="B47"/>
      <c r="C47"/>
      <c r="D47"/>
      <c r="E47"/>
      <c r="F47"/>
      <c r="G47"/>
      <c r="H47"/>
      <c r="I47"/>
      <c r="J47"/>
      <c r="K47"/>
      <c r="L47"/>
      <c r="M47"/>
    </row>
    <row r="48" spans="1:13">
      <c r="A48" s="10" t="s">
        <v>725</v>
      </c>
      <c r="B48"/>
      <c r="C48"/>
      <c r="D48"/>
      <c r="E48"/>
      <c r="F48"/>
      <c r="G48"/>
      <c r="H48"/>
      <c r="I48"/>
      <c r="J48"/>
      <c r="K48"/>
      <c r="L48"/>
      <c r="M48"/>
    </row>
    <row r="49" spans="1:13">
      <c r="A49" s="55" t="s">
        <v>410</v>
      </c>
      <c r="B49" s="101"/>
      <c r="C49" s="101"/>
      <c r="D49" s="101"/>
      <c r="E49" s="101"/>
      <c r="F49" s="101"/>
      <c r="G49" s="101"/>
      <c r="H49" s="101"/>
      <c r="I49" s="101"/>
      <c r="J49" s="101"/>
      <c r="K49" s="101"/>
      <c r="L49" s="101"/>
      <c r="M49" s="101"/>
    </row>
    <row r="50" spans="1:13">
      <c r="A50" s="10" t="s">
        <v>730</v>
      </c>
      <c r="B50"/>
      <c r="C50"/>
      <c r="D50"/>
      <c r="E50"/>
      <c r="F50"/>
      <c r="G50"/>
      <c r="H50"/>
      <c r="I50"/>
      <c r="J50"/>
      <c r="K50"/>
      <c r="L50"/>
      <c r="M50"/>
    </row>
    <row r="51" spans="1:13">
      <c r="A51" s="10" t="s">
        <v>706</v>
      </c>
      <c r="B51"/>
      <c r="C51"/>
      <c r="D51"/>
      <c r="E51"/>
      <c r="F51"/>
      <c r="G51"/>
      <c r="H51"/>
      <c r="I51"/>
      <c r="J51"/>
      <c r="K51"/>
      <c r="L51"/>
      <c r="M51"/>
    </row>
    <row r="52" spans="1:13">
      <c r="A52" s="56" t="s">
        <v>261</v>
      </c>
      <c r="B52" s="103"/>
      <c r="C52" s="103"/>
      <c r="D52" s="103"/>
      <c r="E52" s="103"/>
      <c r="F52" s="103"/>
      <c r="G52" s="103"/>
      <c r="H52" s="103"/>
      <c r="I52" s="103"/>
      <c r="J52" s="103"/>
      <c r="K52" s="103"/>
      <c r="L52" s="103"/>
      <c r="M52" s="103"/>
    </row>
    <row r="53" spans="1:13">
      <c r="A53" s="10" t="s">
        <v>725</v>
      </c>
      <c r="B53"/>
      <c r="C53"/>
      <c r="D53"/>
      <c r="E53"/>
      <c r="F53"/>
      <c r="G53"/>
      <c r="H53"/>
      <c r="I53"/>
      <c r="J53"/>
      <c r="K53"/>
      <c r="L53"/>
      <c r="M53"/>
    </row>
    <row r="54" spans="1:13">
      <c r="A54" s="10" t="s">
        <v>730</v>
      </c>
      <c r="B54"/>
      <c r="C54"/>
      <c r="D54"/>
      <c r="E54"/>
      <c r="F54"/>
      <c r="G54"/>
      <c r="H54"/>
      <c r="I54"/>
      <c r="J54"/>
      <c r="K54"/>
      <c r="L54"/>
      <c r="M54"/>
    </row>
    <row r="55" spans="1:13">
      <c r="A55" s="56" t="s">
        <v>39</v>
      </c>
      <c r="B55" s="103"/>
      <c r="C55" s="103"/>
      <c r="D55" s="103"/>
      <c r="E55" s="103"/>
      <c r="F55" s="103"/>
      <c r="G55" s="103"/>
      <c r="H55" s="103"/>
      <c r="I55" s="103"/>
      <c r="J55" s="103"/>
      <c r="K55" s="103"/>
      <c r="L55" s="103"/>
      <c r="M55" s="103"/>
    </row>
    <row r="56" spans="1:13">
      <c r="A56" s="10" t="s">
        <v>729</v>
      </c>
      <c r="B56"/>
      <c r="C56"/>
      <c r="D56"/>
      <c r="E56"/>
      <c r="F56"/>
      <c r="G56"/>
      <c r="H56"/>
      <c r="I56"/>
      <c r="J56"/>
      <c r="K56"/>
      <c r="L56"/>
      <c r="M56"/>
    </row>
    <row r="57" spans="1:13">
      <c r="A57" s="10" t="s">
        <v>725</v>
      </c>
      <c r="B57"/>
      <c r="C57"/>
      <c r="D57"/>
      <c r="E57"/>
      <c r="F57"/>
      <c r="G57"/>
      <c r="H57"/>
      <c r="I57"/>
      <c r="J57"/>
      <c r="K57"/>
      <c r="L57"/>
      <c r="M57"/>
    </row>
    <row r="58" spans="1:13">
      <c r="A58" s="55" t="s">
        <v>410</v>
      </c>
      <c r="B58" s="101"/>
      <c r="C58" s="101"/>
      <c r="D58" s="101"/>
      <c r="E58" s="101"/>
      <c r="F58" s="101"/>
      <c r="G58" s="101"/>
      <c r="H58" s="101"/>
      <c r="I58" s="101"/>
      <c r="J58" s="101"/>
      <c r="K58" s="101"/>
      <c r="L58" s="101"/>
      <c r="M58" s="101"/>
    </row>
    <row r="59" spans="1:13">
      <c r="A59" s="10" t="s">
        <v>730</v>
      </c>
      <c r="B59"/>
      <c r="C59"/>
      <c r="D59"/>
      <c r="E59"/>
      <c r="F59"/>
      <c r="G59"/>
      <c r="H59"/>
      <c r="I59"/>
      <c r="J59"/>
      <c r="K59"/>
      <c r="L59"/>
      <c r="M59"/>
    </row>
    <row r="60" spans="1:13">
      <c r="A60" s="10" t="s">
        <v>706</v>
      </c>
      <c r="B60"/>
      <c r="C60"/>
      <c r="D60"/>
      <c r="E60"/>
      <c r="F60"/>
      <c r="G60"/>
      <c r="H60"/>
      <c r="I60"/>
      <c r="J60"/>
      <c r="K60"/>
      <c r="L60"/>
      <c r="M60"/>
    </row>
    <row r="61" spans="1:13">
      <c r="A61" s="56" t="s">
        <v>66</v>
      </c>
      <c r="B61" s="103"/>
      <c r="C61" s="103"/>
      <c r="D61" s="103"/>
      <c r="E61" s="103"/>
      <c r="F61" s="103"/>
      <c r="G61" s="103"/>
      <c r="H61" s="103"/>
      <c r="I61" s="103"/>
      <c r="J61" s="103"/>
      <c r="K61" s="103"/>
      <c r="L61" s="103"/>
      <c r="M61" s="103"/>
    </row>
    <row r="62" spans="1:13">
      <c r="A62" s="10" t="s">
        <v>729</v>
      </c>
      <c r="B62"/>
      <c r="C62"/>
      <c r="D62"/>
      <c r="E62"/>
      <c r="F62"/>
      <c r="G62"/>
      <c r="H62"/>
      <c r="I62"/>
      <c r="J62"/>
      <c r="K62"/>
      <c r="L62"/>
      <c r="M62"/>
    </row>
    <row r="63" spans="1:13">
      <c r="A63" s="10" t="s">
        <v>725</v>
      </c>
      <c r="B63"/>
      <c r="C63"/>
      <c r="D63"/>
      <c r="E63"/>
      <c r="F63"/>
      <c r="G63"/>
      <c r="H63"/>
      <c r="I63"/>
      <c r="J63"/>
      <c r="K63"/>
      <c r="L63"/>
      <c r="M63"/>
    </row>
    <row r="64" spans="1:13">
      <c r="A64" s="55" t="s">
        <v>410</v>
      </c>
      <c r="B64" s="101"/>
      <c r="C64" s="101"/>
      <c r="D64" s="101"/>
      <c r="E64" s="101"/>
      <c r="F64" s="101"/>
      <c r="G64" s="101"/>
      <c r="H64" s="101"/>
      <c r="I64" s="101"/>
      <c r="J64" s="101"/>
      <c r="K64" s="101"/>
      <c r="L64" s="101"/>
      <c r="M64" s="101"/>
    </row>
    <row r="65" spans="1:13">
      <c r="A65" s="10" t="s">
        <v>730</v>
      </c>
      <c r="B65"/>
      <c r="C65"/>
      <c r="D65"/>
      <c r="E65"/>
      <c r="F65"/>
      <c r="G65"/>
      <c r="H65"/>
      <c r="I65"/>
      <c r="J65"/>
      <c r="K65"/>
      <c r="L65"/>
      <c r="M65"/>
    </row>
    <row r="66" spans="1:13">
      <c r="A66" s="10" t="s">
        <v>706</v>
      </c>
      <c r="B66"/>
      <c r="C66"/>
      <c r="D66"/>
      <c r="E66"/>
      <c r="F66"/>
      <c r="G66"/>
      <c r="H66"/>
      <c r="I66"/>
      <c r="J66"/>
      <c r="K66"/>
      <c r="L66"/>
      <c r="M66"/>
    </row>
    <row r="67" spans="1:13">
      <c r="A67" s="56" t="s">
        <v>531</v>
      </c>
      <c r="B67" s="103"/>
      <c r="C67" s="103"/>
      <c r="D67" s="103"/>
      <c r="E67" s="103"/>
      <c r="F67" s="103"/>
      <c r="G67" s="103"/>
      <c r="H67" s="103"/>
      <c r="I67" s="103"/>
      <c r="J67" s="103"/>
      <c r="K67" s="103"/>
      <c r="L67" s="103"/>
      <c r="M67" s="103"/>
    </row>
    <row r="68" spans="1:13">
      <c r="A68" s="10" t="s">
        <v>729</v>
      </c>
      <c r="B68"/>
      <c r="C68"/>
      <c r="D68"/>
      <c r="E68"/>
      <c r="F68"/>
      <c r="G68"/>
      <c r="H68"/>
      <c r="I68"/>
      <c r="J68"/>
      <c r="K68"/>
      <c r="L68"/>
      <c r="M68"/>
    </row>
    <row r="69" spans="1:13">
      <c r="A69" s="10" t="s">
        <v>725</v>
      </c>
      <c r="B69"/>
      <c r="C69"/>
      <c r="D69"/>
      <c r="E69"/>
      <c r="F69"/>
      <c r="G69"/>
      <c r="H69"/>
      <c r="I69"/>
      <c r="J69"/>
      <c r="K69"/>
      <c r="L69"/>
      <c r="M69"/>
    </row>
    <row r="70" spans="1:13">
      <c r="A70" s="55" t="s">
        <v>410</v>
      </c>
      <c r="B70" s="101"/>
      <c r="C70" s="101"/>
      <c r="D70" s="101"/>
      <c r="E70" s="101"/>
      <c r="F70" s="101"/>
      <c r="G70" s="101"/>
      <c r="H70" s="101"/>
      <c r="I70" s="101"/>
      <c r="J70" s="101"/>
      <c r="K70" s="101"/>
      <c r="L70" s="101"/>
      <c r="M70" s="101"/>
    </row>
    <row r="71" spans="1:13">
      <c r="A71" s="10" t="s">
        <v>730</v>
      </c>
      <c r="B71"/>
      <c r="C71"/>
      <c r="D71"/>
      <c r="E71"/>
      <c r="F71"/>
      <c r="G71"/>
      <c r="H71"/>
      <c r="I71"/>
      <c r="J71"/>
      <c r="K71"/>
      <c r="L71"/>
      <c r="M71"/>
    </row>
    <row r="72" spans="1:13">
      <c r="A72" s="10" t="s">
        <v>706</v>
      </c>
      <c r="B72"/>
      <c r="C72"/>
      <c r="D72"/>
      <c r="E72"/>
      <c r="F72"/>
      <c r="G72"/>
      <c r="H72"/>
      <c r="I72"/>
      <c r="J72"/>
      <c r="K72"/>
      <c r="L72"/>
      <c r="M72"/>
    </row>
    <row r="73" spans="1:13">
      <c r="A73" s="62" t="s">
        <v>642</v>
      </c>
      <c r="B73" s="105"/>
      <c r="C73" s="105"/>
      <c r="D73" s="105"/>
      <c r="E73" s="105"/>
      <c r="F73" s="105"/>
      <c r="G73" s="105"/>
      <c r="H73" s="105"/>
      <c r="I73" s="105"/>
      <c r="J73" s="105"/>
      <c r="K73" s="105"/>
      <c r="L73" s="105"/>
      <c r="M73" s="105"/>
    </row>
    <row r="74" spans="1:13">
      <c r="A74" s="10" t="s">
        <v>725</v>
      </c>
      <c r="B74"/>
      <c r="C74"/>
      <c r="D74"/>
      <c r="E74"/>
      <c r="F74"/>
      <c r="G74"/>
      <c r="H74"/>
      <c r="I74"/>
      <c r="J74"/>
      <c r="K74"/>
      <c r="L74"/>
      <c r="M74"/>
    </row>
    <row r="75" spans="1:13">
      <c r="A75" s="10" t="s">
        <v>730</v>
      </c>
      <c r="B75"/>
      <c r="C75"/>
      <c r="D75"/>
      <c r="E75"/>
      <c r="F75"/>
      <c r="G75"/>
      <c r="H75"/>
      <c r="I75"/>
      <c r="J75"/>
      <c r="K75"/>
      <c r="L75"/>
      <c r="M75"/>
    </row>
    <row r="76" spans="1:13">
      <c r="A76" s="62" t="s">
        <v>645</v>
      </c>
      <c r="B76" s="105"/>
      <c r="C76" s="105"/>
      <c r="D76" s="105"/>
      <c r="E76" s="105"/>
      <c r="F76" s="105"/>
      <c r="G76" s="105"/>
      <c r="H76" s="105"/>
      <c r="I76" s="105"/>
      <c r="J76" s="105"/>
      <c r="K76" s="105"/>
      <c r="L76" s="105"/>
      <c r="M76" s="105"/>
    </row>
    <row r="77" spans="1:13">
      <c r="A77" s="10" t="s">
        <v>725</v>
      </c>
      <c r="B77"/>
      <c r="C77"/>
      <c r="D77"/>
      <c r="E77"/>
      <c r="F77"/>
      <c r="G77"/>
      <c r="H77"/>
      <c r="I77"/>
      <c r="J77"/>
      <c r="K77"/>
      <c r="L77"/>
      <c r="M77"/>
    </row>
    <row r="78" spans="1:13">
      <c r="A78" s="61" t="s">
        <v>410</v>
      </c>
      <c r="B78" s="104"/>
      <c r="C78" s="104"/>
      <c r="D78" s="104"/>
      <c r="E78" s="104"/>
      <c r="F78" s="104"/>
      <c r="G78" s="106"/>
      <c r="H78" s="104"/>
      <c r="I78" s="104"/>
      <c r="J78" s="104"/>
      <c r="K78" s="104"/>
      <c r="L78" s="104"/>
      <c r="M78" s="106"/>
    </row>
    <row r="79" spans="1:13">
      <c r="A79" s="10" t="s">
        <v>730</v>
      </c>
      <c r="B79"/>
      <c r="C79"/>
      <c r="D79"/>
      <c r="E79"/>
      <c r="F79"/>
      <c r="G79"/>
      <c r="H79"/>
      <c r="I79"/>
      <c r="J79"/>
      <c r="K79"/>
      <c r="L79"/>
      <c r="M79"/>
    </row>
    <row r="80" spans="1:13">
      <c r="A80" s="5" t="s">
        <v>288</v>
      </c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</row>
    <row r="81" spans="1:7">
      <c r="A81"/>
      <c r="B81"/>
      <c r="C81"/>
      <c r="D81"/>
      <c r="E81"/>
      <c r="F81"/>
      <c r="G81"/>
    </row>
    <row r="82" spans="1:7">
      <c r="A82"/>
      <c r="B82"/>
      <c r="C82"/>
      <c r="D82"/>
      <c r="E82"/>
      <c r="F82"/>
      <c r="G82"/>
    </row>
    <row r="83" spans="1:7">
      <c r="A83"/>
      <c r="B83"/>
      <c r="C83"/>
      <c r="D83"/>
      <c r="E83"/>
      <c r="F83"/>
      <c r="G83"/>
    </row>
    <row r="84" spans="1:7">
      <c r="A84"/>
      <c r="B84"/>
      <c r="C84"/>
      <c r="D84"/>
      <c r="E84"/>
      <c r="F84"/>
      <c r="G84"/>
    </row>
    <row r="85" spans="1:7">
      <c r="A85"/>
      <c r="B85"/>
      <c r="C85"/>
      <c r="D85"/>
      <c r="E85"/>
      <c r="F85"/>
      <c r="G85"/>
    </row>
    <row r="86" spans="1:7">
      <c r="A86"/>
      <c r="B86"/>
      <c r="C86"/>
      <c r="D86"/>
      <c r="E86"/>
      <c r="F86"/>
      <c r="G86"/>
    </row>
    <row r="87" spans="1:7">
      <c r="A87"/>
      <c r="B87"/>
      <c r="C87"/>
      <c r="D87"/>
      <c r="E87"/>
      <c r="F87"/>
      <c r="G87"/>
    </row>
    <row r="88" spans="1:7">
      <c r="A88"/>
      <c r="B88"/>
      <c r="C88"/>
      <c r="D88"/>
      <c r="E88"/>
      <c r="F88"/>
      <c r="G88"/>
    </row>
    <row r="89" spans="1:7">
      <c r="A89"/>
      <c r="B89"/>
      <c r="C89"/>
      <c r="D89"/>
      <c r="E89"/>
      <c r="F89"/>
      <c r="G89"/>
    </row>
    <row r="90" spans="1:7">
      <c r="A90"/>
      <c r="B90"/>
      <c r="C90"/>
      <c r="D90"/>
      <c r="E90"/>
      <c r="F90"/>
      <c r="G90"/>
    </row>
    <row r="91" spans="1:7">
      <c r="A91"/>
      <c r="B91"/>
      <c r="C91"/>
      <c r="D91"/>
      <c r="E91"/>
      <c r="F91"/>
      <c r="G91"/>
    </row>
    <row r="92" spans="1:7">
      <c r="A92"/>
      <c r="B92"/>
      <c r="C92"/>
      <c r="D92"/>
      <c r="E92"/>
      <c r="F92"/>
      <c r="G92"/>
    </row>
    <row r="93" spans="1:7">
      <c r="A93"/>
      <c r="B93"/>
      <c r="C93"/>
      <c r="D93"/>
      <c r="E93"/>
      <c r="F93"/>
      <c r="G93"/>
    </row>
    <row r="94" spans="1:7">
      <c r="A94"/>
      <c r="B94"/>
      <c r="C94"/>
      <c r="D94"/>
      <c r="E94"/>
      <c r="F94"/>
      <c r="G94"/>
    </row>
    <row r="95" spans="1:7">
      <c r="A95"/>
      <c r="B95"/>
      <c r="C95"/>
      <c r="D95"/>
      <c r="E95"/>
      <c r="F95"/>
      <c r="G95"/>
    </row>
    <row r="96" spans="1:7">
      <c r="A96"/>
      <c r="B96"/>
      <c r="C96"/>
      <c r="D96"/>
      <c r="E96"/>
      <c r="F96"/>
      <c r="G96"/>
    </row>
    <row r="97" spans="1:7">
      <c r="A97"/>
      <c r="B97"/>
      <c r="C97"/>
      <c r="D97"/>
      <c r="E97"/>
      <c r="F97"/>
      <c r="G97"/>
    </row>
    <row r="98" spans="1:7">
      <c r="A98"/>
      <c r="B98"/>
      <c r="C98"/>
      <c r="D98"/>
      <c r="E98"/>
      <c r="F98"/>
      <c r="G98"/>
    </row>
    <row r="99" spans="1:7">
      <c r="A99"/>
      <c r="B99"/>
      <c r="C99"/>
      <c r="D99"/>
      <c r="E99"/>
      <c r="F99"/>
      <c r="G99"/>
    </row>
    <row r="100" spans="1:7">
      <c r="A100"/>
      <c r="B100"/>
      <c r="C100"/>
      <c r="D100"/>
      <c r="E100"/>
      <c r="F100"/>
      <c r="G100"/>
    </row>
    <row r="101" spans="1:7">
      <c r="A101"/>
      <c r="B101"/>
      <c r="C101"/>
      <c r="D101"/>
      <c r="E101"/>
      <c r="F101"/>
      <c r="G101"/>
    </row>
    <row r="102" spans="1:7">
      <c r="A102"/>
      <c r="B102"/>
      <c r="C102"/>
      <c r="D102"/>
      <c r="E102"/>
      <c r="F102"/>
      <c r="G102"/>
    </row>
    <row r="103" spans="1:7">
      <c r="A103"/>
      <c r="B103"/>
      <c r="C103"/>
      <c r="D103"/>
      <c r="E103"/>
      <c r="F103"/>
      <c r="G103"/>
    </row>
    <row r="104" spans="1:7">
      <c r="A104"/>
      <c r="B104"/>
      <c r="C104"/>
      <c r="D104"/>
      <c r="E104"/>
      <c r="F104"/>
      <c r="G104"/>
    </row>
    <row r="105" spans="1:7">
      <c r="A105"/>
      <c r="B105"/>
      <c r="C105"/>
      <c r="D105"/>
      <c r="E105"/>
      <c r="F105"/>
      <c r="G105"/>
    </row>
    <row r="106" spans="1:7">
      <c r="A106"/>
      <c r="B106"/>
      <c r="C106"/>
      <c r="D106"/>
      <c r="E106"/>
      <c r="F106"/>
      <c r="G106"/>
    </row>
    <row r="107" spans="1:7">
      <c r="A107"/>
      <c r="B107"/>
      <c r="C107"/>
      <c r="D107"/>
      <c r="E107"/>
      <c r="F107"/>
      <c r="G107"/>
    </row>
    <row r="108" spans="1:7">
      <c r="A108"/>
      <c r="B108"/>
      <c r="C108"/>
      <c r="D108"/>
      <c r="E108"/>
      <c r="F108"/>
      <c r="G108"/>
    </row>
    <row r="109" spans="1:7">
      <c r="A109"/>
      <c r="B109"/>
      <c r="C109"/>
      <c r="D109"/>
      <c r="E109"/>
      <c r="F109"/>
      <c r="G109"/>
    </row>
    <row r="110" spans="1:7">
      <c r="A110"/>
      <c r="B110"/>
      <c r="C110"/>
      <c r="D110"/>
      <c r="E110"/>
      <c r="F110"/>
      <c r="G110"/>
    </row>
    <row r="111" spans="1:7">
      <c r="A111"/>
      <c r="B111"/>
      <c r="C111"/>
      <c r="D111"/>
      <c r="E111"/>
      <c r="F111"/>
      <c r="G111"/>
    </row>
    <row r="112" spans="1:7">
      <c r="A112"/>
      <c r="B112"/>
      <c r="C112"/>
      <c r="D112"/>
      <c r="E112"/>
      <c r="F112"/>
      <c r="G112"/>
    </row>
    <row r="113" spans="1:7">
      <c r="A113"/>
      <c r="B113"/>
      <c r="C113"/>
      <c r="D113"/>
      <c r="E113"/>
      <c r="F113"/>
      <c r="G113"/>
    </row>
    <row r="114" spans="1:7">
      <c r="A114"/>
      <c r="B114"/>
      <c r="C114"/>
      <c r="D114"/>
      <c r="E114"/>
      <c r="F114"/>
      <c r="G114"/>
    </row>
    <row r="115" spans="1:7">
      <c r="A115"/>
      <c r="B115"/>
      <c r="C115"/>
      <c r="D115"/>
      <c r="E115"/>
      <c r="F115"/>
      <c r="G115"/>
    </row>
    <row r="116" spans="1:7">
      <c r="A116"/>
      <c r="B116"/>
      <c r="C116"/>
      <c r="D116"/>
      <c r="E116"/>
      <c r="F116"/>
      <c r="G116"/>
    </row>
    <row r="117" spans="1:7">
      <c r="A117"/>
      <c r="B117"/>
      <c r="C117"/>
      <c r="D117"/>
      <c r="E117"/>
      <c r="F117"/>
      <c r="G117"/>
    </row>
    <row r="118" spans="1:7">
      <c r="A118"/>
      <c r="B118"/>
      <c r="C118"/>
      <c r="D118"/>
      <c r="E118"/>
      <c r="F118"/>
      <c r="G118"/>
    </row>
    <row r="119" spans="1:7">
      <c r="A119"/>
      <c r="B119"/>
      <c r="C119"/>
      <c r="D119"/>
      <c r="E119"/>
      <c r="F119"/>
      <c r="G119"/>
    </row>
    <row r="120" spans="1:7">
      <c r="A120"/>
      <c r="B120"/>
      <c r="C120"/>
      <c r="D120"/>
      <c r="E120"/>
      <c r="F120"/>
      <c r="G120"/>
    </row>
    <row r="121" spans="1:7">
      <c r="A121"/>
      <c r="B121"/>
      <c r="C121"/>
      <c r="D121"/>
      <c r="E121"/>
      <c r="F121"/>
      <c r="G121"/>
    </row>
    <row r="122" spans="1:7">
      <c r="A122"/>
      <c r="B122"/>
      <c r="C122"/>
      <c r="D122"/>
      <c r="E122"/>
      <c r="F122"/>
      <c r="G122"/>
    </row>
    <row r="123" spans="1:7">
      <c r="A123"/>
      <c r="B123"/>
      <c r="C123"/>
      <c r="D123"/>
      <c r="E123"/>
      <c r="F123"/>
      <c r="G123"/>
    </row>
    <row r="124" spans="1:7">
      <c r="A124"/>
      <c r="B124"/>
      <c r="C124"/>
      <c r="D124"/>
      <c r="E124"/>
      <c r="F124"/>
      <c r="G124"/>
    </row>
    <row r="125" spans="1:7">
      <c r="A125"/>
      <c r="B125"/>
      <c r="C125"/>
      <c r="D125"/>
      <c r="E125"/>
      <c r="F125"/>
      <c r="G125"/>
    </row>
    <row r="126" spans="1:7">
      <c r="A126"/>
      <c r="B126"/>
      <c r="C126"/>
      <c r="D126"/>
      <c r="E126"/>
      <c r="F126"/>
      <c r="G126"/>
    </row>
    <row r="127" spans="1:7">
      <c r="A127"/>
      <c r="B127"/>
      <c r="C127"/>
      <c r="D127"/>
      <c r="E127"/>
      <c r="F127"/>
      <c r="G127"/>
    </row>
    <row r="128" spans="1:7">
      <c r="A128"/>
      <c r="B128"/>
      <c r="C128"/>
      <c r="D128"/>
      <c r="E128"/>
      <c r="F128"/>
      <c r="G128"/>
    </row>
    <row r="129" spans="1:7">
      <c r="A129"/>
      <c r="B129"/>
      <c r="C129"/>
      <c r="D129"/>
      <c r="E129"/>
      <c r="F129"/>
      <c r="G129"/>
    </row>
    <row r="130" spans="1:7">
      <c r="A130"/>
      <c r="B130"/>
      <c r="C130"/>
      <c r="D130"/>
      <c r="E130"/>
      <c r="F130"/>
      <c r="G130"/>
    </row>
    <row r="131" spans="1:7">
      <c r="A131"/>
      <c r="B131"/>
      <c r="C131"/>
      <c r="D131"/>
      <c r="E131"/>
      <c r="F131"/>
      <c r="G131"/>
    </row>
    <row r="132" spans="1:7">
      <c r="A132"/>
      <c r="B132"/>
      <c r="C132"/>
      <c r="D132"/>
      <c r="E132"/>
      <c r="F132"/>
      <c r="G132"/>
    </row>
    <row r="133" spans="1:7">
      <c r="A133"/>
      <c r="B133"/>
      <c r="C133"/>
      <c r="D133"/>
      <c r="E133"/>
      <c r="F133"/>
      <c r="G133"/>
    </row>
    <row r="134" spans="1:7">
      <c r="A134"/>
      <c r="B134"/>
      <c r="C134"/>
      <c r="D134"/>
      <c r="E134"/>
      <c r="F134"/>
      <c r="G134"/>
    </row>
    <row r="135" spans="1:7">
      <c r="A135"/>
      <c r="B135"/>
      <c r="C135"/>
      <c r="D135"/>
      <c r="E135"/>
      <c r="F135"/>
      <c r="G135"/>
    </row>
    <row r="136" spans="1:7">
      <c r="A136"/>
      <c r="B136"/>
      <c r="C136"/>
      <c r="D136"/>
      <c r="E136"/>
      <c r="F136"/>
      <c r="G136"/>
    </row>
    <row r="137" spans="1:7">
      <c r="A137"/>
      <c r="B137"/>
      <c r="C137"/>
      <c r="D137"/>
      <c r="E137"/>
      <c r="F137"/>
      <c r="G137"/>
    </row>
    <row r="138" spans="1:7">
      <c r="A138"/>
      <c r="B138"/>
      <c r="C138"/>
      <c r="D138"/>
      <c r="E138"/>
      <c r="F138"/>
      <c r="G138"/>
    </row>
    <row r="139" spans="1:7">
      <c r="A139"/>
      <c r="B139"/>
      <c r="C139"/>
      <c r="D139"/>
      <c r="E139"/>
      <c r="F139"/>
      <c r="G139"/>
    </row>
    <row r="140" spans="1:7">
      <c r="A140"/>
      <c r="B140"/>
      <c r="C140"/>
      <c r="D140"/>
      <c r="E140"/>
      <c r="F140"/>
      <c r="G140"/>
    </row>
    <row r="141" spans="1:7">
      <c r="A141"/>
      <c r="B141"/>
      <c r="C141"/>
      <c r="D141"/>
      <c r="E141"/>
      <c r="F141"/>
      <c r="G141"/>
    </row>
    <row r="142" spans="1:7">
      <c r="A142"/>
      <c r="B142"/>
      <c r="C142"/>
      <c r="D142"/>
      <c r="E142"/>
      <c r="F142"/>
      <c r="G142"/>
    </row>
    <row r="143" spans="1:7">
      <c r="A143"/>
      <c r="B143"/>
      <c r="C143"/>
      <c r="D143"/>
      <c r="E143"/>
      <c r="F143"/>
      <c r="G143"/>
    </row>
    <row r="144" spans="1:7">
      <c r="A144"/>
      <c r="B144"/>
      <c r="C144"/>
      <c r="D144"/>
      <c r="E144"/>
      <c r="F144"/>
      <c r="G144"/>
    </row>
    <row r="145" spans="1:7">
      <c r="A145"/>
      <c r="B145"/>
      <c r="C145"/>
      <c r="D145"/>
      <c r="E145"/>
      <c r="F145"/>
      <c r="G145"/>
    </row>
    <row r="146" spans="1:7">
      <c r="A146"/>
      <c r="B146"/>
      <c r="C146"/>
      <c r="D146"/>
      <c r="E146"/>
      <c r="F146"/>
      <c r="G146"/>
    </row>
    <row r="147" spans="1:7">
      <c r="A147"/>
      <c r="B147"/>
      <c r="C147"/>
      <c r="D147"/>
      <c r="E147"/>
      <c r="F147"/>
      <c r="G147"/>
    </row>
    <row r="148" spans="1:7">
      <c r="A148"/>
      <c r="B148"/>
      <c r="C148"/>
      <c r="D148"/>
      <c r="E148"/>
      <c r="F148"/>
      <c r="G148"/>
    </row>
    <row r="149" spans="1:7">
      <c r="A149"/>
      <c r="B149"/>
      <c r="C149"/>
      <c r="D149"/>
      <c r="E149"/>
      <c r="F149"/>
      <c r="G149"/>
    </row>
    <row r="150" spans="1:7">
      <c r="A150"/>
      <c r="B150"/>
      <c r="C150"/>
      <c r="D150"/>
      <c r="E150"/>
      <c r="F150"/>
      <c r="G150"/>
    </row>
    <row r="151" spans="1:7">
      <c r="A151"/>
      <c r="B151"/>
      <c r="C151"/>
      <c r="D151"/>
      <c r="E151"/>
      <c r="F151"/>
      <c r="G151"/>
    </row>
    <row r="152" spans="1:7">
      <c r="A152"/>
      <c r="B152"/>
      <c r="C152"/>
      <c r="D152"/>
      <c r="E152"/>
      <c r="F152"/>
      <c r="G152"/>
    </row>
    <row r="153" spans="1:7">
      <c r="A153"/>
      <c r="B153"/>
      <c r="C153"/>
      <c r="D153"/>
      <c r="E153"/>
      <c r="F153"/>
      <c r="G153"/>
    </row>
    <row r="154" spans="1:7">
      <c r="A154"/>
      <c r="B154"/>
      <c r="C154"/>
      <c r="D154"/>
      <c r="E154"/>
      <c r="F154"/>
      <c r="G154"/>
    </row>
    <row r="155" spans="1:7">
      <c r="A155"/>
      <c r="B155"/>
      <c r="C155"/>
      <c r="D155"/>
      <c r="E155"/>
      <c r="F155"/>
      <c r="G155"/>
    </row>
    <row r="156" spans="1:7">
      <c r="A156"/>
      <c r="B156"/>
      <c r="C156"/>
      <c r="D156"/>
      <c r="E156"/>
      <c r="F156"/>
      <c r="G156"/>
    </row>
    <row r="157" spans="1:7">
      <c r="A157"/>
      <c r="B157"/>
      <c r="C157"/>
      <c r="D157"/>
      <c r="E157"/>
      <c r="F157"/>
      <c r="G157"/>
    </row>
    <row r="158" spans="1:7">
      <c r="A158"/>
      <c r="B158"/>
      <c r="C158"/>
      <c r="D158"/>
      <c r="E158"/>
      <c r="F158"/>
      <c r="G158"/>
    </row>
    <row r="159" spans="1:7">
      <c r="A159"/>
      <c r="B159"/>
      <c r="C159"/>
      <c r="D159"/>
      <c r="E159"/>
      <c r="F159"/>
      <c r="G159"/>
    </row>
  </sheetData>
  <pageMargins left="0.25" right="0.25" top="0.75" bottom="0.75" header="0.3" footer="0.3"/>
  <pageSetup orientation="portrait" verticalDpi="0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4"/>
  <sheetViews>
    <sheetView showGridLines="0" zoomScaleNormal="100" workbookViewId="0">
      <selection activeCell="E14" sqref="E14"/>
    </sheetView>
  </sheetViews>
  <sheetFormatPr baseColWidth="10" defaultRowHeight="15"/>
  <cols>
    <col min="1" max="1" width="37.85546875" style="1" customWidth="1"/>
    <col min="2" max="2" width="4.5703125" style="1" customWidth="1"/>
    <col min="3" max="3" width="17.7109375" style="1" bestFit="1" customWidth="1"/>
    <col min="4" max="4" width="5.42578125" style="1" bestFit="1" customWidth="1"/>
    <col min="5" max="5" width="5.28515625" style="1" customWidth="1"/>
    <col min="6" max="6" width="12" style="1" bestFit="1" customWidth="1"/>
    <col min="7" max="7" width="5.85546875" style="1" customWidth="1"/>
    <col min="8" max="8" width="10" style="1" customWidth="1"/>
    <col min="9" max="9" width="16.42578125" style="1" customWidth="1"/>
    <col min="10" max="10" width="16.5703125" style="1" customWidth="1"/>
    <col min="11" max="11" width="30.7109375" style="1" customWidth="1"/>
    <col min="12" max="12" width="26.5703125" style="1" customWidth="1"/>
    <col min="13" max="14" width="12.5703125" style="1" customWidth="1"/>
    <col min="15" max="15" width="22" style="1" customWidth="1"/>
    <col min="16" max="16" width="10.7109375" style="1" customWidth="1"/>
    <col min="17" max="17" width="12.5703125" style="1" customWidth="1"/>
    <col min="18" max="18" width="21.42578125" style="1" customWidth="1"/>
    <col min="19" max="19" width="24.5703125" style="1" customWidth="1"/>
    <col min="20" max="20" width="10.28515625" style="1" customWidth="1"/>
    <col min="21" max="21" width="10.85546875" style="1" customWidth="1"/>
    <col min="22" max="22" width="15.5703125" style="1" bestFit="1" customWidth="1"/>
    <col min="23" max="23" width="16.28515625" style="1" bestFit="1" customWidth="1"/>
    <col min="24" max="24" width="12.140625" style="1" customWidth="1"/>
    <col min="25" max="25" width="9.7109375" style="1" customWidth="1"/>
    <col min="26" max="26" width="10.28515625" style="1" customWidth="1"/>
    <col min="27" max="27" width="10.85546875" style="1" customWidth="1"/>
    <col min="28" max="28" width="10.7109375" style="1" customWidth="1"/>
    <col min="29" max="29" width="12.5703125" style="1" customWidth="1"/>
    <col min="30" max="30" width="20.5703125" style="1" bestFit="1" customWidth="1"/>
    <col min="31" max="31" width="12.5703125" style="1" bestFit="1" customWidth="1"/>
    <col min="32" max="16384" width="11.42578125" style="1"/>
  </cols>
  <sheetData>
    <row r="1" spans="1:13">
      <c r="A1"/>
      <c r="B1"/>
    </row>
    <row r="3" spans="1:13">
      <c r="A3" s="6"/>
      <c r="B3" s="54" t="s">
        <v>637</v>
      </c>
      <c r="C3"/>
      <c r="D3"/>
      <c r="E3"/>
      <c r="F3"/>
      <c r="G3"/>
      <c r="H3"/>
      <c r="I3"/>
      <c r="J3"/>
      <c r="K3"/>
      <c r="L3"/>
      <c r="M3"/>
    </row>
    <row r="4" spans="1:13">
      <c r="A4" s="54" t="s">
        <v>639</v>
      </c>
      <c r="B4" s="1" t="s">
        <v>53</v>
      </c>
      <c r="C4" s="1" t="s">
        <v>389</v>
      </c>
      <c r="D4" s="1" t="s">
        <v>750</v>
      </c>
      <c r="E4" s="1" t="s">
        <v>55</v>
      </c>
      <c r="F4" s="1" t="s">
        <v>638</v>
      </c>
      <c r="G4" s="1" t="s">
        <v>56</v>
      </c>
      <c r="H4" s="1" t="s">
        <v>727</v>
      </c>
      <c r="I4" s="1" t="s">
        <v>755</v>
      </c>
      <c r="J4" s="1" t="s">
        <v>752</v>
      </c>
      <c r="K4" s="1" t="s">
        <v>405</v>
      </c>
      <c r="L4" s="1" t="s">
        <v>763</v>
      </c>
      <c r="M4" s="1" t="s">
        <v>288</v>
      </c>
    </row>
    <row r="5" spans="1:13">
      <c r="A5" s="56" t="s">
        <v>15</v>
      </c>
      <c r="B5" s="103"/>
      <c r="C5" s="103"/>
      <c r="D5" s="103"/>
      <c r="E5" s="103"/>
      <c r="F5" s="103"/>
      <c r="G5" s="103"/>
      <c r="H5" s="103"/>
      <c r="I5" s="103"/>
      <c r="J5" s="103"/>
      <c r="K5" s="103"/>
      <c r="L5" s="103"/>
      <c r="M5" s="103"/>
    </row>
    <row r="6" spans="1:13">
      <c r="A6" s="10" t="s">
        <v>729</v>
      </c>
      <c r="B6"/>
      <c r="C6"/>
      <c r="D6"/>
      <c r="E6"/>
      <c r="F6"/>
      <c r="G6"/>
      <c r="H6"/>
      <c r="I6"/>
      <c r="J6"/>
      <c r="K6"/>
      <c r="L6"/>
      <c r="M6"/>
    </row>
    <row r="7" spans="1:13">
      <c r="A7" s="10" t="s">
        <v>725</v>
      </c>
      <c r="B7"/>
      <c r="C7"/>
      <c r="D7"/>
      <c r="E7"/>
      <c r="F7"/>
      <c r="G7"/>
      <c r="H7"/>
      <c r="I7"/>
      <c r="J7"/>
      <c r="K7"/>
      <c r="L7"/>
      <c r="M7"/>
    </row>
    <row r="8" spans="1:13">
      <c r="A8" s="10" t="s">
        <v>410</v>
      </c>
      <c r="B8"/>
      <c r="C8"/>
      <c r="D8"/>
      <c r="E8"/>
      <c r="F8"/>
      <c r="G8"/>
      <c r="H8"/>
      <c r="I8"/>
      <c r="J8"/>
      <c r="K8"/>
      <c r="L8"/>
      <c r="M8"/>
    </row>
    <row r="9" spans="1:13">
      <c r="A9" s="10" t="s">
        <v>730</v>
      </c>
      <c r="B9"/>
      <c r="C9"/>
      <c r="D9"/>
      <c r="E9"/>
      <c r="F9"/>
      <c r="G9"/>
      <c r="H9"/>
      <c r="I9"/>
      <c r="J9"/>
      <c r="K9"/>
      <c r="L9"/>
      <c r="M9"/>
    </row>
    <row r="10" spans="1:13">
      <c r="A10" s="10" t="s">
        <v>706</v>
      </c>
      <c r="B10"/>
      <c r="C10"/>
      <c r="D10"/>
      <c r="E10"/>
      <c r="F10"/>
      <c r="G10"/>
      <c r="H10"/>
      <c r="I10"/>
      <c r="J10"/>
      <c r="K10"/>
      <c r="L10"/>
      <c r="M10"/>
    </row>
    <row r="11" spans="1:13">
      <c r="A11" s="56" t="s">
        <v>257</v>
      </c>
      <c r="B11" s="103"/>
      <c r="C11" s="103"/>
      <c r="D11" s="103"/>
      <c r="E11" s="103"/>
      <c r="F11" s="103"/>
      <c r="G11" s="103"/>
      <c r="H11" s="103"/>
      <c r="I11" s="103"/>
      <c r="J11" s="103"/>
      <c r="K11" s="103"/>
      <c r="L11" s="103"/>
      <c r="M11" s="103"/>
    </row>
    <row r="12" spans="1:13">
      <c r="A12" s="10" t="s">
        <v>725</v>
      </c>
      <c r="B12"/>
      <c r="C12"/>
      <c r="D12"/>
      <c r="E12"/>
      <c r="F12"/>
      <c r="G12"/>
      <c r="H12"/>
      <c r="I12"/>
      <c r="J12"/>
      <c r="K12"/>
      <c r="L12"/>
      <c r="M12"/>
    </row>
    <row r="13" spans="1:13">
      <c r="A13" s="55" t="s">
        <v>410</v>
      </c>
      <c r="B13" s="101"/>
      <c r="C13" s="101"/>
      <c r="D13" s="101"/>
      <c r="E13" s="101"/>
      <c r="F13" s="101"/>
      <c r="G13" s="101"/>
      <c r="H13" s="101"/>
      <c r="I13" s="101"/>
      <c r="J13" s="101"/>
      <c r="K13" s="101"/>
      <c r="L13" s="101"/>
      <c r="M13" s="101"/>
    </row>
    <row r="14" spans="1:13">
      <c r="A14" s="10" t="s">
        <v>730</v>
      </c>
      <c r="B14"/>
      <c r="C14"/>
      <c r="D14"/>
      <c r="E14"/>
      <c r="F14"/>
      <c r="G14"/>
      <c r="H14"/>
      <c r="I14"/>
      <c r="J14"/>
      <c r="K14"/>
      <c r="L14"/>
      <c r="M14"/>
    </row>
    <row r="15" spans="1:13">
      <c r="A15" s="56" t="s">
        <v>69</v>
      </c>
      <c r="B15" s="103"/>
      <c r="C15" s="103"/>
      <c r="D15" s="103"/>
      <c r="E15" s="103"/>
      <c r="F15" s="103"/>
      <c r="G15" s="103"/>
      <c r="H15" s="103"/>
      <c r="I15" s="103"/>
      <c r="J15" s="103"/>
      <c r="K15" s="103"/>
      <c r="L15" s="103"/>
      <c r="M15" s="103"/>
    </row>
    <row r="16" spans="1:13">
      <c r="A16" s="10" t="s">
        <v>729</v>
      </c>
      <c r="B16"/>
      <c r="C16"/>
      <c r="D16"/>
      <c r="E16"/>
      <c r="F16"/>
      <c r="G16"/>
      <c r="H16"/>
      <c r="I16"/>
      <c r="J16"/>
      <c r="K16"/>
      <c r="L16"/>
      <c r="M16"/>
    </row>
    <row r="17" spans="1:13">
      <c r="A17" s="10" t="s">
        <v>725</v>
      </c>
      <c r="B17"/>
      <c r="C17"/>
      <c r="D17"/>
      <c r="E17"/>
      <c r="F17"/>
      <c r="G17"/>
      <c r="H17"/>
      <c r="I17"/>
      <c r="J17"/>
      <c r="K17"/>
      <c r="L17"/>
      <c r="M17"/>
    </row>
    <row r="18" spans="1:13">
      <c r="A18" s="10" t="s">
        <v>410</v>
      </c>
      <c r="B18"/>
      <c r="C18"/>
      <c r="D18"/>
      <c r="E18"/>
      <c r="F18"/>
      <c r="G18"/>
      <c r="H18"/>
      <c r="I18"/>
      <c r="J18"/>
      <c r="K18"/>
      <c r="L18"/>
      <c r="M18"/>
    </row>
    <row r="19" spans="1:13">
      <c r="A19" s="10" t="s">
        <v>730</v>
      </c>
      <c r="B19"/>
      <c r="C19"/>
      <c r="D19"/>
      <c r="E19"/>
      <c r="F19"/>
      <c r="G19"/>
      <c r="H19"/>
      <c r="I19"/>
      <c r="J19"/>
      <c r="K19"/>
      <c r="L19"/>
      <c r="M19"/>
    </row>
    <row r="20" spans="1:13">
      <c r="A20" s="10" t="s">
        <v>706</v>
      </c>
      <c r="B20"/>
      <c r="C20"/>
      <c r="D20"/>
      <c r="E20"/>
      <c r="F20"/>
      <c r="G20"/>
      <c r="H20"/>
      <c r="I20"/>
      <c r="J20"/>
      <c r="K20"/>
      <c r="L20"/>
      <c r="M20"/>
    </row>
    <row r="21" spans="1:13">
      <c r="A21" s="56" t="s">
        <v>0</v>
      </c>
      <c r="B21" s="103"/>
      <c r="C21" s="103"/>
      <c r="D21" s="103"/>
      <c r="E21" s="103"/>
      <c r="F21" s="103"/>
      <c r="G21" s="103"/>
      <c r="H21" s="103"/>
      <c r="I21" s="103"/>
      <c r="J21" s="103"/>
      <c r="K21" s="103"/>
      <c r="L21" s="103"/>
      <c r="M21" s="103"/>
    </row>
    <row r="22" spans="1:13">
      <c r="A22" s="10" t="s">
        <v>729</v>
      </c>
      <c r="B22"/>
      <c r="C22"/>
      <c r="D22"/>
      <c r="E22"/>
      <c r="F22"/>
      <c r="G22"/>
      <c r="H22"/>
      <c r="I22"/>
      <c r="J22"/>
      <c r="K22"/>
      <c r="L22"/>
      <c r="M22"/>
    </row>
    <row r="23" spans="1:13">
      <c r="A23" s="10" t="s">
        <v>725</v>
      </c>
      <c r="B23"/>
      <c r="C23"/>
      <c r="D23"/>
      <c r="E23"/>
      <c r="F23"/>
      <c r="G23"/>
      <c r="H23"/>
      <c r="I23"/>
      <c r="J23"/>
      <c r="K23"/>
      <c r="L23"/>
      <c r="M23"/>
    </row>
    <row r="24" spans="1:13">
      <c r="A24" s="55" t="s">
        <v>410</v>
      </c>
      <c r="B24" s="101"/>
      <c r="C24" s="101"/>
      <c r="D24" s="101"/>
      <c r="E24" s="101"/>
      <c r="F24" s="101"/>
      <c r="G24" s="101"/>
      <c r="H24" s="101"/>
      <c r="I24" s="101"/>
      <c r="J24" s="101"/>
      <c r="K24" s="101"/>
      <c r="L24" s="101"/>
      <c r="M24" s="101"/>
    </row>
    <row r="25" spans="1:13">
      <c r="A25" s="10" t="s">
        <v>730</v>
      </c>
      <c r="B25"/>
      <c r="C25"/>
      <c r="D25"/>
      <c r="E25"/>
      <c r="F25"/>
      <c r="G25"/>
      <c r="H25"/>
      <c r="I25"/>
      <c r="J25"/>
      <c r="K25"/>
      <c r="L25"/>
      <c r="M25"/>
    </row>
    <row r="26" spans="1:13">
      <c r="A26" s="10" t="s">
        <v>706</v>
      </c>
      <c r="B26"/>
      <c r="C26"/>
      <c r="D26"/>
      <c r="E26"/>
      <c r="F26"/>
      <c r="G26"/>
      <c r="H26"/>
      <c r="I26"/>
      <c r="J26"/>
      <c r="K26"/>
      <c r="L26"/>
      <c r="M26"/>
    </row>
    <row r="27" spans="1:13">
      <c r="A27" s="56" t="s">
        <v>27</v>
      </c>
      <c r="B27" s="103"/>
      <c r="C27" s="103"/>
      <c r="D27" s="103"/>
      <c r="E27" s="103"/>
      <c r="F27" s="103"/>
      <c r="G27" s="103"/>
      <c r="H27" s="103"/>
      <c r="I27" s="103"/>
      <c r="J27" s="103"/>
      <c r="K27" s="103"/>
      <c r="L27" s="103"/>
      <c r="M27" s="103"/>
    </row>
    <row r="28" spans="1:13">
      <c r="A28" s="10" t="s">
        <v>729</v>
      </c>
      <c r="B28"/>
      <c r="C28"/>
      <c r="D28"/>
      <c r="E28"/>
      <c r="F28"/>
      <c r="G28"/>
      <c r="H28"/>
      <c r="I28"/>
      <c r="J28"/>
      <c r="K28"/>
      <c r="L28"/>
      <c r="M28"/>
    </row>
    <row r="29" spans="1:13">
      <c r="A29" s="10" t="s">
        <v>725</v>
      </c>
      <c r="B29"/>
      <c r="C29"/>
      <c r="D29"/>
      <c r="E29"/>
      <c r="F29"/>
      <c r="G29"/>
      <c r="H29"/>
      <c r="I29"/>
      <c r="J29"/>
      <c r="K29"/>
      <c r="L29"/>
      <c r="M29"/>
    </row>
    <row r="30" spans="1:13">
      <c r="A30" s="55" t="s">
        <v>410</v>
      </c>
      <c r="B30" s="102"/>
      <c r="C30" s="102"/>
      <c r="D30" s="102"/>
      <c r="E30" s="102"/>
      <c r="F30" s="101"/>
      <c r="G30" s="102"/>
      <c r="H30" s="102"/>
      <c r="I30" s="102"/>
      <c r="J30" s="102"/>
      <c r="K30" s="102"/>
      <c r="L30" s="102"/>
      <c r="M30" s="101"/>
    </row>
    <row r="31" spans="1:13">
      <c r="A31" s="10" t="s">
        <v>730</v>
      </c>
      <c r="B31"/>
      <c r="C31"/>
      <c r="D31"/>
      <c r="E31"/>
      <c r="F31"/>
      <c r="G31"/>
      <c r="H31"/>
      <c r="I31"/>
      <c r="J31"/>
      <c r="K31"/>
      <c r="L31"/>
      <c r="M31"/>
    </row>
    <row r="32" spans="1:13">
      <c r="A32" s="10" t="s">
        <v>706</v>
      </c>
      <c r="B32"/>
      <c r="C32"/>
      <c r="D32"/>
      <c r="E32"/>
      <c r="F32"/>
      <c r="G32"/>
      <c r="H32"/>
      <c r="I32"/>
      <c r="J32"/>
      <c r="K32"/>
      <c r="L32"/>
      <c r="M32"/>
    </row>
    <row r="33" spans="1:13">
      <c r="A33" s="10" t="s">
        <v>754</v>
      </c>
      <c r="B33"/>
      <c r="C33"/>
      <c r="D33"/>
      <c r="E33"/>
      <c r="F33"/>
      <c r="G33"/>
      <c r="H33"/>
      <c r="I33"/>
      <c r="J33"/>
      <c r="K33"/>
      <c r="L33"/>
      <c r="M33"/>
    </row>
    <row r="34" spans="1:13">
      <c r="A34" s="56" t="s">
        <v>20</v>
      </c>
      <c r="B34" s="103"/>
      <c r="C34" s="103"/>
      <c r="D34" s="103"/>
      <c r="E34" s="103"/>
      <c r="F34" s="103"/>
      <c r="G34" s="103"/>
      <c r="H34" s="103"/>
      <c r="I34" s="103"/>
      <c r="J34" s="103"/>
      <c r="K34" s="103"/>
      <c r="L34" s="103"/>
      <c r="M34" s="103"/>
    </row>
    <row r="35" spans="1:13">
      <c r="A35" s="10" t="s">
        <v>729</v>
      </c>
      <c r="B35"/>
      <c r="C35"/>
      <c r="D35"/>
      <c r="E35"/>
      <c r="F35"/>
      <c r="G35"/>
      <c r="H35"/>
      <c r="I35"/>
      <c r="J35"/>
      <c r="K35"/>
      <c r="L35"/>
      <c r="M35"/>
    </row>
    <row r="36" spans="1:13">
      <c r="A36" s="10" t="s">
        <v>725</v>
      </c>
      <c r="B36"/>
      <c r="C36"/>
      <c r="D36"/>
      <c r="E36"/>
      <c r="F36"/>
      <c r="G36"/>
      <c r="H36"/>
      <c r="I36"/>
      <c r="J36"/>
      <c r="K36"/>
      <c r="L36"/>
      <c r="M36"/>
    </row>
    <row r="37" spans="1:13">
      <c r="A37" s="55" t="s">
        <v>410</v>
      </c>
      <c r="B37" s="101"/>
      <c r="C37" s="101"/>
      <c r="D37" s="101"/>
      <c r="E37" s="101"/>
      <c r="F37" s="101"/>
      <c r="G37" s="101"/>
      <c r="H37" s="101"/>
      <c r="I37" s="101"/>
      <c r="J37" s="101"/>
      <c r="K37" s="101"/>
      <c r="L37" s="101"/>
      <c r="M37" s="101"/>
    </row>
    <row r="38" spans="1:13">
      <c r="A38" s="10" t="s">
        <v>730</v>
      </c>
      <c r="B38"/>
      <c r="C38"/>
      <c r="D38"/>
      <c r="E38"/>
      <c r="F38"/>
      <c r="G38"/>
      <c r="H38"/>
      <c r="I38"/>
      <c r="J38"/>
      <c r="K38"/>
      <c r="L38"/>
      <c r="M38"/>
    </row>
    <row r="39" spans="1:13">
      <c r="A39" s="10" t="s">
        <v>706</v>
      </c>
      <c r="B39"/>
      <c r="C39"/>
      <c r="D39"/>
      <c r="E39"/>
      <c r="F39"/>
      <c r="G39"/>
      <c r="H39"/>
      <c r="I39"/>
      <c r="J39"/>
      <c r="K39"/>
      <c r="L39"/>
      <c r="M39"/>
    </row>
    <row r="40" spans="1:13">
      <c r="A40" s="56" t="s">
        <v>36</v>
      </c>
      <c r="B40" s="103"/>
      <c r="C40" s="103"/>
      <c r="D40" s="103"/>
      <c r="E40" s="103"/>
      <c r="F40" s="103"/>
      <c r="G40" s="103"/>
      <c r="H40" s="103"/>
      <c r="I40" s="103"/>
      <c r="J40" s="103"/>
      <c r="K40" s="103"/>
      <c r="L40" s="103"/>
      <c r="M40" s="103"/>
    </row>
    <row r="41" spans="1:13">
      <c r="A41" s="10" t="s">
        <v>729</v>
      </c>
      <c r="B41"/>
      <c r="C41"/>
      <c r="D41"/>
      <c r="E41"/>
      <c r="F41"/>
      <c r="G41"/>
      <c r="H41"/>
      <c r="I41"/>
      <c r="J41"/>
      <c r="K41"/>
      <c r="L41"/>
      <c r="M41"/>
    </row>
    <row r="42" spans="1:13">
      <c r="A42" s="10" t="s">
        <v>725</v>
      </c>
      <c r="B42"/>
      <c r="C42"/>
      <c r="D42"/>
      <c r="E42"/>
      <c r="F42"/>
      <c r="G42"/>
      <c r="H42"/>
      <c r="I42"/>
      <c r="J42"/>
      <c r="K42"/>
      <c r="L42"/>
      <c r="M42"/>
    </row>
    <row r="43" spans="1:13">
      <c r="A43" s="55" t="s">
        <v>410</v>
      </c>
      <c r="B43" s="101"/>
      <c r="C43" s="101"/>
      <c r="D43" s="101"/>
      <c r="E43" s="101"/>
      <c r="F43" s="101"/>
      <c r="G43" s="101"/>
      <c r="H43" s="101"/>
      <c r="I43" s="101"/>
      <c r="J43" s="101"/>
      <c r="K43" s="101"/>
      <c r="L43" s="101"/>
      <c r="M43" s="101"/>
    </row>
    <row r="44" spans="1:13">
      <c r="A44" s="10" t="s">
        <v>730</v>
      </c>
      <c r="B44"/>
      <c r="C44"/>
      <c r="D44"/>
      <c r="E44"/>
      <c r="F44"/>
      <c r="G44"/>
      <c r="H44"/>
      <c r="I44"/>
      <c r="J44"/>
      <c r="K44"/>
      <c r="L44"/>
      <c r="M44"/>
    </row>
    <row r="45" spans="1:13">
      <c r="A45" s="10" t="s">
        <v>706</v>
      </c>
      <c r="B45"/>
      <c r="C45"/>
      <c r="D45"/>
      <c r="E45"/>
      <c r="F45"/>
      <c r="G45"/>
      <c r="H45"/>
      <c r="I45"/>
      <c r="J45"/>
      <c r="K45"/>
      <c r="L45"/>
      <c r="M45"/>
    </row>
    <row r="46" spans="1:13">
      <c r="A46" s="56" t="s">
        <v>31</v>
      </c>
      <c r="B46" s="103"/>
      <c r="C46" s="103"/>
      <c r="D46" s="103"/>
      <c r="E46" s="103"/>
      <c r="F46" s="103"/>
      <c r="G46" s="103"/>
      <c r="H46" s="103"/>
      <c r="I46" s="103"/>
      <c r="J46" s="103"/>
      <c r="K46" s="103"/>
      <c r="L46" s="103"/>
      <c r="M46" s="103"/>
    </row>
    <row r="47" spans="1:13">
      <c r="A47" s="10" t="s">
        <v>729</v>
      </c>
      <c r="B47"/>
      <c r="C47"/>
      <c r="D47"/>
      <c r="E47"/>
      <c r="F47"/>
      <c r="G47"/>
      <c r="H47"/>
      <c r="I47"/>
      <c r="J47"/>
      <c r="K47"/>
      <c r="L47"/>
      <c r="M47"/>
    </row>
    <row r="48" spans="1:13">
      <c r="A48" s="10" t="s">
        <v>725</v>
      </c>
      <c r="B48"/>
      <c r="C48"/>
      <c r="D48"/>
      <c r="E48"/>
      <c r="F48"/>
      <c r="G48"/>
      <c r="H48"/>
      <c r="I48"/>
      <c r="J48"/>
      <c r="K48"/>
      <c r="L48"/>
      <c r="M48"/>
    </row>
    <row r="49" spans="1:13">
      <c r="A49" s="55" t="s">
        <v>410</v>
      </c>
      <c r="B49" s="101"/>
      <c r="C49" s="101"/>
      <c r="D49" s="101"/>
      <c r="E49" s="101"/>
      <c r="F49" s="101"/>
      <c r="G49" s="101"/>
      <c r="H49" s="101"/>
      <c r="I49" s="101"/>
      <c r="J49" s="101"/>
      <c r="K49" s="101"/>
      <c r="L49" s="101"/>
      <c r="M49" s="101"/>
    </row>
    <row r="50" spans="1:13">
      <c r="A50" s="10" t="s">
        <v>730</v>
      </c>
      <c r="B50"/>
      <c r="C50"/>
      <c r="D50"/>
      <c r="E50"/>
      <c r="F50"/>
      <c r="G50"/>
      <c r="H50"/>
      <c r="I50"/>
      <c r="J50"/>
      <c r="K50"/>
      <c r="L50"/>
      <c r="M50"/>
    </row>
    <row r="51" spans="1:13">
      <c r="A51" s="10" t="s">
        <v>706</v>
      </c>
      <c r="B51"/>
      <c r="C51"/>
      <c r="D51"/>
      <c r="E51"/>
      <c r="F51"/>
      <c r="G51"/>
      <c r="H51"/>
      <c r="I51"/>
      <c r="J51"/>
      <c r="K51"/>
      <c r="L51"/>
      <c r="M51"/>
    </row>
    <row r="52" spans="1:13">
      <c r="A52" s="56" t="s">
        <v>261</v>
      </c>
      <c r="B52" s="103"/>
      <c r="C52" s="103"/>
      <c r="D52" s="103"/>
      <c r="E52" s="103"/>
      <c r="F52" s="103"/>
      <c r="G52" s="103"/>
      <c r="H52" s="103"/>
      <c r="I52" s="103"/>
      <c r="J52" s="103"/>
      <c r="K52" s="103"/>
      <c r="L52" s="103"/>
      <c r="M52" s="103"/>
    </row>
    <row r="53" spans="1:13">
      <c r="A53" s="10" t="s">
        <v>725</v>
      </c>
      <c r="B53"/>
      <c r="C53"/>
      <c r="D53"/>
      <c r="E53"/>
      <c r="F53"/>
      <c r="G53"/>
      <c r="H53"/>
      <c r="I53"/>
      <c r="J53"/>
      <c r="K53"/>
      <c r="L53"/>
      <c r="M53"/>
    </row>
    <row r="54" spans="1:13">
      <c r="A54" s="10" t="s">
        <v>730</v>
      </c>
      <c r="B54"/>
      <c r="C54"/>
      <c r="D54"/>
      <c r="E54"/>
      <c r="F54"/>
      <c r="G54"/>
      <c r="H54"/>
      <c r="I54"/>
      <c r="J54"/>
      <c r="K54"/>
      <c r="L54"/>
      <c r="M54"/>
    </row>
    <row r="55" spans="1:13">
      <c r="A55" s="56" t="s">
        <v>39</v>
      </c>
      <c r="B55" s="103"/>
      <c r="C55" s="103"/>
      <c r="D55" s="103"/>
      <c r="E55" s="103"/>
      <c r="F55" s="103"/>
      <c r="G55" s="103"/>
      <c r="H55" s="103"/>
      <c r="I55" s="103"/>
      <c r="J55" s="103"/>
      <c r="K55" s="103"/>
      <c r="L55" s="103"/>
      <c r="M55" s="103"/>
    </row>
    <row r="56" spans="1:13">
      <c r="A56" s="10" t="s">
        <v>729</v>
      </c>
      <c r="B56"/>
      <c r="C56"/>
      <c r="D56"/>
      <c r="E56"/>
      <c r="F56"/>
      <c r="G56"/>
      <c r="H56"/>
      <c r="I56"/>
      <c r="J56"/>
      <c r="K56"/>
      <c r="L56"/>
      <c r="M56"/>
    </row>
    <row r="57" spans="1:13">
      <c r="A57" s="10" t="s">
        <v>725</v>
      </c>
      <c r="B57"/>
      <c r="C57"/>
      <c r="D57"/>
      <c r="E57"/>
      <c r="F57"/>
      <c r="G57"/>
      <c r="H57"/>
      <c r="I57"/>
      <c r="J57"/>
      <c r="K57"/>
      <c r="L57"/>
      <c r="M57"/>
    </row>
    <row r="58" spans="1:13">
      <c r="A58" s="55" t="s">
        <v>410</v>
      </c>
      <c r="B58" s="101"/>
      <c r="C58" s="101"/>
      <c r="D58" s="101"/>
      <c r="E58" s="101"/>
      <c r="F58" s="101"/>
      <c r="G58" s="101"/>
      <c r="H58" s="101"/>
      <c r="I58" s="101"/>
      <c r="J58" s="101"/>
      <c r="K58" s="101"/>
      <c r="L58" s="101"/>
      <c r="M58" s="101"/>
    </row>
    <row r="59" spans="1:13">
      <c r="A59" s="10" t="s">
        <v>730</v>
      </c>
      <c r="B59"/>
      <c r="C59"/>
      <c r="D59"/>
      <c r="E59"/>
      <c r="F59"/>
      <c r="G59"/>
      <c r="H59"/>
      <c r="I59"/>
      <c r="J59"/>
      <c r="K59"/>
      <c r="L59"/>
      <c r="M59"/>
    </row>
    <row r="60" spans="1:13">
      <c r="A60" s="10" t="s">
        <v>706</v>
      </c>
      <c r="B60"/>
      <c r="C60"/>
      <c r="D60"/>
      <c r="E60"/>
      <c r="F60"/>
      <c r="G60"/>
      <c r="H60"/>
      <c r="I60"/>
      <c r="J60"/>
      <c r="K60"/>
      <c r="L60"/>
      <c r="M60"/>
    </row>
    <row r="61" spans="1:13">
      <c r="A61" s="56" t="s">
        <v>66</v>
      </c>
      <c r="B61" s="103"/>
      <c r="C61" s="103"/>
      <c r="D61" s="103"/>
      <c r="E61" s="103"/>
      <c r="F61" s="103"/>
      <c r="G61" s="103"/>
      <c r="H61" s="103"/>
      <c r="I61" s="103"/>
      <c r="J61" s="103"/>
      <c r="K61" s="103"/>
      <c r="L61" s="103"/>
      <c r="M61" s="103"/>
    </row>
    <row r="62" spans="1:13">
      <c r="A62" s="10" t="s">
        <v>729</v>
      </c>
      <c r="B62"/>
      <c r="C62"/>
      <c r="D62"/>
      <c r="E62"/>
      <c r="F62"/>
      <c r="G62"/>
      <c r="H62"/>
      <c r="I62"/>
      <c r="J62"/>
      <c r="K62"/>
      <c r="L62"/>
      <c r="M62"/>
    </row>
    <row r="63" spans="1:13">
      <c r="A63" s="10" t="s">
        <v>725</v>
      </c>
      <c r="B63"/>
      <c r="C63"/>
      <c r="D63"/>
      <c r="E63"/>
      <c r="F63"/>
      <c r="G63"/>
      <c r="H63"/>
      <c r="I63"/>
      <c r="J63"/>
      <c r="K63"/>
      <c r="L63"/>
      <c r="M63"/>
    </row>
    <row r="64" spans="1:13">
      <c r="A64" s="55" t="s">
        <v>410</v>
      </c>
      <c r="B64" s="101"/>
      <c r="C64" s="101"/>
      <c r="D64" s="101"/>
      <c r="E64" s="101"/>
      <c r="F64" s="101"/>
      <c r="G64" s="101"/>
      <c r="H64" s="101"/>
      <c r="I64" s="101"/>
      <c r="J64" s="101"/>
      <c r="K64" s="101"/>
      <c r="L64" s="101"/>
      <c r="M64" s="101"/>
    </row>
    <row r="65" spans="1:13">
      <c r="A65" s="10" t="s">
        <v>730</v>
      </c>
      <c r="B65"/>
      <c r="C65"/>
      <c r="D65"/>
      <c r="E65"/>
      <c r="F65"/>
      <c r="G65"/>
      <c r="H65"/>
      <c r="I65"/>
      <c r="J65"/>
      <c r="K65"/>
      <c r="L65"/>
      <c r="M65"/>
    </row>
    <row r="66" spans="1:13">
      <c r="A66" s="10" t="s">
        <v>706</v>
      </c>
      <c r="B66"/>
      <c r="C66"/>
      <c r="D66"/>
      <c r="E66"/>
      <c r="F66"/>
      <c r="G66"/>
      <c r="H66"/>
      <c r="I66"/>
      <c r="J66"/>
      <c r="K66"/>
      <c r="L66"/>
      <c r="M66"/>
    </row>
    <row r="67" spans="1:13">
      <c r="A67" s="56" t="s">
        <v>531</v>
      </c>
      <c r="B67" s="103"/>
      <c r="C67" s="103"/>
      <c r="D67" s="103"/>
      <c r="E67" s="103"/>
      <c r="F67" s="103"/>
      <c r="G67" s="103"/>
      <c r="H67" s="103"/>
      <c r="I67" s="103"/>
      <c r="J67" s="103"/>
      <c r="K67" s="103"/>
      <c r="L67" s="103"/>
      <c r="M67" s="103"/>
    </row>
    <row r="68" spans="1:13">
      <c r="A68" s="10" t="s">
        <v>729</v>
      </c>
      <c r="B68"/>
      <c r="C68"/>
      <c r="D68"/>
      <c r="E68"/>
      <c r="F68"/>
      <c r="G68"/>
      <c r="H68"/>
      <c r="I68"/>
      <c r="J68"/>
      <c r="K68"/>
      <c r="L68"/>
      <c r="M68"/>
    </row>
    <row r="69" spans="1:13">
      <c r="A69" s="10" t="s">
        <v>725</v>
      </c>
      <c r="B69"/>
      <c r="C69"/>
      <c r="D69"/>
      <c r="E69"/>
      <c r="F69"/>
      <c r="G69"/>
      <c r="H69"/>
      <c r="I69"/>
      <c r="J69"/>
      <c r="K69"/>
      <c r="L69"/>
      <c r="M69"/>
    </row>
    <row r="70" spans="1:13">
      <c r="A70" s="55" t="s">
        <v>410</v>
      </c>
      <c r="B70" s="101"/>
      <c r="C70" s="101"/>
      <c r="D70" s="101"/>
      <c r="E70" s="101"/>
      <c r="F70" s="101"/>
      <c r="G70" s="101"/>
      <c r="H70" s="101"/>
      <c r="I70" s="101"/>
      <c r="J70" s="101"/>
      <c r="K70" s="101"/>
      <c r="L70" s="101"/>
      <c r="M70" s="101"/>
    </row>
    <row r="71" spans="1:13">
      <c r="A71" s="10" t="s">
        <v>730</v>
      </c>
      <c r="B71"/>
      <c r="C71"/>
      <c r="D71"/>
      <c r="E71"/>
      <c r="F71"/>
      <c r="G71"/>
      <c r="H71"/>
      <c r="I71"/>
      <c r="J71"/>
      <c r="K71"/>
      <c r="L71"/>
      <c r="M71"/>
    </row>
    <row r="72" spans="1:13">
      <c r="A72" s="10" t="s">
        <v>706</v>
      </c>
      <c r="B72"/>
      <c r="C72"/>
      <c r="D72"/>
      <c r="E72"/>
      <c r="F72"/>
      <c r="G72"/>
      <c r="H72"/>
      <c r="I72"/>
      <c r="J72"/>
      <c r="K72"/>
      <c r="L72"/>
      <c r="M72"/>
    </row>
    <row r="73" spans="1:13">
      <c r="A73" s="62" t="s">
        <v>642</v>
      </c>
      <c r="B73" s="105"/>
      <c r="C73" s="105"/>
      <c r="D73" s="105"/>
      <c r="E73" s="105"/>
      <c r="F73" s="105"/>
      <c r="G73" s="105"/>
      <c r="H73" s="105"/>
      <c r="I73" s="105"/>
      <c r="J73" s="105"/>
      <c r="K73" s="105"/>
      <c r="L73" s="105"/>
      <c r="M73" s="105"/>
    </row>
    <row r="74" spans="1:13">
      <c r="A74" s="10" t="s">
        <v>725</v>
      </c>
      <c r="B74"/>
      <c r="C74"/>
      <c r="D74"/>
      <c r="E74"/>
      <c r="F74"/>
      <c r="G74"/>
      <c r="H74"/>
      <c r="I74"/>
      <c r="J74"/>
      <c r="K74"/>
      <c r="L74"/>
      <c r="M74"/>
    </row>
    <row r="75" spans="1:13">
      <c r="A75" s="10" t="s">
        <v>730</v>
      </c>
      <c r="B75"/>
      <c r="C75"/>
      <c r="D75"/>
      <c r="E75"/>
      <c r="F75"/>
      <c r="G75"/>
      <c r="H75"/>
      <c r="I75"/>
      <c r="J75"/>
      <c r="K75"/>
      <c r="L75"/>
      <c r="M75"/>
    </row>
    <row r="76" spans="1:13">
      <c r="A76" s="62" t="s">
        <v>645</v>
      </c>
      <c r="B76" s="105"/>
      <c r="C76" s="105"/>
      <c r="D76" s="105"/>
      <c r="E76" s="105"/>
      <c r="F76" s="105"/>
      <c r="G76" s="105"/>
      <c r="H76" s="105"/>
      <c r="I76" s="105"/>
      <c r="J76" s="105"/>
      <c r="K76" s="105"/>
      <c r="L76" s="105"/>
      <c r="M76" s="105"/>
    </row>
    <row r="77" spans="1:13">
      <c r="A77" s="10" t="s">
        <v>725</v>
      </c>
      <c r="B77"/>
      <c r="C77"/>
      <c r="D77"/>
      <c r="E77"/>
      <c r="F77"/>
      <c r="G77"/>
      <c r="H77"/>
      <c r="I77"/>
      <c r="J77"/>
      <c r="K77"/>
      <c r="L77"/>
      <c r="M77"/>
    </row>
    <row r="78" spans="1:13">
      <c r="A78" s="61" t="s">
        <v>410</v>
      </c>
      <c r="B78" s="104"/>
      <c r="C78" s="104"/>
      <c r="D78" s="104"/>
      <c r="E78" s="104"/>
      <c r="F78" s="104"/>
      <c r="G78" s="106"/>
      <c r="H78" s="104"/>
      <c r="I78" s="104"/>
      <c r="J78" s="104"/>
      <c r="K78" s="104"/>
      <c r="L78" s="104"/>
      <c r="M78" s="106"/>
    </row>
    <row r="79" spans="1:13">
      <c r="A79" s="10" t="s">
        <v>730</v>
      </c>
      <c r="B79"/>
      <c r="C79"/>
      <c r="D79"/>
      <c r="E79"/>
      <c r="F79"/>
      <c r="G79"/>
      <c r="H79"/>
      <c r="I79"/>
      <c r="J79"/>
      <c r="K79"/>
      <c r="L79"/>
      <c r="M79"/>
    </row>
    <row r="80" spans="1:13">
      <c r="A80" s="5" t="s">
        <v>288</v>
      </c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</row>
    <row r="81" spans="1:8">
      <c r="A81"/>
      <c r="B81"/>
      <c r="C81"/>
      <c r="D81"/>
      <c r="E81"/>
      <c r="F81"/>
      <c r="G81"/>
      <c r="H81"/>
    </row>
    <row r="82" spans="1:8">
      <c r="A82"/>
      <c r="B82"/>
      <c r="C82"/>
      <c r="D82"/>
      <c r="E82"/>
      <c r="F82"/>
      <c r="G82"/>
      <c r="H82"/>
    </row>
    <row r="83" spans="1:8">
      <c r="A83"/>
      <c r="B83"/>
      <c r="C83"/>
      <c r="D83"/>
      <c r="E83"/>
      <c r="F83"/>
      <c r="G83"/>
      <c r="H83"/>
    </row>
    <row r="84" spans="1:8">
      <c r="A84"/>
      <c r="B84"/>
      <c r="C84"/>
      <c r="D84"/>
      <c r="E84"/>
      <c r="F84"/>
      <c r="G84"/>
      <c r="H84"/>
    </row>
  </sheetData>
  <pageMargins left="0.25" right="0.25" top="0.75" bottom="0.75" header="0.3" footer="0.3"/>
  <pageSetup orientation="portrait" verticalDpi="0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4"/>
  <sheetViews>
    <sheetView showGridLines="0" zoomScaleNormal="100" workbookViewId="0">
      <selection activeCell="E14" sqref="E14"/>
    </sheetView>
  </sheetViews>
  <sheetFormatPr baseColWidth="10" defaultRowHeight="15"/>
  <cols>
    <col min="1" max="1" width="37.85546875" style="1" customWidth="1"/>
    <col min="2" max="2" width="4.5703125" style="1" customWidth="1"/>
    <col min="3" max="3" width="17.7109375" style="1" bestFit="1" customWidth="1"/>
    <col min="4" max="4" width="5.42578125" style="1" bestFit="1" customWidth="1"/>
    <col min="5" max="5" width="5.28515625" style="1" customWidth="1"/>
    <col min="6" max="6" width="12" style="1" bestFit="1" customWidth="1"/>
    <col min="7" max="7" width="5.85546875" style="1" customWidth="1"/>
    <col min="8" max="8" width="10" style="1" customWidth="1"/>
    <col min="9" max="9" width="16.42578125" style="1" customWidth="1"/>
    <col min="10" max="10" width="16.5703125" style="1" customWidth="1"/>
    <col min="11" max="11" width="30.7109375" style="1" customWidth="1"/>
    <col min="12" max="12" width="26.5703125" style="1" customWidth="1"/>
    <col min="13" max="14" width="12.5703125" style="1" customWidth="1"/>
    <col min="15" max="15" width="22" style="1" customWidth="1"/>
    <col min="16" max="16" width="10.7109375" style="1" customWidth="1"/>
    <col min="17" max="17" width="12.5703125" style="1" customWidth="1"/>
    <col min="18" max="18" width="21.42578125" style="1" customWidth="1"/>
    <col min="19" max="19" width="24.5703125" style="1" customWidth="1"/>
    <col min="20" max="20" width="10.28515625" style="1" customWidth="1"/>
    <col min="21" max="21" width="10.85546875" style="1" customWidth="1"/>
    <col min="22" max="22" width="15.5703125" style="1" bestFit="1" customWidth="1"/>
    <col min="23" max="23" width="16.28515625" style="1" bestFit="1" customWidth="1"/>
    <col min="24" max="24" width="12.140625" style="1" customWidth="1"/>
    <col min="25" max="25" width="9.7109375" style="1" customWidth="1"/>
    <col min="26" max="26" width="10.28515625" style="1" customWidth="1"/>
    <col min="27" max="27" width="10.85546875" style="1" customWidth="1"/>
    <col min="28" max="28" width="10.7109375" style="1" customWidth="1"/>
    <col min="29" max="29" width="12.5703125" style="1" customWidth="1"/>
    <col min="30" max="30" width="20.5703125" style="1" bestFit="1" customWidth="1"/>
    <col min="31" max="31" width="12.5703125" style="1" bestFit="1" customWidth="1"/>
    <col min="32" max="16384" width="11.42578125" style="1"/>
  </cols>
  <sheetData>
    <row r="1" spans="1:13">
      <c r="A1"/>
      <c r="B1"/>
    </row>
    <row r="3" spans="1:13">
      <c r="A3" s="6"/>
      <c r="B3" s="54" t="s">
        <v>637</v>
      </c>
      <c r="C3"/>
      <c r="D3"/>
      <c r="E3"/>
      <c r="F3"/>
      <c r="G3"/>
      <c r="H3"/>
      <c r="I3"/>
      <c r="J3"/>
      <c r="K3"/>
      <c r="L3"/>
      <c r="M3"/>
    </row>
    <row r="4" spans="1:13">
      <c r="A4" s="54" t="s">
        <v>639</v>
      </c>
      <c r="B4" s="1" t="s">
        <v>53</v>
      </c>
      <c r="C4" s="1" t="s">
        <v>389</v>
      </c>
      <c r="D4" s="1" t="s">
        <v>750</v>
      </c>
      <c r="E4" s="1" t="s">
        <v>55</v>
      </c>
      <c r="F4" s="1" t="s">
        <v>638</v>
      </c>
      <c r="G4" s="1" t="s">
        <v>56</v>
      </c>
      <c r="H4" s="1" t="s">
        <v>727</v>
      </c>
      <c r="I4" s="1" t="s">
        <v>755</v>
      </c>
      <c r="J4" s="1" t="s">
        <v>752</v>
      </c>
      <c r="K4" s="1" t="s">
        <v>405</v>
      </c>
      <c r="L4" s="1" t="s">
        <v>763</v>
      </c>
      <c r="M4" s="1" t="s">
        <v>288</v>
      </c>
    </row>
    <row r="5" spans="1:13">
      <c r="A5" s="56" t="s">
        <v>15</v>
      </c>
      <c r="B5" s="103"/>
      <c r="C5" s="103"/>
      <c r="D5" s="103"/>
      <c r="E5" s="103"/>
      <c r="F5" s="103"/>
      <c r="G5" s="103"/>
      <c r="H5" s="103"/>
      <c r="I5" s="103"/>
      <c r="J5" s="103"/>
      <c r="K5" s="103"/>
      <c r="L5" s="103"/>
      <c r="M5" s="103"/>
    </row>
    <row r="6" spans="1:13">
      <c r="A6" s="10" t="s">
        <v>729</v>
      </c>
      <c r="B6"/>
      <c r="C6"/>
      <c r="D6"/>
      <c r="E6"/>
      <c r="F6"/>
      <c r="G6"/>
      <c r="H6"/>
      <c r="I6"/>
      <c r="J6"/>
      <c r="K6"/>
      <c r="L6"/>
      <c r="M6"/>
    </row>
    <row r="7" spans="1:13">
      <c r="A7" s="10" t="s">
        <v>725</v>
      </c>
      <c r="B7"/>
      <c r="C7"/>
      <c r="D7"/>
      <c r="E7"/>
      <c r="F7"/>
      <c r="G7"/>
      <c r="H7"/>
      <c r="I7"/>
      <c r="J7"/>
      <c r="K7"/>
      <c r="L7"/>
      <c r="M7"/>
    </row>
    <row r="8" spans="1:13">
      <c r="A8" s="10" t="s">
        <v>410</v>
      </c>
      <c r="B8"/>
      <c r="C8"/>
      <c r="D8"/>
      <c r="E8"/>
      <c r="F8"/>
      <c r="G8"/>
      <c r="H8"/>
      <c r="I8"/>
      <c r="J8"/>
      <c r="K8"/>
      <c r="L8"/>
      <c r="M8"/>
    </row>
    <row r="9" spans="1:13">
      <c r="A9" s="10" t="s">
        <v>730</v>
      </c>
      <c r="B9"/>
      <c r="C9"/>
      <c r="D9"/>
      <c r="E9"/>
      <c r="F9"/>
      <c r="G9"/>
      <c r="H9"/>
      <c r="I9"/>
      <c r="J9"/>
      <c r="K9"/>
      <c r="L9"/>
      <c r="M9"/>
    </row>
    <row r="10" spans="1:13">
      <c r="A10" s="10" t="s">
        <v>706</v>
      </c>
      <c r="B10"/>
      <c r="C10"/>
      <c r="D10"/>
      <c r="E10"/>
      <c r="F10"/>
      <c r="G10"/>
      <c r="H10"/>
      <c r="I10"/>
      <c r="J10"/>
      <c r="K10"/>
      <c r="L10"/>
      <c r="M10"/>
    </row>
    <row r="11" spans="1:13">
      <c r="A11" s="56" t="s">
        <v>257</v>
      </c>
      <c r="B11" s="103"/>
      <c r="C11" s="103"/>
      <c r="D11" s="103"/>
      <c r="E11" s="103"/>
      <c r="F11" s="103"/>
      <c r="G11" s="103"/>
      <c r="H11" s="103"/>
      <c r="I11" s="103"/>
      <c r="J11" s="103"/>
      <c r="K11" s="103"/>
      <c r="L11" s="103"/>
      <c r="M11" s="103"/>
    </row>
    <row r="12" spans="1:13">
      <c r="A12" s="10" t="s">
        <v>725</v>
      </c>
      <c r="B12"/>
      <c r="C12"/>
      <c r="D12"/>
      <c r="E12"/>
      <c r="F12"/>
      <c r="G12"/>
      <c r="H12"/>
      <c r="I12"/>
      <c r="J12"/>
      <c r="K12"/>
      <c r="L12"/>
      <c r="M12"/>
    </row>
    <row r="13" spans="1:13">
      <c r="A13" s="55" t="s">
        <v>410</v>
      </c>
      <c r="B13" s="101"/>
      <c r="C13" s="101"/>
      <c r="D13" s="101"/>
      <c r="E13" s="101"/>
      <c r="F13" s="101"/>
      <c r="G13" s="101"/>
      <c r="H13" s="101"/>
      <c r="I13" s="101"/>
      <c r="J13" s="101"/>
      <c r="K13" s="101"/>
      <c r="L13" s="101"/>
      <c r="M13" s="101"/>
    </row>
    <row r="14" spans="1:13">
      <c r="A14" s="10" t="s">
        <v>730</v>
      </c>
      <c r="B14"/>
      <c r="C14"/>
      <c r="D14"/>
      <c r="E14"/>
      <c r="F14"/>
      <c r="G14"/>
      <c r="H14"/>
      <c r="I14"/>
      <c r="J14"/>
      <c r="K14"/>
      <c r="L14"/>
      <c r="M14"/>
    </row>
    <row r="15" spans="1:13">
      <c r="A15" s="56" t="s">
        <v>69</v>
      </c>
      <c r="B15" s="103"/>
      <c r="C15" s="103"/>
      <c r="D15" s="103"/>
      <c r="E15" s="103"/>
      <c r="F15" s="103"/>
      <c r="G15" s="103"/>
      <c r="H15" s="103"/>
      <c r="I15" s="103"/>
      <c r="J15" s="103"/>
      <c r="K15" s="103"/>
      <c r="L15" s="103"/>
      <c r="M15" s="103"/>
    </row>
    <row r="16" spans="1:13">
      <c r="A16" s="10" t="s">
        <v>729</v>
      </c>
      <c r="B16"/>
      <c r="C16"/>
      <c r="D16"/>
      <c r="E16"/>
      <c r="F16"/>
      <c r="G16"/>
      <c r="H16"/>
      <c r="I16"/>
      <c r="J16"/>
      <c r="K16"/>
      <c r="L16"/>
      <c r="M16"/>
    </row>
    <row r="17" spans="1:13">
      <c r="A17" s="10" t="s">
        <v>725</v>
      </c>
      <c r="B17"/>
      <c r="C17"/>
      <c r="D17"/>
      <c r="E17"/>
      <c r="F17"/>
      <c r="G17"/>
      <c r="H17"/>
      <c r="I17"/>
      <c r="J17"/>
      <c r="K17"/>
      <c r="L17"/>
      <c r="M17"/>
    </row>
    <row r="18" spans="1:13">
      <c r="A18" s="10" t="s">
        <v>410</v>
      </c>
      <c r="B18"/>
      <c r="C18"/>
      <c r="D18"/>
      <c r="E18"/>
      <c r="F18"/>
      <c r="G18"/>
      <c r="H18"/>
      <c r="I18"/>
      <c r="J18"/>
      <c r="K18"/>
      <c r="L18"/>
      <c r="M18"/>
    </row>
    <row r="19" spans="1:13">
      <c r="A19" s="10" t="s">
        <v>730</v>
      </c>
      <c r="B19"/>
      <c r="C19"/>
      <c r="D19"/>
      <c r="E19"/>
      <c r="F19"/>
      <c r="G19"/>
      <c r="H19"/>
      <c r="I19"/>
      <c r="J19"/>
      <c r="K19"/>
      <c r="L19"/>
      <c r="M19"/>
    </row>
    <row r="20" spans="1:13">
      <c r="A20" s="10" t="s">
        <v>706</v>
      </c>
      <c r="B20"/>
      <c r="C20"/>
      <c r="D20"/>
      <c r="E20"/>
      <c r="F20"/>
      <c r="G20"/>
      <c r="H20"/>
      <c r="I20"/>
      <c r="J20"/>
      <c r="K20"/>
      <c r="L20"/>
      <c r="M20"/>
    </row>
    <row r="21" spans="1:13">
      <c r="A21" s="56" t="s">
        <v>0</v>
      </c>
      <c r="B21" s="103"/>
      <c r="C21" s="103"/>
      <c r="D21" s="103"/>
      <c r="E21" s="103"/>
      <c r="F21" s="103"/>
      <c r="G21" s="103"/>
      <c r="H21" s="103"/>
      <c r="I21" s="103"/>
      <c r="J21" s="103"/>
      <c r="K21" s="103"/>
      <c r="L21" s="103"/>
      <c r="M21" s="103"/>
    </row>
    <row r="22" spans="1:13">
      <c r="A22" s="10" t="s">
        <v>729</v>
      </c>
      <c r="B22"/>
      <c r="C22"/>
      <c r="D22"/>
      <c r="E22"/>
      <c r="F22"/>
      <c r="G22"/>
      <c r="H22"/>
      <c r="I22"/>
      <c r="J22"/>
      <c r="K22"/>
      <c r="L22"/>
      <c r="M22"/>
    </row>
    <row r="23" spans="1:13">
      <c r="A23" s="10" t="s">
        <v>725</v>
      </c>
      <c r="B23"/>
      <c r="C23"/>
      <c r="D23"/>
      <c r="E23"/>
      <c r="F23"/>
      <c r="G23"/>
      <c r="H23"/>
      <c r="I23"/>
      <c r="J23"/>
      <c r="K23"/>
      <c r="L23"/>
      <c r="M23"/>
    </row>
    <row r="24" spans="1:13">
      <c r="A24" s="55" t="s">
        <v>410</v>
      </c>
      <c r="B24" s="101"/>
      <c r="C24" s="101"/>
      <c r="D24" s="101"/>
      <c r="E24" s="101"/>
      <c r="F24" s="101"/>
      <c r="G24" s="101"/>
      <c r="H24" s="101"/>
      <c r="I24" s="101"/>
      <c r="J24" s="101"/>
      <c r="K24" s="101"/>
      <c r="L24" s="101"/>
      <c r="M24" s="101"/>
    </row>
    <row r="25" spans="1:13">
      <c r="A25" s="10" t="s">
        <v>730</v>
      </c>
      <c r="B25"/>
      <c r="C25"/>
      <c r="D25"/>
      <c r="E25"/>
      <c r="F25"/>
      <c r="G25"/>
      <c r="H25"/>
      <c r="I25"/>
      <c r="J25"/>
      <c r="K25"/>
      <c r="L25"/>
      <c r="M25"/>
    </row>
    <row r="26" spans="1:13">
      <c r="A26" s="10" t="s">
        <v>706</v>
      </c>
      <c r="B26"/>
      <c r="C26"/>
      <c r="D26"/>
      <c r="E26"/>
      <c r="F26"/>
      <c r="G26"/>
      <c r="H26"/>
      <c r="I26"/>
      <c r="J26"/>
      <c r="K26"/>
      <c r="L26"/>
      <c r="M26"/>
    </row>
    <row r="27" spans="1:13">
      <c r="A27" s="56" t="s">
        <v>27</v>
      </c>
      <c r="B27" s="103"/>
      <c r="C27" s="103"/>
      <c r="D27" s="103"/>
      <c r="E27" s="103"/>
      <c r="F27" s="103"/>
      <c r="G27" s="103"/>
      <c r="H27" s="103"/>
      <c r="I27" s="103"/>
      <c r="J27" s="103"/>
      <c r="K27" s="103"/>
      <c r="L27" s="103"/>
      <c r="M27" s="103"/>
    </row>
    <row r="28" spans="1:13">
      <c r="A28" s="10" t="s">
        <v>729</v>
      </c>
      <c r="B28"/>
      <c r="C28"/>
      <c r="D28"/>
      <c r="E28"/>
      <c r="F28"/>
      <c r="G28"/>
      <c r="H28"/>
      <c r="I28"/>
      <c r="J28"/>
      <c r="K28"/>
      <c r="L28"/>
      <c r="M28"/>
    </row>
    <row r="29" spans="1:13">
      <c r="A29" s="10" t="s">
        <v>725</v>
      </c>
      <c r="B29"/>
      <c r="C29"/>
      <c r="D29"/>
      <c r="E29"/>
      <c r="F29"/>
      <c r="G29"/>
      <c r="H29"/>
      <c r="I29"/>
      <c r="J29"/>
      <c r="K29"/>
      <c r="L29"/>
      <c r="M29"/>
    </row>
    <row r="30" spans="1:13">
      <c r="A30" s="55" t="s">
        <v>410</v>
      </c>
      <c r="B30" s="102"/>
      <c r="C30" s="102"/>
      <c r="D30" s="102"/>
      <c r="E30" s="102"/>
      <c r="F30" s="101"/>
      <c r="G30" s="102"/>
      <c r="H30" s="102"/>
      <c r="I30" s="102"/>
      <c r="J30" s="102"/>
      <c r="K30" s="102"/>
      <c r="L30" s="102"/>
      <c r="M30" s="101"/>
    </row>
    <row r="31" spans="1:13">
      <c r="A31" s="10" t="s">
        <v>730</v>
      </c>
      <c r="B31"/>
      <c r="C31"/>
      <c r="D31"/>
      <c r="E31"/>
      <c r="F31"/>
      <c r="G31"/>
      <c r="H31"/>
      <c r="I31"/>
      <c r="J31"/>
      <c r="K31"/>
      <c r="L31"/>
      <c r="M31"/>
    </row>
    <row r="32" spans="1:13">
      <c r="A32" s="10" t="s">
        <v>706</v>
      </c>
      <c r="B32"/>
      <c r="C32"/>
      <c r="D32"/>
      <c r="E32"/>
      <c r="F32"/>
      <c r="G32"/>
      <c r="H32"/>
      <c r="I32"/>
      <c r="J32"/>
      <c r="K32"/>
      <c r="L32"/>
      <c r="M32"/>
    </row>
    <row r="33" spans="1:13">
      <c r="A33" s="10" t="s">
        <v>754</v>
      </c>
      <c r="B33"/>
      <c r="C33"/>
      <c r="D33"/>
      <c r="E33"/>
      <c r="F33"/>
      <c r="G33"/>
      <c r="H33"/>
      <c r="I33"/>
      <c r="J33"/>
      <c r="K33"/>
      <c r="L33"/>
      <c r="M33"/>
    </row>
    <row r="34" spans="1:13">
      <c r="A34" s="56" t="s">
        <v>20</v>
      </c>
      <c r="B34" s="103"/>
      <c r="C34" s="103"/>
      <c r="D34" s="103"/>
      <c r="E34" s="103"/>
      <c r="F34" s="103"/>
      <c r="G34" s="103"/>
      <c r="H34" s="103"/>
      <c r="I34" s="103"/>
      <c r="J34" s="103"/>
      <c r="K34" s="103"/>
      <c r="L34" s="103"/>
      <c r="M34" s="103"/>
    </row>
    <row r="35" spans="1:13">
      <c r="A35" s="10" t="s">
        <v>729</v>
      </c>
      <c r="B35"/>
      <c r="C35"/>
      <c r="D35"/>
      <c r="E35"/>
      <c r="F35"/>
      <c r="G35"/>
      <c r="H35"/>
      <c r="I35"/>
      <c r="J35"/>
      <c r="K35"/>
      <c r="L35"/>
      <c r="M35"/>
    </row>
    <row r="36" spans="1:13">
      <c r="A36" s="10" t="s">
        <v>725</v>
      </c>
      <c r="B36"/>
      <c r="C36"/>
      <c r="D36"/>
      <c r="E36"/>
      <c r="F36"/>
      <c r="G36"/>
      <c r="H36"/>
      <c r="I36"/>
      <c r="J36"/>
      <c r="K36"/>
      <c r="L36"/>
      <c r="M36"/>
    </row>
    <row r="37" spans="1:13">
      <c r="A37" s="55" t="s">
        <v>410</v>
      </c>
      <c r="B37" s="101"/>
      <c r="C37" s="101"/>
      <c r="D37" s="101"/>
      <c r="E37" s="101"/>
      <c r="F37" s="101"/>
      <c r="G37" s="101"/>
      <c r="H37" s="101"/>
      <c r="I37" s="101"/>
      <c r="J37" s="101"/>
      <c r="K37" s="101"/>
      <c r="L37" s="101"/>
      <c r="M37" s="101"/>
    </row>
    <row r="38" spans="1:13">
      <c r="A38" s="10" t="s">
        <v>730</v>
      </c>
      <c r="B38"/>
      <c r="C38"/>
      <c r="D38"/>
      <c r="E38"/>
      <c r="F38"/>
      <c r="G38"/>
      <c r="H38"/>
      <c r="I38"/>
      <c r="J38"/>
      <c r="K38"/>
      <c r="L38"/>
      <c r="M38"/>
    </row>
    <row r="39" spans="1:13">
      <c r="A39" s="10" t="s">
        <v>706</v>
      </c>
      <c r="B39"/>
      <c r="C39"/>
      <c r="D39"/>
      <c r="E39"/>
      <c r="F39"/>
      <c r="G39"/>
      <c r="H39"/>
      <c r="I39"/>
      <c r="J39"/>
      <c r="K39"/>
      <c r="L39"/>
      <c r="M39"/>
    </row>
    <row r="40" spans="1:13">
      <c r="A40" s="56" t="s">
        <v>36</v>
      </c>
      <c r="B40" s="103"/>
      <c r="C40" s="103"/>
      <c r="D40" s="103"/>
      <c r="E40" s="103"/>
      <c r="F40" s="103"/>
      <c r="G40" s="103"/>
      <c r="H40" s="103"/>
      <c r="I40" s="103"/>
      <c r="J40" s="103"/>
      <c r="K40" s="103"/>
      <c r="L40" s="103"/>
      <c r="M40" s="103"/>
    </row>
    <row r="41" spans="1:13">
      <c r="A41" s="10" t="s">
        <v>729</v>
      </c>
      <c r="B41"/>
      <c r="C41"/>
      <c r="D41"/>
      <c r="E41"/>
      <c r="F41"/>
      <c r="G41"/>
      <c r="H41"/>
      <c r="I41"/>
      <c r="J41"/>
      <c r="K41"/>
      <c r="L41"/>
      <c r="M41"/>
    </row>
    <row r="42" spans="1:13">
      <c r="A42" s="10" t="s">
        <v>725</v>
      </c>
      <c r="B42"/>
      <c r="C42"/>
      <c r="D42"/>
      <c r="E42"/>
      <c r="F42"/>
      <c r="G42"/>
      <c r="H42"/>
      <c r="I42"/>
      <c r="J42"/>
      <c r="K42"/>
      <c r="L42"/>
      <c r="M42"/>
    </row>
    <row r="43" spans="1:13">
      <c r="A43" s="55" t="s">
        <v>410</v>
      </c>
      <c r="B43" s="101"/>
      <c r="C43" s="101"/>
      <c r="D43" s="101"/>
      <c r="E43" s="101"/>
      <c r="F43" s="101"/>
      <c r="G43" s="101"/>
      <c r="H43" s="101"/>
      <c r="I43" s="101"/>
      <c r="J43" s="101"/>
      <c r="K43" s="101"/>
      <c r="L43" s="101"/>
      <c r="M43" s="101"/>
    </row>
    <row r="44" spans="1:13">
      <c r="A44" s="10" t="s">
        <v>730</v>
      </c>
      <c r="B44"/>
      <c r="C44"/>
      <c r="D44"/>
      <c r="E44"/>
      <c r="F44"/>
      <c r="G44"/>
      <c r="H44"/>
      <c r="I44"/>
      <c r="J44"/>
      <c r="K44"/>
      <c r="L44"/>
      <c r="M44"/>
    </row>
    <row r="45" spans="1:13">
      <c r="A45" s="10" t="s">
        <v>706</v>
      </c>
      <c r="B45"/>
      <c r="C45"/>
      <c r="D45"/>
      <c r="E45"/>
      <c r="F45"/>
      <c r="G45"/>
      <c r="H45"/>
      <c r="I45"/>
      <c r="J45"/>
      <c r="K45"/>
      <c r="L45"/>
      <c r="M45"/>
    </row>
    <row r="46" spans="1:13">
      <c r="A46" s="56" t="s">
        <v>31</v>
      </c>
      <c r="B46" s="103"/>
      <c r="C46" s="103"/>
      <c r="D46" s="103"/>
      <c r="E46" s="103"/>
      <c r="F46" s="103"/>
      <c r="G46" s="103"/>
      <c r="H46" s="103"/>
      <c r="I46" s="103"/>
      <c r="J46" s="103"/>
      <c r="K46" s="103"/>
      <c r="L46" s="103"/>
      <c r="M46" s="103"/>
    </row>
    <row r="47" spans="1:13">
      <c r="A47" s="10" t="s">
        <v>729</v>
      </c>
      <c r="B47"/>
      <c r="C47"/>
      <c r="D47"/>
      <c r="E47"/>
      <c r="F47"/>
      <c r="G47"/>
      <c r="H47"/>
      <c r="I47"/>
      <c r="J47"/>
      <c r="K47"/>
      <c r="L47"/>
      <c r="M47"/>
    </row>
    <row r="48" spans="1:13">
      <c r="A48" s="10" t="s">
        <v>725</v>
      </c>
      <c r="B48"/>
      <c r="C48"/>
      <c r="D48"/>
      <c r="E48"/>
      <c r="F48"/>
      <c r="G48"/>
      <c r="H48"/>
      <c r="I48"/>
      <c r="J48"/>
      <c r="K48"/>
      <c r="L48"/>
      <c r="M48"/>
    </row>
    <row r="49" spans="1:13">
      <c r="A49" s="55" t="s">
        <v>410</v>
      </c>
      <c r="B49" s="101"/>
      <c r="C49" s="101"/>
      <c r="D49" s="101"/>
      <c r="E49" s="101"/>
      <c r="F49" s="101"/>
      <c r="G49" s="101"/>
      <c r="H49" s="101"/>
      <c r="I49" s="101"/>
      <c r="J49" s="101"/>
      <c r="K49" s="101"/>
      <c r="L49" s="101"/>
      <c r="M49" s="101"/>
    </row>
    <row r="50" spans="1:13">
      <c r="A50" s="10" t="s">
        <v>730</v>
      </c>
      <c r="B50"/>
      <c r="C50"/>
      <c r="D50"/>
      <c r="E50"/>
      <c r="F50"/>
      <c r="G50"/>
      <c r="H50"/>
      <c r="I50"/>
      <c r="J50"/>
      <c r="K50"/>
      <c r="L50"/>
      <c r="M50"/>
    </row>
    <row r="51" spans="1:13">
      <c r="A51" s="10" t="s">
        <v>706</v>
      </c>
      <c r="B51"/>
      <c r="C51"/>
      <c r="D51"/>
      <c r="E51"/>
      <c r="F51"/>
      <c r="G51"/>
      <c r="H51"/>
      <c r="I51"/>
      <c r="J51"/>
      <c r="K51"/>
      <c r="L51"/>
      <c r="M51"/>
    </row>
    <row r="52" spans="1:13">
      <c r="A52" s="56" t="s">
        <v>261</v>
      </c>
      <c r="B52" s="103"/>
      <c r="C52" s="103"/>
      <c r="D52" s="103"/>
      <c r="E52" s="103"/>
      <c r="F52" s="103"/>
      <c r="G52" s="103"/>
      <c r="H52" s="103"/>
      <c r="I52" s="103"/>
      <c r="J52" s="103"/>
      <c r="K52" s="103"/>
      <c r="L52" s="103"/>
      <c r="M52" s="103"/>
    </row>
    <row r="53" spans="1:13">
      <c r="A53" s="10" t="s">
        <v>725</v>
      </c>
      <c r="B53"/>
      <c r="C53"/>
      <c r="D53"/>
      <c r="E53"/>
      <c r="F53"/>
      <c r="G53"/>
      <c r="H53"/>
      <c r="I53"/>
      <c r="J53"/>
      <c r="K53"/>
      <c r="L53"/>
      <c r="M53"/>
    </row>
    <row r="54" spans="1:13">
      <c r="A54" s="10" t="s">
        <v>730</v>
      </c>
      <c r="B54"/>
      <c r="C54"/>
      <c r="D54"/>
      <c r="E54"/>
      <c r="F54"/>
      <c r="G54"/>
      <c r="H54"/>
      <c r="I54"/>
      <c r="J54"/>
      <c r="K54"/>
      <c r="L54"/>
      <c r="M54"/>
    </row>
    <row r="55" spans="1:13">
      <c r="A55" s="56" t="s">
        <v>39</v>
      </c>
      <c r="B55" s="103"/>
      <c r="C55" s="103"/>
      <c r="D55" s="103"/>
      <c r="E55" s="103"/>
      <c r="F55" s="103"/>
      <c r="G55" s="103"/>
      <c r="H55" s="103"/>
      <c r="I55" s="103"/>
      <c r="J55" s="103"/>
      <c r="K55" s="103"/>
      <c r="L55" s="103"/>
      <c r="M55" s="103"/>
    </row>
    <row r="56" spans="1:13">
      <c r="A56" s="10" t="s">
        <v>729</v>
      </c>
      <c r="B56"/>
      <c r="C56"/>
      <c r="D56"/>
      <c r="E56"/>
      <c r="F56"/>
      <c r="G56"/>
      <c r="H56"/>
      <c r="I56"/>
      <c r="J56"/>
      <c r="K56"/>
      <c r="L56"/>
      <c r="M56"/>
    </row>
    <row r="57" spans="1:13">
      <c r="A57" s="10" t="s">
        <v>725</v>
      </c>
      <c r="B57"/>
      <c r="C57"/>
      <c r="D57"/>
      <c r="E57"/>
      <c r="F57"/>
      <c r="G57"/>
      <c r="H57"/>
      <c r="I57"/>
      <c r="J57"/>
      <c r="K57"/>
      <c r="L57"/>
      <c r="M57"/>
    </row>
    <row r="58" spans="1:13">
      <c r="A58" s="55" t="s">
        <v>410</v>
      </c>
      <c r="B58" s="101"/>
      <c r="C58" s="101"/>
      <c r="D58" s="101"/>
      <c r="E58" s="101"/>
      <c r="F58" s="101"/>
      <c r="G58" s="101"/>
      <c r="H58" s="101"/>
      <c r="I58" s="101"/>
      <c r="J58" s="101"/>
      <c r="K58" s="101"/>
      <c r="L58" s="101"/>
      <c r="M58" s="101"/>
    </row>
    <row r="59" spans="1:13">
      <c r="A59" s="10" t="s">
        <v>730</v>
      </c>
      <c r="B59"/>
      <c r="C59"/>
      <c r="D59"/>
      <c r="E59"/>
      <c r="F59"/>
      <c r="G59"/>
      <c r="H59"/>
      <c r="I59"/>
      <c r="J59"/>
      <c r="K59"/>
      <c r="L59"/>
      <c r="M59"/>
    </row>
    <row r="60" spans="1:13">
      <c r="A60" s="10" t="s">
        <v>706</v>
      </c>
      <c r="B60"/>
      <c r="C60"/>
      <c r="D60"/>
      <c r="E60"/>
      <c r="F60"/>
      <c r="G60"/>
      <c r="H60"/>
      <c r="I60"/>
      <c r="J60"/>
      <c r="K60"/>
      <c r="L60"/>
      <c r="M60"/>
    </row>
    <row r="61" spans="1:13">
      <c r="A61" s="56" t="s">
        <v>66</v>
      </c>
      <c r="B61" s="103"/>
      <c r="C61" s="103"/>
      <c r="D61" s="103"/>
      <c r="E61" s="103"/>
      <c r="F61" s="103"/>
      <c r="G61" s="103"/>
      <c r="H61" s="103"/>
      <c r="I61" s="103"/>
      <c r="J61" s="103"/>
      <c r="K61" s="103"/>
      <c r="L61" s="103"/>
      <c r="M61" s="103"/>
    </row>
    <row r="62" spans="1:13">
      <c r="A62" s="10" t="s">
        <v>729</v>
      </c>
      <c r="B62"/>
      <c r="C62"/>
      <c r="D62"/>
      <c r="E62"/>
      <c r="F62"/>
      <c r="G62"/>
      <c r="H62"/>
      <c r="I62"/>
      <c r="J62"/>
      <c r="K62"/>
      <c r="L62"/>
      <c r="M62"/>
    </row>
    <row r="63" spans="1:13">
      <c r="A63" s="10" t="s">
        <v>725</v>
      </c>
      <c r="B63"/>
      <c r="C63"/>
      <c r="D63"/>
      <c r="E63"/>
      <c r="F63"/>
      <c r="G63"/>
      <c r="H63"/>
      <c r="I63"/>
      <c r="J63"/>
      <c r="K63"/>
      <c r="L63"/>
      <c r="M63"/>
    </row>
    <row r="64" spans="1:13">
      <c r="A64" s="55" t="s">
        <v>410</v>
      </c>
      <c r="B64" s="101"/>
      <c r="C64" s="101"/>
      <c r="D64" s="101"/>
      <c r="E64" s="101"/>
      <c r="F64" s="101"/>
      <c r="G64" s="101"/>
      <c r="H64" s="101"/>
      <c r="I64" s="101"/>
      <c r="J64" s="101"/>
      <c r="K64" s="101"/>
      <c r="L64" s="101"/>
      <c r="M64" s="101"/>
    </row>
    <row r="65" spans="1:13">
      <c r="A65" s="10" t="s">
        <v>730</v>
      </c>
      <c r="B65"/>
      <c r="C65"/>
      <c r="D65"/>
      <c r="E65"/>
      <c r="F65"/>
      <c r="G65"/>
      <c r="H65"/>
      <c r="I65"/>
      <c r="J65"/>
      <c r="K65"/>
      <c r="L65"/>
      <c r="M65"/>
    </row>
    <row r="66" spans="1:13">
      <c r="A66" s="10" t="s">
        <v>706</v>
      </c>
      <c r="B66"/>
      <c r="C66"/>
      <c r="D66"/>
      <c r="E66"/>
      <c r="F66"/>
      <c r="G66"/>
      <c r="H66"/>
      <c r="I66"/>
      <c r="J66"/>
      <c r="K66"/>
      <c r="L66"/>
      <c r="M66"/>
    </row>
    <row r="67" spans="1:13">
      <c r="A67" s="56" t="s">
        <v>531</v>
      </c>
      <c r="B67" s="103"/>
      <c r="C67" s="103"/>
      <c r="D67" s="103"/>
      <c r="E67" s="103"/>
      <c r="F67" s="103"/>
      <c r="G67" s="103"/>
      <c r="H67" s="103"/>
      <c r="I67" s="103"/>
      <c r="J67" s="103"/>
      <c r="K67" s="103"/>
      <c r="L67" s="103"/>
      <c r="M67" s="103"/>
    </row>
    <row r="68" spans="1:13">
      <c r="A68" s="10" t="s">
        <v>729</v>
      </c>
      <c r="B68"/>
      <c r="C68"/>
      <c r="D68"/>
      <c r="E68"/>
      <c r="F68"/>
      <c r="G68"/>
      <c r="H68"/>
      <c r="I68"/>
      <c r="J68"/>
      <c r="K68"/>
      <c r="L68"/>
      <c r="M68"/>
    </row>
    <row r="69" spans="1:13">
      <c r="A69" s="10" t="s">
        <v>725</v>
      </c>
      <c r="B69"/>
      <c r="C69"/>
      <c r="D69"/>
      <c r="E69"/>
      <c r="F69"/>
      <c r="G69"/>
      <c r="H69"/>
      <c r="I69"/>
      <c r="J69"/>
      <c r="K69"/>
      <c r="L69"/>
      <c r="M69"/>
    </row>
    <row r="70" spans="1:13">
      <c r="A70" s="55" t="s">
        <v>410</v>
      </c>
      <c r="B70" s="101"/>
      <c r="C70" s="101"/>
      <c r="D70" s="101"/>
      <c r="E70" s="101"/>
      <c r="F70" s="101"/>
      <c r="G70" s="101"/>
      <c r="H70" s="101"/>
      <c r="I70" s="101"/>
      <c r="J70" s="101"/>
      <c r="K70" s="101"/>
      <c r="L70" s="101"/>
      <c r="M70" s="101"/>
    </row>
    <row r="71" spans="1:13">
      <c r="A71" s="10" t="s">
        <v>730</v>
      </c>
      <c r="B71"/>
      <c r="C71"/>
      <c r="D71"/>
      <c r="E71"/>
      <c r="F71"/>
      <c r="G71"/>
      <c r="H71"/>
      <c r="I71"/>
      <c r="J71"/>
      <c r="K71"/>
      <c r="L71"/>
      <c r="M71"/>
    </row>
    <row r="72" spans="1:13">
      <c r="A72" s="10" t="s">
        <v>706</v>
      </c>
      <c r="B72"/>
      <c r="C72"/>
      <c r="D72"/>
      <c r="E72"/>
      <c r="F72"/>
      <c r="G72"/>
      <c r="H72"/>
      <c r="I72"/>
      <c r="J72"/>
      <c r="K72"/>
      <c r="L72"/>
      <c r="M72"/>
    </row>
    <row r="73" spans="1:13">
      <c r="A73" s="62" t="s">
        <v>642</v>
      </c>
      <c r="B73" s="105"/>
      <c r="C73" s="105"/>
      <c r="D73" s="105"/>
      <c r="E73" s="105"/>
      <c r="F73" s="105"/>
      <c r="G73" s="105"/>
      <c r="H73" s="105"/>
      <c r="I73" s="105"/>
      <c r="J73" s="105"/>
      <c r="K73" s="105"/>
      <c r="L73" s="105"/>
      <c r="M73" s="105"/>
    </row>
    <row r="74" spans="1:13">
      <c r="A74" s="10" t="s">
        <v>725</v>
      </c>
      <c r="B74"/>
      <c r="C74"/>
      <c r="D74"/>
      <c r="E74"/>
      <c r="F74"/>
      <c r="G74"/>
      <c r="H74"/>
      <c r="I74"/>
      <c r="J74"/>
      <c r="K74"/>
      <c r="L74"/>
      <c r="M74"/>
    </row>
    <row r="75" spans="1:13">
      <c r="A75" s="10" t="s">
        <v>730</v>
      </c>
      <c r="B75"/>
      <c r="C75"/>
      <c r="D75"/>
      <c r="E75"/>
      <c r="F75"/>
      <c r="G75"/>
      <c r="H75"/>
      <c r="I75"/>
      <c r="J75"/>
      <c r="K75"/>
      <c r="L75"/>
      <c r="M75"/>
    </row>
    <row r="76" spans="1:13">
      <c r="A76" s="62" t="s">
        <v>645</v>
      </c>
      <c r="B76" s="105"/>
      <c r="C76" s="105"/>
      <c r="D76" s="105"/>
      <c r="E76" s="105"/>
      <c r="F76" s="105"/>
      <c r="G76" s="105"/>
      <c r="H76" s="105"/>
      <c r="I76" s="105"/>
      <c r="J76" s="105"/>
      <c r="K76" s="105"/>
      <c r="L76" s="105"/>
      <c r="M76" s="105"/>
    </row>
    <row r="77" spans="1:13">
      <c r="A77" s="10" t="s">
        <v>725</v>
      </c>
      <c r="B77"/>
      <c r="C77"/>
      <c r="D77"/>
      <c r="E77"/>
      <c r="F77"/>
      <c r="G77"/>
      <c r="H77"/>
      <c r="I77"/>
      <c r="J77"/>
      <c r="K77"/>
      <c r="L77"/>
      <c r="M77"/>
    </row>
    <row r="78" spans="1:13">
      <c r="A78" s="61" t="s">
        <v>410</v>
      </c>
      <c r="B78" s="104"/>
      <c r="C78" s="104"/>
      <c r="D78" s="104"/>
      <c r="E78" s="104"/>
      <c r="F78" s="104"/>
      <c r="G78" s="106"/>
      <c r="H78" s="104"/>
      <c r="I78" s="104"/>
      <c r="J78" s="104"/>
      <c r="K78" s="104"/>
      <c r="L78" s="104"/>
      <c r="M78" s="106"/>
    </row>
    <row r="79" spans="1:13">
      <c r="A79" s="10" t="s">
        <v>730</v>
      </c>
      <c r="B79"/>
      <c r="C79"/>
      <c r="D79"/>
      <c r="E79"/>
      <c r="F79"/>
      <c r="G79"/>
      <c r="H79"/>
      <c r="I79"/>
      <c r="J79"/>
      <c r="K79"/>
      <c r="L79"/>
      <c r="M79"/>
    </row>
    <row r="80" spans="1:13">
      <c r="A80" s="5" t="s">
        <v>288</v>
      </c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</row>
    <row r="81" spans="1:8">
      <c r="A81"/>
      <c r="B81"/>
      <c r="C81"/>
      <c r="D81"/>
      <c r="E81"/>
      <c r="F81"/>
      <c r="G81"/>
      <c r="H81"/>
    </row>
    <row r="82" spans="1:8">
      <c r="A82"/>
      <c r="B82"/>
      <c r="C82"/>
      <c r="D82"/>
      <c r="E82"/>
      <c r="F82"/>
      <c r="G82"/>
      <c r="H82"/>
    </row>
    <row r="83" spans="1:8">
      <c r="A83"/>
      <c r="B83"/>
      <c r="C83"/>
      <c r="D83"/>
      <c r="E83"/>
      <c r="F83"/>
      <c r="G83"/>
      <c r="H83"/>
    </row>
    <row r="84" spans="1:8">
      <c r="A84"/>
      <c r="B84"/>
      <c r="C84"/>
      <c r="D84"/>
      <c r="E84"/>
      <c r="F84"/>
      <c r="G84"/>
      <c r="H84"/>
    </row>
  </sheetData>
  <pageMargins left="0.25" right="0.25" top="0.75" bottom="0.75" header="0.3" footer="0.3"/>
  <pageSetup orientation="portrait" verticalDpi="0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4"/>
  <sheetViews>
    <sheetView showGridLines="0" zoomScaleNormal="100" workbookViewId="0">
      <selection activeCell="A69" sqref="A69"/>
    </sheetView>
  </sheetViews>
  <sheetFormatPr baseColWidth="10" defaultRowHeight="15"/>
  <cols>
    <col min="1" max="1" width="37.85546875" style="1" customWidth="1"/>
    <col min="2" max="2" width="4.5703125" style="1" customWidth="1"/>
    <col min="3" max="3" width="17.7109375" style="1" customWidth="1"/>
    <col min="4" max="4" width="5.42578125" style="1" customWidth="1"/>
    <col min="5" max="5" width="5.28515625" style="1" customWidth="1"/>
    <col min="6" max="6" width="12" style="1" customWidth="1"/>
    <col min="7" max="7" width="5.85546875" style="1" customWidth="1"/>
    <col min="8" max="8" width="10" style="1" customWidth="1"/>
    <col min="9" max="9" width="16.42578125" style="1" customWidth="1"/>
    <col min="10" max="10" width="16.5703125" style="1" customWidth="1"/>
    <col min="11" max="11" width="30.7109375" style="1" customWidth="1"/>
    <col min="12" max="12" width="26.5703125" style="1" customWidth="1"/>
    <col min="13" max="13" width="12.5703125" style="1" customWidth="1"/>
    <col min="14" max="15" width="14.5703125" style="1" customWidth="1"/>
    <col min="16" max="17" width="12.5703125" style="1" customWidth="1"/>
    <col min="18" max="18" width="21.42578125" style="1" customWidth="1"/>
    <col min="19" max="19" width="24.5703125" style="1" customWidth="1"/>
    <col min="20" max="20" width="10.28515625" style="1" customWidth="1"/>
    <col min="21" max="21" width="10.85546875" style="1" customWidth="1"/>
    <col min="22" max="22" width="15.5703125" style="1" bestFit="1" customWidth="1"/>
    <col min="23" max="23" width="16.28515625" style="1" bestFit="1" customWidth="1"/>
    <col min="24" max="24" width="12.140625" style="1" customWidth="1"/>
    <col min="25" max="25" width="9.7109375" style="1" customWidth="1"/>
    <col min="26" max="26" width="10.28515625" style="1" customWidth="1"/>
    <col min="27" max="27" width="10.85546875" style="1" customWidth="1"/>
    <col min="28" max="28" width="10.7109375" style="1" customWidth="1"/>
    <col min="29" max="29" width="12.5703125" style="1" customWidth="1"/>
    <col min="30" max="30" width="20.5703125" style="1" bestFit="1" customWidth="1"/>
    <col min="31" max="31" width="12.5703125" style="1" bestFit="1" customWidth="1"/>
    <col min="32" max="16384" width="11.42578125" style="1"/>
  </cols>
  <sheetData>
    <row r="1" spans="1:16">
      <c r="A1"/>
      <c r="B1"/>
    </row>
    <row r="3" spans="1:16">
      <c r="A3" s="6"/>
      <c r="B3" s="54" t="s">
        <v>637</v>
      </c>
      <c r="C3"/>
      <c r="D3"/>
      <c r="E3"/>
      <c r="F3"/>
      <c r="G3"/>
      <c r="H3"/>
      <c r="I3"/>
      <c r="J3"/>
      <c r="K3"/>
      <c r="L3"/>
      <c r="M3"/>
      <c r="N3"/>
      <c r="O3"/>
      <c r="P3"/>
    </row>
    <row r="4" spans="1:16">
      <c r="A4" s="54" t="s">
        <v>639</v>
      </c>
      <c r="B4" s="1" t="s">
        <v>53</v>
      </c>
      <c r="C4" s="1" t="s">
        <v>389</v>
      </c>
      <c r="D4" s="1" t="s">
        <v>750</v>
      </c>
      <c r="E4" s="1" t="s">
        <v>55</v>
      </c>
      <c r="F4" s="1" t="s">
        <v>638</v>
      </c>
      <c r="G4" s="1" t="s">
        <v>56</v>
      </c>
      <c r="H4" s="1" t="s">
        <v>727</v>
      </c>
      <c r="I4" s="1" t="s">
        <v>755</v>
      </c>
      <c r="J4" s="1" t="s">
        <v>752</v>
      </c>
      <c r="K4" s="1" t="s">
        <v>405</v>
      </c>
      <c r="L4" s="1" t="s">
        <v>763</v>
      </c>
      <c r="M4" s="1" t="s">
        <v>288</v>
      </c>
      <c r="N4"/>
      <c r="O4"/>
      <c r="P4"/>
    </row>
    <row r="5" spans="1:16">
      <c r="A5" s="56" t="s">
        <v>15</v>
      </c>
      <c r="B5" s="103"/>
      <c r="C5" s="103"/>
      <c r="D5" s="103"/>
      <c r="E5" s="103"/>
      <c r="F5" s="103"/>
      <c r="G5" s="103"/>
      <c r="H5" s="103"/>
      <c r="I5" s="103"/>
      <c r="J5" s="103"/>
      <c r="K5" s="103"/>
      <c r="L5" s="103"/>
      <c r="M5" s="103"/>
      <c r="N5"/>
      <c r="O5"/>
      <c r="P5"/>
    </row>
    <row r="6" spans="1:16">
      <c r="A6" s="10" t="s">
        <v>729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</row>
    <row r="7" spans="1:16">
      <c r="A7" s="10" t="s">
        <v>725</v>
      </c>
      <c r="B7"/>
      <c r="C7"/>
      <c r="D7"/>
      <c r="E7"/>
      <c r="F7"/>
      <c r="G7"/>
      <c r="H7"/>
      <c r="I7"/>
      <c r="J7"/>
      <c r="K7"/>
      <c r="L7"/>
      <c r="M7"/>
      <c r="N7"/>
      <c r="O7"/>
      <c r="P7"/>
    </row>
    <row r="8" spans="1:16">
      <c r="A8" s="10" t="s">
        <v>410</v>
      </c>
      <c r="B8"/>
      <c r="C8"/>
      <c r="D8"/>
      <c r="E8"/>
      <c r="F8"/>
      <c r="G8"/>
      <c r="H8"/>
      <c r="I8"/>
      <c r="J8"/>
      <c r="K8"/>
      <c r="L8"/>
      <c r="M8"/>
      <c r="N8"/>
      <c r="O8"/>
      <c r="P8"/>
    </row>
    <row r="9" spans="1:16">
      <c r="A9" s="10" t="s">
        <v>730</v>
      </c>
      <c r="B9"/>
      <c r="C9"/>
      <c r="D9"/>
      <c r="E9"/>
      <c r="F9"/>
      <c r="G9"/>
      <c r="H9"/>
      <c r="I9"/>
      <c r="J9"/>
      <c r="K9"/>
      <c r="L9"/>
      <c r="M9"/>
      <c r="N9"/>
      <c r="O9"/>
      <c r="P9"/>
    </row>
    <row r="10" spans="1:16">
      <c r="A10" s="10" t="s">
        <v>706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</row>
    <row r="11" spans="1:16">
      <c r="A11" s="56" t="s">
        <v>257</v>
      </c>
      <c r="B11" s="103"/>
      <c r="C11" s="103"/>
      <c r="D11" s="103"/>
      <c r="E11" s="103"/>
      <c r="F11" s="103"/>
      <c r="G11" s="103"/>
      <c r="H11" s="103"/>
      <c r="I11" s="103"/>
      <c r="J11" s="103"/>
      <c r="K11" s="103"/>
      <c r="L11" s="103"/>
      <c r="M11" s="103"/>
      <c r="N11"/>
      <c r="O11"/>
      <c r="P11"/>
    </row>
    <row r="12" spans="1:16">
      <c r="A12" s="10" t="s">
        <v>725</v>
      </c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6">
      <c r="A13" s="55" t="s">
        <v>410</v>
      </c>
      <c r="B13" s="101"/>
      <c r="C13" s="101"/>
      <c r="D13" s="101"/>
      <c r="E13" s="101"/>
      <c r="F13" s="101"/>
      <c r="G13" s="101"/>
      <c r="H13" s="101"/>
      <c r="I13" s="101"/>
      <c r="J13" s="101"/>
      <c r="K13" s="101"/>
      <c r="L13" s="101"/>
      <c r="M13" s="101"/>
      <c r="N13"/>
      <c r="O13"/>
      <c r="P13"/>
    </row>
    <row r="14" spans="1:16">
      <c r="A14" s="10" t="s">
        <v>730</v>
      </c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6">
      <c r="A15" s="56" t="s">
        <v>69</v>
      </c>
      <c r="B15" s="103"/>
      <c r="C15" s="103"/>
      <c r="D15" s="103"/>
      <c r="E15" s="103"/>
      <c r="F15" s="103"/>
      <c r="G15" s="103"/>
      <c r="H15" s="103"/>
      <c r="I15" s="103"/>
      <c r="J15" s="103"/>
      <c r="K15" s="103"/>
      <c r="L15" s="103"/>
      <c r="M15" s="103"/>
      <c r="N15"/>
      <c r="O15"/>
      <c r="P15"/>
    </row>
    <row r="16" spans="1:16">
      <c r="A16" s="10" t="s">
        <v>729</v>
      </c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>
      <c r="A17" s="10" t="s">
        <v>725</v>
      </c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>
      <c r="A18" s="10" t="s">
        <v>410</v>
      </c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>
      <c r="A19" s="10" t="s">
        <v>730</v>
      </c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>
      <c r="A20" s="10" t="s">
        <v>706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>
      <c r="A21" s="56" t="s">
        <v>0</v>
      </c>
      <c r="B21" s="103"/>
      <c r="C21" s="103"/>
      <c r="D21" s="103"/>
      <c r="E21" s="103"/>
      <c r="F21" s="103"/>
      <c r="G21" s="103"/>
      <c r="H21" s="103"/>
      <c r="I21" s="103"/>
      <c r="J21" s="103"/>
      <c r="K21" s="103"/>
      <c r="L21" s="103"/>
      <c r="M21" s="103"/>
      <c r="N21"/>
      <c r="O21"/>
      <c r="P21"/>
    </row>
    <row r="22" spans="1:16">
      <c r="A22" s="10" t="s">
        <v>729</v>
      </c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>
      <c r="A23" s="10" t="s">
        <v>725</v>
      </c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>
      <c r="A24" s="55" t="s">
        <v>410</v>
      </c>
      <c r="B24" s="101"/>
      <c r="C24" s="101"/>
      <c r="D24" s="101"/>
      <c r="E24" s="101"/>
      <c r="F24" s="101"/>
      <c r="G24" s="101"/>
      <c r="H24" s="101"/>
      <c r="I24" s="101"/>
      <c r="J24" s="101"/>
      <c r="K24" s="101"/>
      <c r="L24" s="101"/>
      <c r="M24" s="101"/>
      <c r="N24"/>
      <c r="O24"/>
      <c r="P24"/>
    </row>
    <row r="25" spans="1:16">
      <c r="A25" s="10" t="s">
        <v>730</v>
      </c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>
      <c r="A26" s="10" t="s">
        <v>706</v>
      </c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>
      <c r="A27" s="56" t="s">
        <v>27</v>
      </c>
      <c r="B27" s="103"/>
      <c r="C27" s="103"/>
      <c r="D27" s="103"/>
      <c r="E27" s="103"/>
      <c r="F27" s="103"/>
      <c r="G27" s="103"/>
      <c r="H27" s="103"/>
      <c r="I27" s="103"/>
      <c r="J27" s="103"/>
      <c r="K27" s="103"/>
      <c r="L27" s="103"/>
      <c r="M27" s="103"/>
      <c r="N27"/>
      <c r="O27"/>
      <c r="P27"/>
    </row>
    <row r="28" spans="1:16">
      <c r="A28" s="10" t="s">
        <v>729</v>
      </c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>
      <c r="A29" s="10" t="s">
        <v>725</v>
      </c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>
      <c r="A30" s="55" t="s">
        <v>410</v>
      </c>
      <c r="B30" s="102"/>
      <c r="C30" s="102"/>
      <c r="D30" s="102"/>
      <c r="E30" s="102"/>
      <c r="F30" s="102"/>
      <c r="G30" s="102"/>
      <c r="H30" s="102"/>
      <c r="I30" s="102"/>
      <c r="J30" s="102"/>
      <c r="K30" s="102"/>
      <c r="L30" s="102"/>
      <c r="M30" s="101"/>
      <c r="N30"/>
      <c r="O30"/>
      <c r="P30"/>
    </row>
    <row r="31" spans="1:16">
      <c r="A31" s="10" t="s">
        <v>730</v>
      </c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>
      <c r="A32" s="10" t="s">
        <v>706</v>
      </c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>
      <c r="A33" s="10" t="s">
        <v>754</v>
      </c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>
      <c r="A34" s="56" t="s">
        <v>20</v>
      </c>
      <c r="B34" s="103"/>
      <c r="C34" s="103"/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/>
      <c r="O34"/>
      <c r="P34"/>
    </row>
    <row r="35" spans="1:16">
      <c r="A35" s="10" t="s">
        <v>729</v>
      </c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>
      <c r="A36" s="10" t="s">
        <v>725</v>
      </c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>
      <c r="A37" s="55" t="s">
        <v>410</v>
      </c>
      <c r="B37" s="101"/>
      <c r="C37" s="101"/>
      <c r="D37" s="101"/>
      <c r="E37" s="101"/>
      <c r="F37" s="101"/>
      <c r="G37" s="101"/>
      <c r="H37" s="101"/>
      <c r="I37" s="101"/>
      <c r="J37" s="101"/>
      <c r="K37" s="101"/>
      <c r="L37" s="101"/>
      <c r="M37" s="101"/>
      <c r="N37"/>
      <c r="O37"/>
      <c r="P37"/>
    </row>
    <row r="38" spans="1:16">
      <c r="A38" s="10" t="s">
        <v>730</v>
      </c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>
      <c r="A39" s="10" t="s">
        <v>706</v>
      </c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>
      <c r="A40" s="56" t="s">
        <v>36</v>
      </c>
      <c r="B40" s="103"/>
      <c r="C40" s="103"/>
      <c r="D40" s="103"/>
      <c r="E40" s="103"/>
      <c r="F40" s="103"/>
      <c r="G40" s="103"/>
      <c r="H40" s="103"/>
      <c r="I40" s="103"/>
      <c r="J40" s="103"/>
      <c r="K40" s="103"/>
      <c r="L40" s="103"/>
      <c r="M40" s="103"/>
      <c r="N40"/>
      <c r="O40"/>
      <c r="P40"/>
    </row>
    <row r="41" spans="1:16">
      <c r="A41" s="10" t="s">
        <v>729</v>
      </c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>
      <c r="A42" s="10" t="s">
        <v>725</v>
      </c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>
      <c r="A43" s="55" t="s">
        <v>410</v>
      </c>
      <c r="B43" s="101"/>
      <c r="C43" s="101"/>
      <c r="D43" s="101"/>
      <c r="E43" s="101"/>
      <c r="F43" s="101"/>
      <c r="G43" s="101"/>
      <c r="H43" s="101"/>
      <c r="I43" s="101"/>
      <c r="J43" s="101"/>
      <c r="K43" s="101"/>
      <c r="L43" s="101"/>
      <c r="M43" s="101"/>
      <c r="N43"/>
      <c r="O43"/>
      <c r="P43"/>
    </row>
    <row r="44" spans="1:16">
      <c r="A44" s="10" t="s">
        <v>730</v>
      </c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>
      <c r="A45" s="10" t="s">
        <v>706</v>
      </c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>
      <c r="A46" s="56" t="s">
        <v>31</v>
      </c>
      <c r="B46" s="103"/>
      <c r="C46" s="103"/>
      <c r="D46" s="103"/>
      <c r="E46" s="103"/>
      <c r="F46" s="103"/>
      <c r="G46" s="103"/>
      <c r="H46" s="103"/>
      <c r="I46" s="103"/>
      <c r="J46" s="103"/>
      <c r="K46" s="103"/>
      <c r="L46" s="103"/>
      <c r="M46" s="103"/>
      <c r="N46"/>
      <c r="O46"/>
      <c r="P46"/>
    </row>
    <row r="47" spans="1:16">
      <c r="A47" s="10" t="s">
        <v>729</v>
      </c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>
      <c r="A48" s="10" t="s">
        <v>725</v>
      </c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>
      <c r="A49" s="55" t="s">
        <v>410</v>
      </c>
      <c r="B49" s="101"/>
      <c r="C49" s="101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/>
      <c r="O49"/>
      <c r="P49"/>
    </row>
    <row r="50" spans="1:16">
      <c r="A50" s="10" t="s">
        <v>730</v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>
      <c r="A51" s="10" t="s">
        <v>706</v>
      </c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>
      <c r="A52" s="56" t="s">
        <v>261</v>
      </c>
      <c r="B52" s="103"/>
      <c r="C52" s="103"/>
      <c r="D52" s="103"/>
      <c r="E52" s="103"/>
      <c r="F52" s="103"/>
      <c r="G52" s="103"/>
      <c r="H52" s="103"/>
      <c r="I52" s="103"/>
      <c r="J52" s="103"/>
      <c r="K52" s="103"/>
      <c r="L52" s="103"/>
      <c r="M52" s="103"/>
      <c r="N52"/>
      <c r="O52"/>
      <c r="P52"/>
    </row>
    <row r="53" spans="1:16">
      <c r="A53" s="10" t="s">
        <v>725</v>
      </c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>
      <c r="A54" s="10" t="s">
        <v>730</v>
      </c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>
      <c r="A55" s="56" t="s">
        <v>39</v>
      </c>
      <c r="B55" s="103"/>
      <c r="C55" s="103"/>
      <c r="D55" s="103"/>
      <c r="E55" s="103"/>
      <c r="F55" s="103"/>
      <c r="G55" s="103"/>
      <c r="H55" s="103"/>
      <c r="I55" s="103"/>
      <c r="J55" s="103"/>
      <c r="K55" s="103"/>
      <c r="L55" s="103"/>
      <c r="M55" s="103"/>
      <c r="N55"/>
      <c r="O55"/>
      <c r="P55"/>
    </row>
    <row r="56" spans="1:16">
      <c r="A56" s="10" t="s">
        <v>729</v>
      </c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>
      <c r="A57" s="10" t="s">
        <v>725</v>
      </c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>
      <c r="A58" s="55" t="s">
        <v>410</v>
      </c>
      <c r="B58" s="101"/>
      <c r="C58" s="101"/>
      <c r="D58" s="101"/>
      <c r="E58" s="101"/>
      <c r="F58" s="101"/>
      <c r="G58" s="101"/>
      <c r="H58" s="101"/>
      <c r="I58" s="101"/>
      <c r="J58" s="101"/>
      <c r="K58" s="101"/>
      <c r="L58" s="101"/>
      <c r="M58" s="101"/>
      <c r="N58"/>
      <c r="O58"/>
      <c r="P58"/>
    </row>
    <row r="59" spans="1:16">
      <c r="A59" s="10" t="s">
        <v>730</v>
      </c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>
      <c r="A60" s="10" t="s">
        <v>706</v>
      </c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>
      <c r="A61" s="56" t="s">
        <v>66</v>
      </c>
      <c r="B61" s="103"/>
      <c r="C61" s="103"/>
      <c r="D61" s="103"/>
      <c r="E61" s="103"/>
      <c r="F61" s="103"/>
      <c r="G61" s="103"/>
      <c r="H61" s="103"/>
      <c r="I61" s="103"/>
      <c r="J61" s="103"/>
      <c r="K61" s="103"/>
      <c r="L61" s="103"/>
      <c r="M61" s="103"/>
      <c r="N61"/>
      <c r="O61"/>
      <c r="P61"/>
    </row>
    <row r="62" spans="1:16">
      <c r="A62" s="10" t="s">
        <v>729</v>
      </c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>
      <c r="A63" s="10" t="s">
        <v>725</v>
      </c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>
      <c r="A64" s="55" t="s">
        <v>410</v>
      </c>
      <c r="B64" s="101"/>
      <c r="C64" s="101"/>
      <c r="D64" s="101"/>
      <c r="E64" s="101"/>
      <c r="F64" s="101"/>
      <c r="G64" s="101"/>
      <c r="H64" s="101"/>
      <c r="I64" s="101"/>
      <c r="J64" s="101"/>
      <c r="K64" s="101"/>
      <c r="L64" s="101"/>
      <c r="M64" s="101"/>
      <c r="N64"/>
      <c r="O64"/>
      <c r="P64"/>
    </row>
    <row r="65" spans="1:16">
      <c r="A65" s="10" t="s">
        <v>730</v>
      </c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>
      <c r="A66" s="10" t="s">
        <v>706</v>
      </c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</row>
    <row r="67" spans="1:16">
      <c r="A67" s="56" t="s">
        <v>531</v>
      </c>
      <c r="B67" s="103"/>
      <c r="C67" s="103"/>
      <c r="D67" s="103"/>
      <c r="E67" s="103"/>
      <c r="F67" s="103"/>
      <c r="G67" s="103"/>
      <c r="H67" s="103"/>
      <c r="I67" s="103"/>
      <c r="J67" s="103"/>
      <c r="K67" s="103"/>
      <c r="L67" s="103"/>
      <c r="M67" s="103"/>
      <c r="N67"/>
      <c r="O67"/>
      <c r="P67"/>
    </row>
    <row r="68" spans="1:16">
      <c r="A68" s="10" t="s">
        <v>729</v>
      </c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</row>
    <row r="69" spans="1:16">
      <c r="A69" s="10" t="s">
        <v>725</v>
      </c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</row>
    <row r="70" spans="1:16">
      <c r="A70" s="55" t="s">
        <v>410</v>
      </c>
      <c r="B70" s="101"/>
      <c r="C70" s="101"/>
      <c r="D70" s="101"/>
      <c r="E70" s="101"/>
      <c r="F70" s="101"/>
      <c r="G70" s="101"/>
      <c r="H70" s="101"/>
      <c r="I70" s="101"/>
      <c r="J70" s="101"/>
      <c r="K70" s="101"/>
      <c r="L70" s="101"/>
      <c r="M70" s="101"/>
      <c r="N70"/>
      <c r="O70"/>
      <c r="P70"/>
    </row>
    <row r="71" spans="1:16">
      <c r="A71" s="10" t="s">
        <v>730</v>
      </c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</row>
    <row r="72" spans="1:16">
      <c r="A72" s="10" t="s">
        <v>706</v>
      </c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</row>
    <row r="73" spans="1:16">
      <c r="A73" s="62" t="s">
        <v>642</v>
      </c>
      <c r="B73" s="105"/>
      <c r="C73" s="105"/>
      <c r="D73" s="105"/>
      <c r="E73" s="105"/>
      <c r="F73" s="105"/>
      <c r="G73" s="105"/>
      <c r="H73" s="105"/>
      <c r="I73" s="105"/>
      <c r="J73" s="105"/>
      <c r="K73" s="105"/>
      <c r="L73" s="105"/>
      <c r="M73" s="105"/>
      <c r="N73"/>
      <c r="O73"/>
      <c r="P73"/>
    </row>
    <row r="74" spans="1:16">
      <c r="A74" s="10" t="s">
        <v>725</v>
      </c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</row>
    <row r="75" spans="1:16">
      <c r="A75" s="10" t="s">
        <v>730</v>
      </c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</row>
    <row r="76" spans="1:16">
      <c r="A76" s="62" t="s">
        <v>645</v>
      </c>
      <c r="B76" s="105"/>
      <c r="C76" s="105"/>
      <c r="D76" s="105"/>
      <c r="E76" s="105"/>
      <c r="F76" s="105"/>
      <c r="G76" s="105"/>
      <c r="H76" s="105"/>
      <c r="I76" s="105"/>
      <c r="J76" s="105"/>
      <c r="K76" s="105"/>
      <c r="L76" s="105"/>
      <c r="M76" s="105"/>
      <c r="N76"/>
      <c r="O76"/>
      <c r="P76"/>
    </row>
    <row r="77" spans="1:16">
      <c r="A77" s="10" t="s">
        <v>725</v>
      </c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</row>
    <row r="78" spans="1:16">
      <c r="A78" s="61" t="s">
        <v>410</v>
      </c>
      <c r="B78" s="104"/>
      <c r="C78" s="104"/>
      <c r="D78" s="104"/>
      <c r="E78" s="104"/>
      <c r="F78" s="104"/>
      <c r="G78" s="104"/>
      <c r="H78" s="104"/>
      <c r="I78" s="104"/>
      <c r="J78" s="104"/>
      <c r="K78" s="104"/>
      <c r="L78" s="104"/>
      <c r="M78" s="106"/>
      <c r="N78"/>
      <c r="O78"/>
      <c r="P78"/>
    </row>
    <row r="79" spans="1:16">
      <c r="A79" s="10" t="s">
        <v>730</v>
      </c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</row>
    <row r="80" spans="1:16">
      <c r="A80" s="5" t="s">
        <v>288</v>
      </c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/>
      <c r="O80"/>
      <c r="P80"/>
    </row>
    <row r="81" spans="1:16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</row>
    <row r="82" spans="1:16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</row>
    <row r="83" spans="1:16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</row>
    <row r="84" spans="1:16">
      <c r="A84"/>
      <c r="B84"/>
      <c r="C84"/>
      <c r="D84"/>
      <c r="E84"/>
      <c r="F84"/>
      <c r="G84"/>
      <c r="H84"/>
    </row>
    <row r="85" spans="1:16">
      <c r="A85"/>
      <c r="B85"/>
      <c r="C85"/>
      <c r="D85"/>
      <c r="E85"/>
      <c r="F85"/>
      <c r="G85"/>
      <c r="H85"/>
    </row>
    <row r="86" spans="1:16">
      <c r="A86"/>
      <c r="B86"/>
      <c r="C86"/>
      <c r="D86"/>
      <c r="E86"/>
      <c r="F86"/>
      <c r="G86"/>
      <c r="H86"/>
    </row>
    <row r="87" spans="1:16">
      <c r="A87"/>
      <c r="B87"/>
      <c r="C87"/>
      <c r="D87"/>
      <c r="E87"/>
      <c r="F87"/>
      <c r="G87"/>
      <c r="H87"/>
    </row>
    <row r="88" spans="1:16">
      <c r="A88"/>
      <c r="B88"/>
      <c r="C88"/>
      <c r="D88"/>
      <c r="E88"/>
      <c r="F88"/>
      <c r="G88"/>
      <c r="H88"/>
    </row>
    <row r="89" spans="1:16">
      <c r="A89"/>
      <c r="B89"/>
      <c r="C89"/>
      <c r="D89"/>
      <c r="E89"/>
      <c r="F89"/>
      <c r="G89"/>
      <c r="H89"/>
    </row>
    <row r="90" spans="1:16">
      <c r="A90"/>
      <c r="B90"/>
      <c r="C90"/>
      <c r="D90"/>
      <c r="E90"/>
      <c r="F90"/>
      <c r="G90"/>
      <c r="H90"/>
    </row>
    <row r="91" spans="1:16">
      <c r="A91"/>
      <c r="B91"/>
      <c r="C91"/>
      <c r="D91"/>
      <c r="E91"/>
      <c r="F91"/>
      <c r="G91"/>
      <c r="H91"/>
    </row>
    <row r="92" spans="1:16">
      <c r="A92"/>
      <c r="B92"/>
      <c r="C92"/>
      <c r="D92"/>
      <c r="E92"/>
      <c r="F92"/>
      <c r="G92"/>
      <c r="H92"/>
    </row>
    <row r="93" spans="1:16">
      <c r="A93"/>
      <c r="B93"/>
      <c r="C93"/>
      <c r="D93"/>
      <c r="E93"/>
      <c r="F93"/>
      <c r="G93"/>
      <c r="H93"/>
    </row>
    <row r="94" spans="1:16">
      <c r="A94"/>
      <c r="B94"/>
      <c r="C94"/>
      <c r="D94"/>
      <c r="E94"/>
      <c r="F94"/>
      <c r="G94"/>
      <c r="H94"/>
    </row>
    <row r="95" spans="1:16">
      <c r="A95"/>
      <c r="B95"/>
      <c r="C95"/>
      <c r="D95"/>
      <c r="E95"/>
      <c r="F95"/>
      <c r="G95"/>
      <c r="H95"/>
    </row>
    <row r="96" spans="1:16">
      <c r="A96"/>
      <c r="B96"/>
      <c r="C96"/>
      <c r="D96"/>
      <c r="E96"/>
      <c r="F96"/>
      <c r="G96"/>
      <c r="H96"/>
    </row>
    <row r="97" spans="1:8">
      <c r="A97"/>
      <c r="B97"/>
      <c r="C97"/>
      <c r="D97"/>
      <c r="E97"/>
      <c r="F97"/>
      <c r="G97"/>
      <c r="H97"/>
    </row>
    <row r="98" spans="1:8">
      <c r="A98"/>
      <c r="B98"/>
      <c r="C98"/>
      <c r="D98"/>
      <c r="E98"/>
      <c r="F98"/>
      <c r="G98"/>
      <c r="H98"/>
    </row>
    <row r="99" spans="1:8">
      <c r="A99"/>
      <c r="B99"/>
      <c r="C99"/>
      <c r="D99"/>
      <c r="E99"/>
      <c r="F99"/>
      <c r="G99"/>
      <c r="H99"/>
    </row>
    <row r="100" spans="1:8">
      <c r="A100"/>
      <c r="B100"/>
      <c r="C100"/>
      <c r="D100"/>
      <c r="E100"/>
      <c r="F100"/>
    </row>
    <row r="101" spans="1:8">
      <c r="A101"/>
      <c r="B101"/>
      <c r="C101"/>
      <c r="D101"/>
      <c r="E101"/>
      <c r="F101"/>
    </row>
    <row r="102" spans="1:8">
      <c r="A102"/>
      <c r="B102"/>
      <c r="C102"/>
      <c r="D102"/>
      <c r="E102"/>
      <c r="F102"/>
    </row>
    <row r="103" spans="1:8">
      <c r="A103"/>
      <c r="B103"/>
      <c r="C103"/>
      <c r="D103"/>
      <c r="E103"/>
      <c r="F103"/>
    </row>
    <row r="104" spans="1:8">
      <c r="A104"/>
      <c r="B104"/>
      <c r="C104"/>
      <c r="D104"/>
      <c r="E104"/>
      <c r="F104"/>
    </row>
    <row r="105" spans="1:8">
      <c r="A105"/>
      <c r="B105"/>
      <c r="C105"/>
      <c r="D105"/>
      <c r="E105"/>
      <c r="F105"/>
    </row>
    <row r="106" spans="1:8">
      <c r="A106"/>
      <c r="B106"/>
      <c r="C106"/>
      <c r="D106"/>
      <c r="E106"/>
      <c r="F106"/>
    </row>
    <row r="107" spans="1:8">
      <c r="A107"/>
      <c r="B107"/>
      <c r="C107"/>
      <c r="D107"/>
      <c r="E107"/>
      <c r="F107"/>
    </row>
    <row r="108" spans="1:8">
      <c r="A108"/>
      <c r="B108"/>
      <c r="C108"/>
      <c r="D108"/>
      <c r="E108"/>
      <c r="F108"/>
    </row>
    <row r="109" spans="1:8">
      <c r="A109"/>
      <c r="B109"/>
      <c r="C109"/>
      <c r="D109"/>
      <c r="E109"/>
      <c r="F109"/>
    </row>
    <row r="110" spans="1:8">
      <c r="A110"/>
      <c r="B110"/>
      <c r="C110"/>
      <c r="D110"/>
      <c r="E110"/>
      <c r="F110"/>
    </row>
    <row r="111" spans="1:8">
      <c r="A111"/>
      <c r="B111"/>
      <c r="C111"/>
      <c r="D111"/>
      <c r="E111"/>
      <c r="F111"/>
    </row>
    <row r="112" spans="1:8">
      <c r="A112"/>
      <c r="B112"/>
      <c r="C112"/>
      <c r="D112"/>
      <c r="E112"/>
      <c r="F112"/>
    </row>
    <row r="113" spans="1:6">
      <c r="A113"/>
      <c r="B113"/>
      <c r="C113"/>
      <c r="D113"/>
      <c r="E113"/>
      <c r="F113"/>
    </row>
    <row r="114" spans="1:6">
      <c r="A114"/>
      <c r="B114"/>
      <c r="C114"/>
      <c r="D114"/>
      <c r="E114"/>
      <c r="F114"/>
    </row>
    <row r="115" spans="1:6">
      <c r="A115"/>
      <c r="B115"/>
      <c r="C115"/>
      <c r="D115"/>
      <c r="E115"/>
      <c r="F115"/>
    </row>
    <row r="116" spans="1:6">
      <c r="A116"/>
      <c r="B116"/>
      <c r="C116"/>
      <c r="D116"/>
      <c r="E116"/>
      <c r="F116"/>
    </row>
    <row r="117" spans="1:6">
      <c r="A117"/>
      <c r="B117"/>
      <c r="C117"/>
      <c r="D117"/>
      <c r="E117"/>
      <c r="F117"/>
    </row>
    <row r="118" spans="1:6">
      <c r="A118"/>
      <c r="B118"/>
      <c r="C118"/>
      <c r="D118"/>
      <c r="E118"/>
      <c r="F118"/>
    </row>
    <row r="119" spans="1:6">
      <c r="A119"/>
      <c r="B119"/>
      <c r="C119"/>
      <c r="D119"/>
      <c r="E119"/>
      <c r="F119"/>
    </row>
    <row r="120" spans="1:6">
      <c r="A120"/>
      <c r="B120"/>
      <c r="C120"/>
      <c r="D120"/>
      <c r="E120"/>
      <c r="F120"/>
    </row>
    <row r="121" spans="1:6">
      <c r="A121"/>
      <c r="B121"/>
      <c r="C121"/>
      <c r="D121"/>
      <c r="E121"/>
      <c r="F121"/>
    </row>
    <row r="122" spans="1:6">
      <c r="A122"/>
      <c r="B122"/>
      <c r="C122"/>
      <c r="D122"/>
      <c r="E122"/>
      <c r="F122"/>
    </row>
    <row r="123" spans="1:6">
      <c r="A123"/>
      <c r="B123"/>
      <c r="C123"/>
      <c r="D123"/>
      <c r="E123"/>
      <c r="F123"/>
    </row>
    <row r="124" spans="1:6">
      <c r="A124"/>
      <c r="B124"/>
      <c r="C124"/>
      <c r="D124"/>
      <c r="E124"/>
      <c r="F124"/>
    </row>
    <row r="125" spans="1:6">
      <c r="A125"/>
      <c r="B125"/>
      <c r="C125"/>
      <c r="D125"/>
      <c r="E125"/>
    </row>
    <row r="126" spans="1:6">
      <c r="A126"/>
      <c r="B126"/>
      <c r="C126"/>
      <c r="D126"/>
      <c r="E126"/>
    </row>
    <row r="127" spans="1:6">
      <c r="A127"/>
      <c r="B127"/>
      <c r="C127"/>
      <c r="D127"/>
      <c r="E127"/>
    </row>
    <row r="128" spans="1:6">
      <c r="A128"/>
      <c r="B128"/>
      <c r="C128"/>
      <c r="D128"/>
      <c r="E128"/>
    </row>
    <row r="129" spans="1:5">
      <c r="A129"/>
      <c r="B129"/>
      <c r="C129"/>
      <c r="D129"/>
      <c r="E129"/>
    </row>
    <row r="130" spans="1:5">
      <c r="A130"/>
      <c r="B130"/>
      <c r="C130"/>
      <c r="D130"/>
      <c r="E130"/>
    </row>
    <row r="131" spans="1:5">
      <c r="A131"/>
      <c r="B131"/>
      <c r="C131"/>
      <c r="D131"/>
      <c r="E131"/>
    </row>
    <row r="132" spans="1:5">
      <c r="A132"/>
      <c r="B132"/>
      <c r="C132"/>
      <c r="D132"/>
      <c r="E132"/>
    </row>
    <row r="133" spans="1:5">
      <c r="A133"/>
      <c r="B133"/>
      <c r="C133"/>
      <c r="D133"/>
      <c r="E133"/>
    </row>
    <row r="134" spans="1:5">
      <c r="A134"/>
      <c r="B134"/>
      <c r="C134"/>
      <c r="D134"/>
      <c r="E134"/>
    </row>
    <row r="135" spans="1:5">
      <c r="A135"/>
      <c r="B135"/>
      <c r="C135"/>
      <c r="D135"/>
      <c r="E135"/>
    </row>
    <row r="136" spans="1:5">
      <c r="A136"/>
      <c r="B136"/>
      <c r="C136"/>
      <c r="D136"/>
      <c r="E136"/>
    </row>
    <row r="137" spans="1:5">
      <c r="A137"/>
      <c r="B137"/>
      <c r="C137"/>
      <c r="D137"/>
      <c r="E137"/>
    </row>
    <row r="138" spans="1:5">
      <c r="A138"/>
      <c r="B138"/>
      <c r="C138"/>
      <c r="D138"/>
      <c r="E138"/>
    </row>
    <row r="139" spans="1:5">
      <c r="A139"/>
      <c r="B139"/>
      <c r="C139"/>
      <c r="D139"/>
      <c r="E139"/>
    </row>
    <row r="140" spans="1:5">
      <c r="A140"/>
      <c r="B140"/>
      <c r="C140"/>
      <c r="D140"/>
      <c r="E140"/>
    </row>
    <row r="141" spans="1:5">
      <c r="A141"/>
      <c r="B141"/>
      <c r="C141"/>
      <c r="D141"/>
      <c r="E141"/>
    </row>
    <row r="142" spans="1:5">
      <c r="A142"/>
      <c r="B142"/>
      <c r="C142"/>
      <c r="D142"/>
      <c r="E142"/>
    </row>
    <row r="143" spans="1:5">
      <c r="A143"/>
      <c r="B143"/>
      <c r="C143"/>
      <c r="D143"/>
      <c r="E143"/>
    </row>
    <row r="144" spans="1:5">
      <c r="A144"/>
      <c r="B144"/>
      <c r="C144"/>
      <c r="D144"/>
      <c r="E144"/>
    </row>
    <row r="145" spans="1:5">
      <c r="A145"/>
      <c r="B145"/>
      <c r="C145"/>
      <c r="D145"/>
      <c r="E145"/>
    </row>
    <row r="146" spans="1:5">
      <c r="A146"/>
      <c r="B146"/>
      <c r="C146"/>
      <c r="D146"/>
      <c r="E146"/>
    </row>
    <row r="147" spans="1:5">
      <c r="A147"/>
      <c r="B147"/>
      <c r="C147"/>
      <c r="D147"/>
      <c r="E147"/>
    </row>
    <row r="148" spans="1:5">
      <c r="A148"/>
      <c r="B148"/>
      <c r="C148"/>
      <c r="D148"/>
      <c r="E148"/>
    </row>
    <row r="149" spans="1:5">
      <c r="A149"/>
      <c r="B149"/>
      <c r="C149"/>
      <c r="D149"/>
      <c r="E149"/>
    </row>
    <row r="150" spans="1:5">
      <c r="A150"/>
      <c r="B150"/>
      <c r="C150"/>
      <c r="D150"/>
      <c r="E150"/>
    </row>
    <row r="151" spans="1:5">
      <c r="A151"/>
      <c r="B151"/>
      <c r="C151"/>
      <c r="D151"/>
      <c r="E151"/>
    </row>
    <row r="152" spans="1:5">
      <c r="A152"/>
      <c r="B152"/>
      <c r="C152"/>
      <c r="D152"/>
      <c r="E152"/>
    </row>
    <row r="153" spans="1:5">
      <c r="A153"/>
      <c r="B153"/>
      <c r="C153"/>
      <c r="D153"/>
      <c r="E153"/>
    </row>
    <row r="154" spans="1:5">
      <c r="A154"/>
      <c r="B154"/>
      <c r="C154"/>
      <c r="D154"/>
      <c r="E154"/>
    </row>
    <row r="155" spans="1:5">
      <c r="A155"/>
      <c r="B155"/>
      <c r="C155"/>
      <c r="D155"/>
      <c r="E155"/>
    </row>
    <row r="156" spans="1:5">
      <c r="A156"/>
      <c r="B156"/>
      <c r="C156"/>
      <c r="D156"/>
      <c r="E156"/>
    </row>
    <row r="157" spans="1:5">
      <c r="A157"/>
      <c r="B157"/>
      <c r="C157"/>
      <c r="D157"/>
      <c r="E157"/>
    </row>
    <row r="158" spans="1:5">
      <c r="A158"/>
      <c r="B158"/>
      <c r="C158"/>
      <c r="D158"/>
      <c r="E158"/>
    </row>
    <row r="159" spans="1:5">
      <c r="A159"/>
      <c r="B159"/>
      <c r="C159"/>
      <c r="D159"/>
      <c r="E159"/>
    </row>
    <row r="160" spans="1:5">
      <c r="A160"/>
      <c r="B160"/>
      <c r="C160"/>
      <c r="D160"/>
      <c r="E160"/>
    </row>
    <row r="161" spans="1:5">
      <c r="A161"/>
      <c r="B161"/>
      <c r="C161"/>
      <c r="D161"/>
      <c r="E161"/>
    </row>
    <row r="162" spans="1:5">
      <c r="A162"/>
      <c r="B162"/>
      <c r="C162"/>
      <c r="D162"/>
      <c r="E162"/>
    </row>
    <row r="163" spans="1:5">
      <c r="A163"/>
      <c r="B163"/>
      <c r="C163"/>
      <c r="D163"/>
      <c r="E163"/>
    </row>
    <row r="164" spans="1:5">
      <c r="A164"/>
      <c r="B164"/>
      <c r="C164"/>
      <c r="D164"/>
      <c r="E164"/>
    </row>
    <row r="165" spans="1:5">
      <c r="A165"/>
      <c r="B165"/>
      <c r="C165"/>
      <c r="D165"/>
      <c r="E165"/>
    </row>
    <row r="166" spans="1:5">
      <c r="A166"/>
      <c r="B166"/>
      <c r="C166"/>
      <c r="D166"/>
      <c r="E166"/>
    </row>
    <row r="167" spans="1:5">
      <c r="A167"/>
      <c r="B167"/>
      <c r="C167"/>
      <c r="D167"/>
      <c r="E167"/>
    </row>
    <row r="168" spans="1:5">
      <c r="A168"/>
      <c r="B168"/>
      <c r="C168"/>
      <c r="D168"/>
      <c r="E168"/>
    </row>
    <row r="169" spans="1:5">
      <c r="A169"/>
      <c r="B169"/>
      <c r="C169"/>
      <c r="D169"/>
      <c r="E169"/>
    </row>
    <row r="170" spans="1:5">
      <c r="A170"/>
      <c r="B170"/>
      <c r="C170"/>
      <c r="D170"/>
      <c r="E170"/>
    </row>
    <row r="171" spans="1:5">
      <c r="A171"/>
      <c r="B171"/>
      <c r="C171"/>
      <c r="D171"/>
      <c r="E171"/>
    </row>
    <row r="172" spans="1:5">
      <c r="A172"/>
      <c r="B172"/>
      <c r="C172"/>
      <c r="D172"/>
      <c r="E172"/>
    </row>
    <row r="173" spans="1:5">
      <c r="A173"/>
      <c r="B173"/>
      <c r="C173"/>
      <c r="D173"/>
      <c r="E173"/>
    </row>
    <row r="174" spans="1:5">
      <c r="A174"/>
      <c r="B174"/>
      <c r="C174"/>
      <c r="D174"/>
      <c r="E174"/>
    </row>
    <row r="175" spans="1:5">
      <c r="A175"/>
      <c r="B175"/>
      <c r="C175"/>
      <c r="D175"/>
    </row>
    <row r="176" spans="1:5">
      <c r="A176"/>
      <c r="B176"/>
      <c r="C176"/>
      <c r="D176"/>
    </row>
    <row r="177" spans="1:4">
      <c r="A177"/>
      <c r="B177"/>
      <c r="C177"/>
      <c r="D177"/>
    </row>
    <row r="178" spans="1:4">
      <c r="A178"/>
      <c r="B178"/>
      <c r="C178"/>
      <c r="D178"/>
    </row>
    <row r="179" spans="1:4">
      <c r="A179"/>
      <c r="B179"/>
      <c r="C179"/>
      <c r="D179"/>
    </row>
    <row r="180" spans="1:4">
      <c r="A180"/>
      <c r="B180"/>
      <c r="C180"/>
      <c r="D180"/>
    </row>
    <row r="181" spans="1:4">
      <c r="A181"/>
      <c r="B181"/>
      <c r="C181"/>
      <c r="D181"/>
    </row>
    <row r="182" spans="1:4">
      <c r="A182"/>
      <c r="B182"/>
      <c r="C182"/>
      <c r="D182"/>
    </row>
    <row r="183" spans="1:4">
      <c r="A183"/>
      <c r="B183"/>
      <c r="C183"/>
      <c r="D183"/>
    </row>
    <row r="184" spans="1:4">
      <c r="A184"/>
      <c r="B184"/>
      <c r="C184"/>
      <c r="D184"/>
    </row>
    <row r="185" spans="1:4">
      <c r="A185"/>
      <c r="B185"/>
      <c r="C185"/>
      <c r="D185"/>
    </row>
    <row r="186" spans="1:4">
      <c r="A186"/>
      <c r="B186"/>
      <c r="C186"/>
      <c r="D186"/>
    </row>
    <row r="187" spans="1:4">
      <c r="A187"/>
      <c r="B187"/>
      <c r="C187"/>
      <c r="D187"/>
    </row>
    <row r="188" spans="1:4">
      <c r="A188"/>
      <c r="B188"/>
      <c r="C188"/>
      <c r="D188"/>
    </row>
    <row r="189" spans="1:4">
      <c r="A189"/>
      <c r="B189"/>
      <c r="C189"/>
      <c r="D189"/>
    </row>
    <row r="190" spans="1:4">
      <c r="A190"/>
      <c r="B190"/>
      <c r="C190"/>
      <c r="D190"/>
    </row>
    <row r="191" spans="1:4">
      <c r="A191"/>
      <c r="B191"/>
      <c r="C191"/>
      <c r="D191"/>
    </row>
    <row r="192" spans="1:4">
      <c r="A192"/>
      <c r="B192"/>
      <c r="C192"/>
      <c r="D192"/>
    </row>
    <row r="193" spans="1:4">
      <c r="A193"/>
      <c r="B193"/>
      <c r="C193"/>
      <c r="D193"/>
    </row>
    <row r="194" spans="1:4">
      <c r="A194"/>
      <c r="B194"/>
      <c r="C194"/>
      <c r="D194"/>
    </row>
    <row r="195" spans="1:4">
      <c r="A195"/>
      <c r="B195"/>
      <c r="C195"/>
      <c r="D195"/>
    </row>
    <row r="196" spans="1:4">
      <c r="A196"/>
      <c r="B196"/>
      <c r="C196"/>
      <c r="D196"/>
    </row>
    <row r="197" spans="1:4">
      <c r="A197"/>
      <c r="B197"/>
      <c r="C197"/>
      <c r="D197"/>
    </row>
    <row r="198" spans="1:4">
      <c r="A198"/>
      <c r="B198"/>
      <c r="C198"/>
      <c r="D198"/>
    </row>
    <row r="199" spans="1:4">
      <c r="A199"/>
      <c r="B199"/>
      <c r="C199"/>
      <c r="D199"/>
    </row>
    <row r="200" spans="1:4">
      <c r="A200"/>
      <c r="B200"/>
      <c r="C200"/>
      <c r="D200"/>
    </row>
    <row r="201" spans="1:4">
      <c r="A201"/>
      <c r="B201"/>
      <c r="C201"/>
      <c r="D201"/>
    </row>
    <row r="202" spans="1:4">
      <c r="A202"/>
      <c r="B202"/>
      <c r="C202"/>
      <c r="D202"/>
    </row>
    <row r="203" spans="1:4">
      <c r="A203"/>
      <c r="B203"/>
      <c r="C203"/>
      <c r="D203"/>
    </row>
    <row r="204" spans="1:4">
      <c r="A204"/>
      <c r="B204"/>
      <c r="C204"/>
      <c r="D204"/>
    </row>
    <row r="205" spans="1:4">
      <c r="A205"/>
      <c r="B205"/>
      <c r="C205"/>
      <c r="D205"/>
    </row>
    <row r="206" spans="1:4">
      <c r="A206"/>
      <c r="B206"/>
      <c r="C206"/>
      <c r="D206"/>
    </row>
    <row r="207" spans="1:4">
      <c r="A207"/>
      <c r="B207"/>
      <c r="C207"/>
      <c r="D207"/>
    </row>
    <row r="208" spans="1:4">
      <c r="A208"/>
      <c r="B208"/>
      <c r="C208"/>
      <c r="D208"/>
    </row>
    <row r="209" spans="1:4">
      <c r="A209"/>
      <c r="B209"/>
      <c r="C209"/>
      <c r="D209"/>
    </row>
    <row r="210" spans="1:4">
      <c r="A210"/>
      <c r="B210"/>
      <c r="C210"/>
      <c r="D210"/>
    </row>
    <row r="211" spans="1:4">
      <c r="A211"/>
      <c r="B211"/>
      <c r="C211"/>
      <c r="D211"/>
    </row>
    <row r="212" spans="1:4">
      <c r="A212"/>
      <c r="B212"/>
      <c r="C212"/>
      <c r="D212"/>
    </row>
    <row r="213" spans="1:4">
      <c r="A213"/>
      <c r="B213"/>
      <c r="C213"/>
      <c r="D213"/>
    </row>
    <row r="214" spans="1:4">
      <c r="A214"/>
      <c r="B214"/>
      <c r="C214"/>
      <c r="D214"/>
    </row>
    <row r="215" spans="1:4">
      <c r="A215"/>
      <c r="B215"/>
      <c r="C215"/>
      <c r="D215"/>
    </row>
    <row r="216" spans="1:4">
      <c r="A216"/>
      <c r="B216"/>
      <c r="C216"/>
      <c r="D216"/>
    </row>
    <row r="217" spans="1:4">
      <c r="A217"/>
      <c r="B217"/>
      <c r="C217"/>
      <c r="D217"/>
    </row>
    <row r="218" spans="1:4">
      <c r="A218"/>
      <c r="B218"/>
      <c r="C218"/>
      <c r="D218"/>
    </row>
    <row r="219" spans="1:4">
      <c r="A219"/>
      <c r="B219"/>
      <c r="C219"/>
      <c r="D219"/>
    </row>
    <row r="220" spans="1:4">
      <c r="A220"/>
      <c r="B220"/>
      <c r="C220"/>
      <c r="D220"/>
    </row>
    <row r="221" spans="1:4">
      <c r="A221"/>
      <c r="B221"/>
      <c r="C221"/>
      <c r="D221"/>
    </row>
    <row r="222" spans="1:4">
      <c r="A222"/>
      <c r="B222"/>
      <c r="C222"/>
      <c r="D222"/>
    </row>
    <row r="223" spans="1:4">
      <c r="A223"/>
      <c r="B223"/>
      <c r="C223"/>
      <c r="D223"/>
    </row>
    <row r="224" spans="1:4">
      <c r="A224"/>
      <c r="B224"/>
      <c r="C224"/>
      <c r="D224"/>
    </row>
    <row r="225" spans="1:3">
      <c r="A225"/>
      <c r="B225"/>
      <c r="C225"/>
    </row>
    <row r="226" spans="1:3">
      <c r="A226"/>
      <c r="B226"/>
      <c r="C226"/>
    </row>
    <row r="227" spans="1:3">
      <c r="A227"/>
      <c r="B227"/>
      <c r="C227"/>
    </row>
    <row r="228" spans="1:3">
      <c r="A228"/>
      <c r="B228"/>
      <c r="C228"/>
    </row>
    <row r="229" spans="1:3">
      <c r="A229"/>
      <c r="B229"/>
      <c r="C229"/>
    </row>
    <row r="230" spans="1:3">
      <c r="A230"/>
      <c r="B230"/>
      <c r="C230"/>
    </row>
    <row r="231" spans="1:3">
      <c r="A231"/>
      <c r="B231"/>
      <c r="C231"/>
    </row>
    <row r="232" spans="1:3">
      <c r="A232"/>
      <c r="B232"/>
      <c r="C232"/>
    </row>
    <row r="233" spans="1:3">
      <c r="A233"/>
      <c r="B233"/>
      <c r="C233"/>
    </row>
    <row r="234" spans="1:3">
      <c r="A234"/>
      <c r="B234"/>
      <c r="C234"/>
    </row>
    <row r="235" spans="1:3">
      <c r="A235"/>
      <c r="B235"/>
      <c r="C235"/>
    </row>
    <row r="236" spans="1:3">
      <c r="A236"/>
      <c r="B236"/>
      <c r="C236"/>
    </row>
    <row r="237" spans="1:3">
      <c r="A237"/>
      <c r="B237"/>
      <c r="C237"/>
    </row>
    <row r="238" spans="1:3">
      <c r="A238"/>
      <c r="B238"/>
      <c r="C238"/>
    </row>
    <row r="239" spans="1:3">
      <c r="A239"/>
      <c r="B239"/>
      <c r="C239"/>
    </row>
    <row r="240" spans="1:3">
      <c r="A240"/>
      <c r="B240"/>
      <c r="C240"/>
    </row>
    <row r="241" spans="1:3">
      <c r="A241"/>
      <c r="B241"/>
      <c r="C241"/>
    </row>
    <row r="242" spans="1:3">
      <c r="A242"/>
      <c r="B242"/>
      <c r="C242"/>
    </row>
    <row r="243" spans="1:3">
      <c r="A243"/>
      <c r="B243"/>
      <c r="C243"/>
    </row>
    <row r="244" spans="1:3">
      <c r="A244"/>
      <c r="B244"/>
      <c r="C244"/>
    </row>
    <row r="245" spans="1:3">
      <c r="A245"/>
      <c r="B245"/>
      <c r="C245"/>
    </row>
    <row r="246" spans="1:3">
      <c r="A246"/>
      <c r="B246"/>
      <c r="C246"/>
    </row>
    <row r="247" spans="1:3">
      <c r="A247"/>
      <c r="B247"/>
      <c r="C247"/>
    </row>
    <row r="248" spans="1:3">
      <c r="A248"/>
      <c r="B248"/>
      <c r="C248"/>
    </row>
    <row r="249" spans="1:3">
      <c r="A249"/>
      <c r="B249"/>
      <c r="C249"/>
    </row>
    <row r="250" spans="1:3">
      <c r="A250"/>
      <c r="B250"/>
      <c r="C250"/>
    </row>
    <row r="251" spans="1:3">
      <c r="A251"/>
      <c r="B251"/>
      <c r="C251"/>
    </row>
    <row r="252" spans="1:3">
      <c r="A252"/>
      <c r="B252"/>
      <c r="C252"/>
    </row>
    <row r="253" spans="1:3">
      <c r="A253"/>
      <c r="B253"/>
      <c r="C253"/>
    </row>
    <row r="254" spans="1:3">
      <c r="A254"/>
      <c r="B254"/>
      <c r="C254"/>
    </row>
    <row r="255" spans="1:3">
      <c r="A255"/>
      <c r="B255"/>
      <c r="C255"/>
    </row>
    <row r="256" spans="1:3">
      <c r="A256"/>
      <c r="B256"/>
      <c r="C256"/>
    </row>
    <row r="257" spans="1:3">
      <c r="A257"/>
      <c r="B257"/>
      <c r="C257"/>
    </row>
    <row r="258" spans="1:3">
      <c r="A258"/>
      <c r="B258"/>
      <c r="C258"/>
    </row>
    <row r="259" spans="1:3">
      <c r="A259"/>
      <c r="B259"/>
      <c r="C259"/>
    </row>
    <row r="260" spans="1:3">
      <c r="A260"/>
      <c r="B260"/>
      <c r="C260"/>
    </row>
    <row r="261" spans="1:3">
      <c r="A261"/>
      <c r="B261"/>
      <c r="C261"/>
    </row>
    <row r="262" spans="1:3">
      <c r="A262"/>
      <c r="B262"/>
      <c r="C262"/>
    </row>
    <row r="263" spans="1:3">
      <c r="A263"/>
      <c r="B263"/>
      <c r="C263"/>
    </row>
    <row r="264" spans="1:3">
      <c r="A264"/>
      <c r="B264"/>
      <c r="C264"/>
    </row>
    <row r="265" spans="1:3">
      <c r="A265"/>
      <c r="B265"/>
      <c r="C265"/>
    </row>
    <row r="266" spans="1:3">
      <c r="A266"/>
      <c r="B266"/>
      <c r="C266"/>
    </row>
    <row r="267" spans="1:3">
      <c r="A267"/>
      <c r="B267"/>
      <c r="C267"/>
    </row>
    <row r="268" spans="1:3">
      <c r="A268"/>
      <c r="B268"/>
      <c r="C268"/>
    </row>
    <row r="269" spans="1:3">
      <c r="A269"/>
      <c r="B269"/>
      <c r="C269"/>
    </row>
    <row r="270" spans="1:3">
      <c r="A270"/>
      <c r="B270"/>
      <c r="C270"/>
    </row>
    <row r="271" spans="1:3">
      <c r="A271"/>
      <c r="B271"/>
      <c r="C271"/>
    </row>
    <row r="272" spans="1:3">
      <c r="A272"/>
      <c r="B272"/>
      <c r="C272"/>
    </row>
    <row r="273" spans="1:3">
      <c r="A273"/>
      <c r="B273"/>
      <c r="C273"/>
    </row>
    <row r="274" spans="1:3">
      <c r="A274"/>
      <c r="B274"/>
      <c r="C274"/>
    </row>
    <row r="275" spans="1:3">
      <c r="A275"/>
      <c r="B275"/>
    </row>
    <row r="276" spans="1:3">
      <c r="A276"/>
      <c r="B276"/>
    </row>
    <row r="277" spans="1:3">
      <c r="A277"/>
      <c r="B277"/>
    </row>
    <row r="278" spans="1:3">
      <c r="A278"/>
      <c r="B278"/>
    </row>
    <row r="279" spans="1:3">
      <c r="A279"/>
      <c r="B279"/>
    </row>
    <row r="280" spans="1:3">
      <c r="A280"/>
      <c r="B280"/>
    </row>
    <row r="281" spans="1:3">
      <c r="A281"/>
      <c r="B281"/>
    </row>
    <row r="282" spans="1:3">
      <c r="A282"/>
      <c r="B282"/>
    </row>
    <row r="283" spans="1:3">
      <c r="A283"/>
      <c r="B283"/>
    </row>
    <row r="284" spans="1:3">
      <c r="A284"/>
      <c r="B284"/>
    </row>
    <row r="285" spans="1:3">
      <c r="A285"/>
      <c r="B285"/>
    </row>
    <row r="286" spans="1:3">
      <c r="A286"/>
      <c r="B286"/>
    </row>
    <row r="287" spans="1:3">
      <c r="A287"/>
      <c r="B287"/>
    </row>
    <row r="288" spans="1:3">
      <c r="A288"/>
      <c r="B288"/>
    </row>
    <row r="289" spans="1:2">
      <c r="A289"/>
      <c r="B289"/>
    </row>
    <row r="290" spans="1:2">
      <c r="A290"/>
      <c r="B290"/>
    </row>
    <row r="291" spans="1:2">
      <c r="A291"/>
      <c r="B291"/>
    </row>
    <row r="292" spans="1:2">
      <c r="A292"/>
      <c r="B292"/>
    </row>
    <row r="293" spans="1:2">
      <c r="A293"/>
      <c r="B293"/>
    </row>
    <row r="294" spans="1:2">
      <c r="A294"/>
      <c r="B294"/>
    </row>
    <row r="295" spans="1:2">
      <c r="A295"/>
      <c r="B295"/>
    </row>
    <row r="296" spans="1:2">
      <c r="A296"/>
      <c r="B296"/>
    </row>
    <row r="297" spans="1:2">
      <c r="A297"/>
      <c r="B297"/>
    </row>
    <row r="298" spans="1:2">
      <c r="A298"/>
      <c r="B298"/>
    </row>
    <row r="299" spans="1:2">
      <c r="A299"/>
      <c r="B299"/>
    </row>
    <row r="300" spans="1:2">
      <c r="A300"/>
      <c r="B300"/>
    </row>
    <row r="301" spans="1:2">
      <c r="A301"/>
      <c r="B301"/>
    </row>
    <row r="302" spans="1:2">
      <c r="A302"/>
      <c r="B302"/>
    </row>
    <row r="303" spans="1:2">
      <c r="A303"/>
      <c r="B303"/>
    </row>
    <row r="304" spans="1:2">
      <c r="A304"/>
      <c r="B304"/>
    </row>
    <row r="305" spans="1:2">
      <c r="A305"/>
      <c r="B305"/>
    </row>
    <row r="306" spans="1:2">
      <c r="A306"/>
      <c r="B306"/>
    </row>
    <row r="307" spans="1:2">
      <c r="A307"/>
      <c r="B307"/>
    </row>
    <row r="308" spans="1:2">
      <c r="A308"/>
      <c r="B308"/>
    </row>
    <row r="309" spans="1:2">
      <c r="A309"/>
      <c r="B309"/>
    </row>
    <row r="310" spans="1:2">
      <c r="A310"/>
      <c r="B310"/>
    </row>
    <row r="311" spans="1:2">
      <c r="A311"/>
      <c r="B311"/>
    </row>
    <row r="312" spans="1:2">
      <c r="A312"/>
      <c r="B312"/>
    </row>
    <row r="313" spans="1:2">
      <c r="A313"/>
      <c r="B313"/>
    </row>
    <row r="314" spans="1:2">
      <c r="A314"/>
      <c r="B314"/>
    </row>
    <row r="315" spans="1:2">
      <c r="A315"/>
      <c r="B315"/>
    </row>
    <row r="316" spans="1:2">
      <c r="A316"/>
      <c r="B316"/>
    </row>
    <row r="317" spans="1:2">
      <c r="A317"/>
      <c r="B317"/>
    </row>
    <row r="318" spans="1:2">
      <c r="A318"/>
      <c r="B318"/>
    </row>
    <row r="319" spans="1:2">
      <c r="A319"/>
      <c r="B319"/>
    </row>
    <row r="320" spans="1:2">
      <c r="A320"/>
      <c r="B320"/>
    </row>
    <row r="321" spans="1:2">
      <c r="A321"/>
      <c r="B321"/>
    </row>
    <row r="322" spans="1:2">
      <c r="A322"/>
      <c r="B322"/>
    </row>
    <row r="323" spans="1:2">
      <c r="A323"/>
      <c r="B323"/>
    </row>
    <row r="324" spans="1:2">
      <c r="A324"/>
      <c r="B324"/>
    </row>
  </sheetData>
  <pageMargins left="0.25" right="0.25" top="0.75" bottom="0.75" header="0.3" footer="0.3"/>
  <pageSetup orientation="portrait" verticalDpi="0"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D22"/>
  <sheetViews>
    <sheetView topLeftCell="A10" workbookViewId="0">
      <selection activeCell="D27" sqref="D27"/>
    </sheetView>
  </sheetViews>
  <sheetFormatPr baseColWidth="10" defaultRowHeight="15"/>
  <cols>
    <col min="2" max="2" width="55.140625" customWidth="1"/>
    <col min="3" max="3" width="12.7109375" bestFit="1" customWidth="1"/>
    <col min="4" max="4" width="27" bestFit="1" customWidth="1"/>
  </cols>
  <sheetData>
    <row r="5" spans="2:4" ht="15.75" thickBot="1"/>
    <row r="6" spans="2:4" ht="21.95" customHeight="1" thickBot="1">
      <c r="B6" s="83" t="s">
        <v>97</v>
      </c>
      <c r="C6" s="84">
        <v>24629986</v>
      </c>
      <c r="D6" s="85" t="s">
        <v>735</v>
      </c>
    </row>
    <row r="7" spans="2:4" ht="21.95" customHeight="1" thickBot="1">
      <c r="B7" s="86" t="s">
        <v>98</v>
      </c>
      <c r="C7" s="87">
        <v>16449647</v>
      </c>
      <c r="D7" s="88" t="s">
        <v>735</v>
      </c>
    </row>
    <row r="8" spans="2:4" ht="21.95" customHeight="1" thickBot="1">
      <c r="B8" s="86" t="s">
        <v>101</v>
      </c>
      <c r="C8" s="87">
        <v>28113122</v>
      </c>
      <c r="D8" s="88" t="s">
        <v>735</v>
      </c>
    </row>
    <row r="9" spans="2:4" ht="21.95" customHeight="1" thickBot="1">
      <c r="B9" s="90" t="s">
        <v>737</v>
      </c>
      <c r="C9" s="91" t="s">
        <v>736</v>
      </c>
      <c r="D9" s="92" t="s">
        <v>739</v>
      </c>
    </row>
    <row r="10" spans="2:4" ht="21.95" customHeight="1" thickBot="1">
      <c r="B10" s="86" t="s">
        <v>100</v>
      </c>
      <c r="C10" s="89">
        <v>27548643</v>
      </c>
      <c r="D10" s="88" t="s">
        <v>735</v>
      </c>
    </row>
    <row r="11" spans="2:4" ht="21.95" customHeight="1" thickBot="1">
      <c r="B11" s="86" t="s">
        <v>466</v>
      </c>
      <c r="C11" s="87">
        <v>19021730</v>
      </c>
      <c r="D11" s="88" t="s">
        <v>735</v>
      </c>
    </row>
    <row r="12" spans="2:4" ht="21.95" customHeight="1" thickBot="1">
      <c r="B12" s="86" t="s">
        <v>547</v>
      </c>
      <c r="C12" s="87">
        <v>24423848</v>
      </c>
      <c r="D12" s="88" t="s">
        <v>735</v>
      </c>
    </row>
    <row r="13" spans="2:4" ht="21.95" customHeight="1" thickBot="1">
      <c r="B13" s="86" t="s">
        <v>549</v>
      </c>
      <c r="C13" s="87">
        <v>19983654</v>
      </c>
      <c r="D13" s="88" t="s">
        <v>735</v>
      </c>
    </row>
    <row r="14" spans="2:4" ht="21.95" customHeight="1" thickBot="1">
      <c r="B14" s="86" t="s">
        <v>134</v>
      </c>
      <c r="C14" s="87">
        <v>24859431</v>
      </c>
      <c r="D14" s="88" t="s">
        <v>735</v>
      </c>
    </row>
    <row r="15" spans="2:4" ht="21.95" customHeight="1" thickBot="1">
      <c r="B15" s="86" t="s">
        <v>501</v>
      </c>
      <c r="C15" s="87">
        <v>22515360</v>
      </c>
      <c r="D15" s="88" t="s">
        <v>735</v>
      </c>
    </row>
    <row r="16" spans="2:4" ht="21.95" customHeight="1" thickBot="1">
      <c r="B16" s="86" t="s">
        <v>546</v>
      </c>
      <c r="C16" s="87">
        <v>19021731</v>
      </c>
      <c r="D16" s="88" t="s">
        <v>735</v>
      </c>
    </row>
    <row r="17" spans="2:4" ht="21.95" customHeight="1" thickBot="1">
      <c r="B17" s="86" t="s">
        <v>457</v>
      </c>
      <c r="C17" s="93">
        <v>19843415</v>
      </c>
      <c r="D17" s="88" t="s">
        <v>735</v>
      </c>
    </row>
    <row r="18" spans="2:4" ht="21.95" customHeight="1" thickBot="1">
      <c r="B18" s="90" t="s">
        <v>738</v>
      </c>
      <c r="C18" s="91">
        <v>18085675</v>
      </c>
      <c r="D18" s="92" t="s">
        <v>739</v>
      </c>
    </row>
    <row r="19" spans="2:4" ht="21.95" customHeight="1" thickBot="1">
      <c r="B19" s="86" t="s">
        <v>450</v>
      </c>
      <c r="C19" s="87">
        <v>12035109</v>
      </c>
      <c r="D19" s="88" t="s">
        <v>735</v>
      </c>
    </row>
    <row r="20" spans="2:4" ht="21.95" customHeight="1" thickBot="1">
      <c r="B20" s="86" t="s">
        <v>455</v>
      </c>
      <c r="C20" s="93">
        <v>13271486</v>
      </c>
      <c r="D20" s="88" t="s">
        <v>735</v>
      </c>
    </row>
    <row r="21" spans="2:4" ht="21.95" customHeight="1" thickBot="1">
      <c r="B21" s="86" t="s">
        <v>463</v>
      </c>
      <c r="C21" s="87">
        <v>21029364</v>
      </c>
      <c r="D21" s="88" t="s">
        <v>735</v>
      </c>
    </row>
    <row r="22" spans="2:4" ht="21.95" customHeight="1" thickBot="1">
      <c r="B22" s="86" t="s">
        <v>459</v>
      </c>
      <c r="C22" s="87">
        <v>18999575</v>
      </c>
      <c r="D22" s="88" t="s">
        <v>735</v>
      </c>
    </row>
  </sheetData>
  <pageMargins left="0.7" right="0.7" top="0.75" bottom="0.75" header="0.3" footer="0.3"/>
  <pageSetup orientation="landscape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3"/>
  <sheetViews>
    <sheetView workbookViewId="0">
      <selection activeCell="C79" sqref="C79"/>
    </sheetView>
  </sheetViews>
  <sheetFormatPr baseColWidth="10" defaultRowHeight="15"/>
  <cols>
    <col min="1" max="1" width="41" bestFit="1" customWidth="1"/>
    <col min="2" max="2" width="9" bestFit="1" customWidth="1"/>
    <col min="3" max="3" width="25" bestFit="1" customWidth="1"/>
    <col min="4" max="4" width="8" bestFit="1" customWidth="1"/>
    <col min="5" max="5" width="4.28515625" bestFit="1" customWidth="1"/>
    <col min="6" max="6" width="6" customWidth="1"/>
    <col min="7" max="7" width="49.5703125" customWidth="1"/>
    <col min="8" max="8" width="20.140625" customWidth="1"/>
  </cols>
  <sheetData>
    <row r="1" spans="1:9">
      <c r="F1" s="1"/>
      <c r="G1" s="1"/>
      <c r="H1" s="1"/>
      <c r="I1" s="1"/>
    </row>
    <row r="2" spans="1:9" ht="15" customHeight="1">
      <c r="A2" s="178" t="s">
        <v>369</v>
      </c>
      <c r="B2" s="178"/>
      <c r="C2" s="178"/>
      <c r="D2" s="178"/>
      <c r="F2" s="178" t="s">
        <v>369</v>
      </c>
      <c r="G2" s="178"/>
      <c r="H2" s="178"/>
      <c r="I2" s="178"/>
    </row>
    <row r="3" spans="1:9" ht="15" customHeight="1">
      <c r="A3" s="178"/>
      <c r="B3" s="178"/>
      <c r="C3" s="178"/>
      <c r="D3" s="178"/>
      <c r="F3" s="178"/>
      <c r="G3" s="178"/>
      <c r="H3" s="178"/>
      <c r="I3" s="178"/>
    </row>
    <row r="4" spans="1:9" s="1" customFormat="1" ht="15" customHeight="1">
      <c r="A4" s="22"/>
      <c r="B4" s="22"/>
      <c r="C4" s="22"/>
      <c r="D4" s="22"/>
      <c r="F4" s="22"/>
      <c r="G4" s="22"/>
      <c r="H4" s="22"/>
      <c r="I4" s="22"/>
    </row>
    <row r="5" spans="1:9" s="1" customFormat="1" ht="24.95" customHeight="1">
      <c r="A5" s="24" t="s">
        <v>370</v>
      </c>
      <c r="B5" s="22"/>
      <c r="C5" s="22"/>
      <c r="D5" s="22"/>
      <c r="F5" s="23" t="s">
        <v>373</v>
      </c>
      <c r="G5" s="22"/>
      <c r="H5" s="22"/>
      <c r="I5" s="22"/>
    </row>
    <row r="6" spans="1:9" s="1" customFormat="1" ht="15" customHeight="1">
      <c r="A6" s="22"/>
      <c r="B6" s="22"/>
      <c r="C6" s="22"/>
      <c r="D6" s="22"/>
      <c r="F6" s="20" t="s">
        <v>374</v>
      </c>
      <c r="G6" s="20" t="s">
        <v>45</v>
      </c>
      <c r="H6" s="20" t="s">
        <v>46</v>
      </c>
      <c r="I6" s="20" t="s">
        <v>47</v>
      </c>
    </row>
    <row r="7" spans="1:9" ht="15" customHeight="1">
      <c r="A7" s="20" t="s">
        <v>45</v>
      </c>
      <c r="B7" s="20" t="s">
        <v>46</v>
      </c>
      <c r="C7" s="20" t="s">
        <v>47</v>
      </c>
      <c r="F7" s="21">
        <v>1</v>
      </c>
      <c r="G7" s="21"/>
      <c r="H7" s="21"/>
      <c r="I7" s="21"/>
    </row>
    <row r="8" spans="1:9">
      <c r="A8" s="21" t="s">
        <v>5</v>
      </c>
      <c r="B8" s="21">
        <v>17811795</v>
      </c>
      <c r="C8" s="21" t="s">
        <v>50</v>
      </c>
      <c r="F8" s="21">
        <v>2</v>
      </c>
      <c r="G8" s="21"/>
      <c r="H8" s="21"/>
      <c r="I8" s="21"/>
    </row>
    <row r="9" spans="1:9">
      <c r="A9" s="21" t="s">
        <v>7</v>
      </c>
      <c r="B9" s="21">
        <v>29785845</v>
      </c>
      <c r="C9" s="21" t="s">
        <v>50</v>
      </c>
      <c r="F9" s="21">
        <v>3</v>
      </c>
      <c r="G9" s="21"/>
      <c r="H9" s="21"/>
      <c r="I9" s="21"/>
    </row>
    <row r="10" spans="1:9">
      <c r="A10" s="21" t="s">
        <v>9</v>
      </c>
      <c r="B10" s="21">
        <v>18611964</v>
      </c>
      <c r="C10" s="21" t="s">
        <v>50</v>
      </c>
      <c r="F10" s="21">
        <v>4</v>
      </c>
      <c r="G10" s="21"/>
      <c r="H10" s="21"/>
      <c r="I10" s="21"/>
    </row>
    <row r="11" spans="1:9">
      <c r="A11" s="21" t="s">
        <v>11</v>
      </c>
      <c r="B11" s="21">
        <v>17595772</v>
      </c>
      <c r="C11" s="21" t="s">
        <v>50</v>
      </c>
      <c r="F11" s="21">
        <v>5</v>
      </c>
      <c r="G11" s="21"/>
      <c r="H11" s="21"/>
      <c r="I11" s="21"/>
    </row>
    <row r="12" spans="1:9">
      <c r="A12" s="21" t="s">
        <v>2</v>
      </c>
      <c r="B12" s="21">
        <v>30046821</v>
      </c>
      <c r="C12" s="21" t="s">
        <v>51</v>
      </c>
      <c r="F12" s="21">
        <v>6</v>
      </c>
      <c r="G12" s="21"/>
      <c r="H12" s="21"/>
      <c r="I12" s="21"/>
    </row>
    <row r="13" spans="1:9">
      <c r="A13" s="21" t="s">
        <v>4</v>
      </c>
      <c r="B13" s="21">
        <v>17990552</v>
      </c>
      <c r="C13" s="21" t="s">
        <v>51</v>
      </c>
      <c r="F13" s="21">
        <v>7</v>
      </c>
      <c r="G13" s="21"/>
      <c r="H13" s="21"/>
      <c r="I13" s="21"/>
    </row>
    <row r="14" spans="1:9">
      <c r="A14" s="21" t="s">
        <v>6</v>
      </c>
      <c r="B14" s="21">
        <v>14379748</v>
      </c>
      <c r="C14" s="21" t="s">
        <v>51</v>
      </c>
      <c r="F14" s="21">
        <v>8</v>
      </c>
      <c r="G14" s="21"/>
      <c r="H14" s="21"/>
      <c r="I14" s="21"/>
    </row>
    <row r="15" spans="1:9">
      <c r="A15" s="21" t="s">
        <v>8</v>
      </c>
      <c r="B15" s="21">
        <v>18468285</v>
      </c>
      <c r="C15" s="21" t="s">
        <v>51</v>
      </c>
      <c r="F15" s="21">
        <v>9</v>
      </c>
      <c r="G15" s="21"/>
      <c r="H15" s="21"/>
      <c r="I15" s="21"/>
    </row>
    <row r="16" spans="1:9">
      <c r="A16" s="21" t="s">
        <v>14</v>
      </c>
      <c r="B16" s="21">
        <v>18254802</v>
      </c>
      <c r="C16" s="21" t="s">
        <v>51</v>
      </c>
      <c r="F16" s="21">
        <v>10</v>
      </c>
      <c r="G16" s="21"/>
      <c r="H16" s="21"/>
      <c r="I16" s="21"/>
    </row>
    <row r="17" spans="1:9" s="1" customFormat="1">
      <c r="A17" s="25"/>
      <c r="B17" s="25"/>
      <c r="C17" s="25"/>
      <c r="F17" s="21">
        <v>11</v>
      </c>
      <c r="G17" s="21"/>
      <c r="H17" s="21"/>
      <c r="I17" s="21"/>
    </row>
    <row r="18" spans="1:9" s="1" customFormat="1" ht="20.100000000000001" customHeight="1">
      <c r="A18" s="24" t="s">
        <v>371</v>
      </c>
      <c r="B18" s="22"/>
      <c r="C18" s="22"/>
      <c r="D18" s="22"/>
      <c r="F18" s="21">
        <v>12</v>
      </c>
      <c r="G18" s="21"/>
      <c r="H18" s="21"/>
      <c r="I18" s="21"/>
    </row>
    <row r="19" spans="1:9" s="1" customFormat="1">
      <c r="F19" s="21">
        <v>13</v>
      </c>
      <c r="G19" s="21"/>
      <c r="H19" s="21"/>
      <c r="I19" s="21"/>
    </row>
    <row r="20" spans="1:9" ht="21">
      <c r="A20" s="20" t="s">
        <v>45</v>
      </c>
      <c r="B20" s="20" t="s">
        <v>46</v>
      </c>
      <c r="C20" s="20" t="s">
        <v>47</v>
      </c>
      <c r="F20" s="21">
        <v>14</v>
      </c>
      <c r="G20" s="21"/>
      <c r="H20" s="21"/>
      <c r="I20" s="21"/>
    </row>
    <row r="21" spans="1:9">
      <c r="A21" s="21" t="s">
        <v>120</v>
      </c>
      <c r="B21" s="21">
        <v>24972191</v>
      </c>
      <c r="C21" s="21" t="s">
        <v>50</v>
      </c>
      <c r="F21" s="21">
        <v>15</v>
      </c>
      <c r="G21" s="21"/>
      <c r="H21" s="21"/>
      <c r="I21" s="21"/>
    </row>
    <row r="22" spans="1:9">
      <c r="A22" s="21" t="s">
        <v>121</v>
      </c>
      <c r="B22" s="21">
        <v>18422251</v>
      </c>
      <c r="C22" s="21" t="s">
        <v>51</v>
      </c>
      <c r="F22" s="21">
        <v>16</v>
      </c>
      <c r="G22" s="21"/>
      <c r="H22" s="21"/>
      <c r="I22" s="21"/>
    </row>
    <row r="23" spans="1:9">
      <c r="A23" s="21" t="s">
        <v>122</v>
      </c>
      <c r="B23" s="21">
        <v>14383233</v>
      </c>
      <c r="C23" s="21" t="s">
        <v>50</v>
      </c>
      <c r="F23" s="21">
        <v>17</v>
      </c>
      <c r="G23" s="21"/>
      <c r="H23" s="21"/>
      <c r="I23" s="21"/>
    </row>
    <row r="24" spans="1:9">
      <c r="A24" s="21" t="s">
        <v>123</v>
      </c>
      <c r="B24" s="21">
        <v>28082113</v>
      </c>
      <c r="C24" s="21" t="s">
        <v>51</v>
      </c>
    </row>
    <row r="25" spans="1:9" ht="24.95" customHeight="1">
      <c r="A25" s="21" t="s">
        <v>124</v>
      </c>
      <c r="B25" s="21">
        <v>16104188</v>
      </c>
      <c r="C25" s="21" t="s">
        <v>51</v>
      </c>
      <c r="E25" s="26"/>
      <c r="F25" s="23" t="s">
        <v>375</v>
      </c>
      <c r="G25" s="22"/>
      <c r="H25" s="22"/>
      <c r="I25" s="22"/>
    </row>
    <row r="26" spans="1:9" ht="15" customHeight="1">
      <c r="A26" s="21" t="s">
        <v>125</v>
      </c>
      <c r="B26" s="21">
        <v>26233912</v>
      </c>
      <c r="C26" s="21" t="s">
        <v>50</v>
      </c>
      <c r="F26" s="22"/>
      <c r="G26" s="22"/>
      <c r="H26" s="22"/>
      <c r="I26" s="22"/>
    </row>
    <row r="27" spans="1:9" ht="15" customHeight="1">
      <c r="A27" s="21" t="s">
        <v>126</v>
      </c>
      <c r="B27" s="21">
        <v>28529130</v>
      </c>
      <c r="C27" s="21" t="s">
        <v>50</v>
      </c>
      <c r="F27" s="20" t="s">
        <v>374</v>
      </c>
      <c r="G27" s="20" t="s">
        <v>45</v>
      </c>
      <c r="H27" s="20" t="s">
        <v>46</v>
      </c>
      <c r="I27" s="20" t="s">
        <v>47</v>
      </c>
    </row>
    <row r="28" spans="1:9" ht="15" customHeight="1">
      <c r="A28" s="21" t="s">
        <v>127</v>
      </c>
      <c r="B28" s="21">
        <v>26086041</v>
      </c>
      <c r="C28" s="21" t="s">
        <v>51</v>
      </c>
      <c r="F28" s="21">
        <v>1</v>
      </c>
      <c r="G28" s="21"/>
      <c r="H28" s="21"/>
      <c r="I28" s="21"/>
    </row>
    <row r="29" spans="1:9" ht="15" customHeight="1">
      <c r="A29" s="21" t="s">
        <v>128</v>
      </c>
      <c r="B29" s="21">
        <v>20700337</v>
      </c>
      <c r="C29" s="21" t="s">
        <v>50</v>
      </c>
      <c r="F29" s="21">
        <v>2</v>
      </c>
      <c r="G29" s="21"/>
      <c r="H29" s="21"/>
      <c r="I29" s="21"/>
    </row>
    <row r="30" spans="1:9" ht="15" customHeight="1">
      <c r="A30" s="21" t="s">
        <v>129</v>
      </c>
      <c r="B30" s="21">
        <v>19667127</v>
      </c>
      <c r="C30" s="21" t="s">
        <v>51</v>
      </c>
      <c r="F30" s="21">
        <v>3</v>
      </c>
      <c r="G30" s="21"/>
      <c r="H30" s="21"/>
      <c r="I30" s="21"/>
    </row>
    <row r="31" spans="1:9" ht="15" customHeight="1">
      <c r="A31" s="21" t="s">
        <v>130</v>
      </c>
      <c r="B31" s="21">
        <v>24710684</v>
      </c>
      <c r="C31" s="21" t="s">
        <v>50</v>
      </c>
      <c r="F31" s="21">
        <v>4</v>
      </c>
      <c r="G31" s="21"/>
      <c r="H31" s="21"/>
      <c r="I31" s="21"/>
    </row>
    <row r="32" spans="1:9" ht="15" customHeight="1">
      <c r="A32" s="21" t="s">
        <v>131</v>
      </c>
      <c r="B32" s="21">
        <v>27084198</v>
      </c>
      <c r="C32" s="21" t="s">
        <v>51</v>
      </c>
      <c r="F32" s="21">
        <v>5</v>
      </c>
      <c r="G32" s="21"/>
      <c r="H32" s="21"/>
      <c r="I32" s="21"/>
    </row>
    <row r="33" spans="1:9">
      <c r="A33" s="21" t="s">
        <v>132</v>
      </c>
      <c r="B33" s="21">
        <v>19621336</v>
      </c>
      <c r="C33" s="21" t="s">
        <v>51</v>
      </c>
      <c r="F33" s="21">
        <v>6</v>
      </c>
      <c r="G33" s="21"/>
      <c r="H33" s="21"/>
      <c r="I33" s="21"/>
    </row>
    <row r="34" spans="1:9">
      <c r="A34" s="21" t="s">
        <v>133</v>
      </c>
      <c r="B34" s="21">
        <v>15496280</v>
      </c>
      <c r="C34" s="21" t="s">
        <v>50</v>
      </c>
      <c r="F34" s="21">
        <v>7</v>
      </c>
      <c r="G34" s="21"/>
      <c r="H34" s="21"/>
      <c r="I34" s="21"/>
    </row>
    <row r="35" spans="1:9">
      <c r="A35" s="21" t="s">
        <v>134</v>
      </c>
      <c r="B35" s="21">
        <v>24859431</v>
      </c>
      <c r="C35" s="21" t="s">
        <v>50</v>
      </c>
      <c r="F35" s="21">
        <v>8</v>
      </c>
      <c r="G35" s="21"/>
      <c r="H35" s="21"/>
      <c r="I35" s="21"/>
    </row>
    <row r="36" spans="1:9">
      <c r="A36" s="21" t="s">
        <v>135</v>
      </c>
      <c r="B36" s="21">
        <v>12753168</v>
      </c>
      <c r="C36" s="21" t="s">
        <v>51</v>
      </c>
      <c r="F36" s="21">
        <v>9</v>
      </c>
      <c r="G36" s="21"/>
      <c r="H36" s="21"/>
      <c r="I36" s="21"/>
    </row>
    <row r="37" spans="1:9">
      <c r="A37" s="21" t="s">
        <v>136</v>
      </c>
      <c r="B37" s="21">
        <v>19666658</v>
      </c>
      <c r="C37" s="21" t="s">
        <v>51</v>
      </c>
      <c r="F37" s="21">
        <v>10</v>
      </c>
      <c r="G37" s="21"/>
      <c r="H37" s="21"/>
      <c r="I37" s="21"/>
    </row>
    <row r="38" spans="1:9">
      <c r="A38" s="21" t="s">
        <v>137</v>
      </c>
      <c r="B38" s="21">
        <v>27502430</v>
      </c>
      <c r="C38" s="21" t="s">
        <v>50</v>
      </c>
      <c r="F38" s="21">
        <v>11</v>
      </c>
      <c r="G38" s="21"/>
      <c r="H38" s="21"/>
      <c r="I38" s="21"/>
    </row>
    <row r="39" spans="1:9" s="1" customFormat="1">
      <c r="A39" s="21" t="s">
        <v>138</v>
      </c>
      <c r="B39" s="21">
        <v>29812447</v>
      </c>
      <c r="C39" s="21" t="s">
        <v>51</v>
      </c>
      <c r="D39"/>
      <c r="F39" s="21">
        <v>12</v>
      </c>
      <c r="G39" s="21"/>
      <c r="H39" s="21"/>
      <c r="I39" s="21"/>
    </row>
    <row r="40" spans="1:9">
      <c r="F40" s="21">
        <v>13</v>
      </c>
      <c r="G40" s="21"/>
      <c r="H40" s="21"/>
      <c r="I40" s="21"/>
    </row>
    <row r="41" spans="1:9">
      <c r="F41" s="21">
        <v>14</v>
      </c>
      <c r="G41" s="21"/>
      <c r="H41" s="21"/>
      <c r="I41" s="21"/>
    </row>
    <row r="42" spans="1:9">
      <c r="F42" s="21">
        <v>15</v>
      </c>
      <c r="G42" s="21"/>
      <c r="H42" s="21"/>
      <c r="I42" s="21"/>
    </row>
    <row r="43" spans="1:9">
      <c r="F43" s="21">
        <v>16</v>
      </c>
      <c r="G43" s="21"/>
      <c r="H43" s="21"/>
      <c r="I43" s="21"/>
    </row>
    <row r="46" spans="1:9" s="1" customFormat="1" ht="33.75">
      <c r="F46" s="178" t="s">
        <v>369</v>
      </c>
      <c r="G46" s="178"/>
      <c r="H46" s="178"/>
      <c r="I46" s="178"/>
    </row>
    <row r="47" spans="1:9" s="1" customFormat="1" ht="15" customHeight="1">
      <c r="A47" s="178" t="s">
        <v>369</v>
      </c>
      <c r="B47" s="178"/>
      <c r="C47" s="178"/>
      <c r="D47" s="178"/>
      <c r="F47"/>
      <c r="G47"/>
      <c r="H47"/>
      <c r="I47"/>
    </row>
    <row r="48" spans="1:9" ht="20.100000000000001" customHeight="1">
      <c r="A48" s="178"/>
      <c r="B48" s="178"/>
      <c r="C48" s="178"/>
      <c r="D48" s="178"/>
      <c r="F48" s="23" t="s">
        <v>376</v>
      </c>
      <c r="G48" s="22"/>
      <c r="H48" s="22"/>
      <c r="I48" s="22"/>
    </row>
    <row r="49" spans="1:9" s="1" customFormat="1" ht="15" customHeight="1">
      <c r="F49" s="22"/>
      <c r="G49" s="22"/>
      <c r="H49" s="22"/>
      <c r="I49" s="22"/>
    </row>
    <row r="50" spans="1:9" ht="20.100000000000001" customHeight="1">
      <c r="A50" s="24" t="s">
        <v>372</v>
      </c>
      <c r="B50" s="22"/>
      <c r="C50" s="22"/>
      <c r="F50" s="20" t="s">
        <v>374</v>
      </c>
      <c r="G50" s="20" t="s">
        <v>45</v>
      </c>
      <c r="H50" s="20" t="s">
        <v>46</v>
      </c>
      <c r="I50" s="20" t="s">
        <v>47</v>
      </c>
    </row>
    <row r="51" spans="1:9">
      <c r="F51" s="21">
        <v>1</v>
      </c>
      <c r="G51" s="21"/>
      <c r="H51" s="21"/>
      <c r="I51" s="21"/>
    </row>
    <row r="52" spans="1:9" ht="21">
      <c r="A52" s="20" t="s">
        <v>45</v>
      </c>
      <c r="B52" s="20" t="s">
        <v>46</v>
      </c>
      <c r="C52" s="20" t="s">
        <v>47</v>
      </c>
      <c r="F52" s="21">
        <v>2</v>
      </c>
      <c r="G52" s="21"/>
      <c r="H52" s="21"/>
      <c r="I52" s="21"/>
    </row>
    <row r="53" spans="1:9" ht="15" customHeight="1">
      <c r="A53" s="21" t="s">
        <v>207</v>
      </c>
      <c r="B53" s="21">
        <v>30889139</v>
      </c>
      <c r="C53" s="21" t="s">
        <v>344</v>
      </c>
      <c r="F53" s="21">
        <v>3</v>
      </c>
      <c r="G53" s="21"/>
      <c r="H53" s="21"/>
      <c r="I53" s="21"/>
    </row>
    <row r="54" spans="1:9" ht="15" customHeight="1">
      <c r="A54" s="21" t="s">
        <v>345</v>
      </c>
      <c r="B54" s="21"/>
      <c r="C54" s="21" t="s">
        <v>346</v>
      </c>
      <c r="F54" s="21">
        <v>4</v>
      </c>
      <c r="G54" s="21"/>
      <c r="H54" s="21"/>
      <c r="I54" s="21"/>
    </row>
    <row r="55" spans="1:9" ht="15" customHeight="1">
      <c r="A55" s="21" t="s">
        <v>347</v>
      </c>
      <c r="B55" s="21"/>
      <c r="C55" s="21" t="s">
        <v>346</v>
      </c>
      <c r="F55" s="21">
        <v>5</v>
      </c>
      <c r="G55" s="21"/>
      <c r="H55" s="21"/>
      <c r="I55" s="21"/>
    </row>
    <row r="56" spans="1:9" ht="15" customHeight="1">
      <c r="A56" s="21" t="s">
        <v>348</v>
      </c>
      <c r="B56" s="21"/>
      <c r="C56" s="21" t="s">
        <v>346</v>
      </c>
      <c r="F56" s="21">
        <v>6</v>
      </c>
      <c r="G56" s="21"/>
      <c r="H56" s="21"/>
      <c r="I56" s="21"/>
    </row>
    <row r="57" spans="1:9" ht="15" customHeight="1">
      <c r="A57" s="21" t="s">
        <v>349</v>
      </c>
      <c r="B57" s="21"/>
      <c r="C57" s="21" t="s">
        <v>346</v>
      </c>
      <c r="F57" s="21">
        <v>7</v>
      </c>
      <c r="G57" s="21"/>
      <c r="H57" s="21"/>
      <c r="I57" s="21"/>
    </row>
    <row r="58" spans="1:9">
      <c r="A58" s="21" t="s">
        <v>363</v>
      </c>
      <c r="B58" s="21">
        <v>19130427</v>
      </c>
      <c r="C58" s="21" t="s">
        <v>300</v>
      </c>
      <c r="F58" s="21">
        <v>8</v>
      </c>
      <c r="G58" s="21"/>
      <c r="H58" s="21"/>
      <c r="I58" s="21"/>
    </row>
    <row r="59" spans="1:9">
      <c r="A59" s="21" t="s">
        <v>364</v>
      </c>
      <c r="B59" s="21">
        <v>15653907</v>
      </c>
      <c r="C59" s="21" t="s">
        <v>302</v>
      </c>
      <c r="F59" s="21">
        <v>9</v>
      </c>
      <c r="G59" s="21"/>
      <c r="H59" s="21"/>
      <c r="I59" s="21"/>
    </row>
    <row r="60" spans="1:9">
      <c r="A60" s="21" t="s">
        <v>365</v>
      </c>
      <c r="B60" s="21">
        <v>11197770</v>
      </c>
      <c r="C60" s="21" t="s">
        <v>350</v>
      </c>
      <c r="F60" s="21">
        <v>10</v>
      </c>
      <c r="G60" s="21"/>
      <c r="H60" s="21"/>
      <c r="I60" s="21"/>
    </row>
    <row r="61" spans="1:9">
      <c r="A61" s="21" t="s">
        <v>366</v>
      </c>
      <c r="B61" s="21">
        <v>17899815</v>
      </c>
      <c r="C61" s="21" t="s">
        <v>300</v>
      </c>
      <c r="F61" s="21">
        <v>11</v>
      </c>
      <c r="G61" s="21"/>
      <c r="H61" s="21"/>
      <c r="I61" s="21"/>
    </row>
    <row r="62" spans="1:9">
      <c r="A62" s="21" t="s">
        <v>367</v>
      </c>
      <c r="B62" s="21">
        <v>27393998</v>
      </c>
      <c r="C62" s="21" t="s">
        <v>302</v>
      </c>
      <c r="F62" s="21">
        <v>12</v>
      </c>
      <c r="G62" s="21"/>
      <c r="H62" s="21"/>
      <c r="I62" s="21"/>
    </row>
    <row r="63" spans="1:9">
      <c r="A63" s="21" t="s">
        <v>351</v>
      </c>
      <c r="B63" s="21"/>
      <c r="C63" s="21" t="s">
        <v>302</v>
      </c>
      <c r="F63" s="21">
        <v>13</v>
      </c>
      <c r="G63" s="21"/>
      <c r="H63" s="21"/>
      <c r="I63" s="21"/>
    </row>
    <row r="64" spans="1:9">
      <c r="A64" s="21" t="s">
        <v>352</v>
      </c>
      <c r="B64" s="21">
        <v>20959115</v>
      </c>
      <c r="C64" s="21" t="s">
        <v>50</v>
      </c>
      <c r="F64" s="21">
        <v>14</v>
      </c>
      <c r="G64" s="21"/>
      <c r="H64" s="21"/>
      <c r="I64" s="21"/>
    </row>
    <row r="65" spans="1:9">
      <c r="A65" s="21" t="s">
        <v>353</v>
      </c>
      <c r="B65" s="21">
        <v>10230740</v>
      </c>
      <c r="C65" s="21" t="s">
        <v>50</v>
      </c>
      <c r="F65" s="21">
        <v>15</v>
      </c>
      <c r="G65" s="21"/>
      <c r="H65" s="21"/>
      <c r="I65" s="21"/>
    </row>
    <row r="66" spans="1:9">
      <c r="A66" s="21" t="s">
        <v>354</v>
      </c>
      <c r="B66" s="21">
        <v>6197994</v>
      </c>
      <c r="C66" s="21" t="s">
        <v>50</v>
      </c>
      <c r="F66" s="21">
        <v>16</v>
      </c>
      <c r="G66" s="21"/>
      <c r="H66" s="21"/>
      <c r="I66" s="21"/>
    </row>
    <row r="67" spans="1:9">
      <c r="A67" s="21" t="s">
        <v>355</v>
      </c>
      <c r="B67" s="21">
        <v>15606713</v>
      </c>
      <c r="C67" s="21" t="s">
        <v>50</v>
      </c>
    </row>
    <row r="68" spans="1:9">
      <c r="A68" s="21" t="s">
        <v>356</v>
      </c>
      <c r="B68" s="21">
        <v>25476329</v>
      </c>
      <c r="C68" s="21" t="s">
        <v>50</v>
      </c>
    </row>
    <row r="69" spans="1:9">
      <c r="A69" s="21" t="s">
        <v>357</v>
      </c>
      <c r="B69" s="21">
        <v>24918294</v>
      </c>
      <c r="C69" s="21" t="s">
        <v>50</v>
      </c>
    </row>
    <row r="70" spans="1:9">
      <c r="A70" s="21" t="s">
        <v>358</v>
      </c>
      <c r="B70" s="21">
        <v>16447676</v>
      </c>
      <c r="C70" s="21" t="s">
        <v>50</v>
      </c>
    </row>
    <row r="71" spans="1:9">
      <c r="A71" s="21" t="s">
        <v>359</v>
      </c>
      <c r="B71" s="21">
        <v>27502144</v>
      </c>
      <c r="C71" s="21" t="s">
        <v>50</v>
      </c>
    </row>
    <row r="72" spans="1:9">
      <c r="A72" s="21" t="s">
        <v>360</v>
      </c>
      <c r="B72" s="21">
        <v>17905449</v>
      </c>
      <c r="C72" s="21" t="s">
        <v>50</v>
      </c>
    </row>
    <row r="73" spans="1:9">
      <c r="A73" s="21" t="s">
        <v>361</v>
      </c>
      <c r="B73" s="21">
        <v>22210555</v>
      </c>
      <c r="C73" s="21" t="s">
        <v>50</v>
      </c>
    </row>
  </sheetData>
  <mergeCells count="4">
    <mergeCell ref="F46:I46"/>
    <mergeCell ref="A2:D3"/>
    <mergeCell ref="A47:D48"/>
    <mergeCell ref="F2:I3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20</vt:i4>
      </vt:variant>
    </vt:vector>
  </HeadingPairs>
  <TitlesOfParts>
    <vt:vector size="20" baseType="lpstr">
      <vt:lpstr>Hoja5 (2)</vt:lpstr>
      <vt:lpstr>Dist.por Dpto.</vt:lpstr>
      <vt:lpstr>Dist.por Edo.</vt:lpstr>
      <vt:lpstr>Data Completa</vt:lpstr>
      <vt:lpstr>Dat. Sin Egreso</vt:lpstr>
      <vt:lpstr>Hoja2</vt:lpstr>
      <vt:lpstr>Hoja5</vt:lpstr>
      <vt:lpstr>Data Completa Orden</vt:lpstr>
      <vt:lpstr>Certificados</vt:lpstr>
      <vt:lpstr>No Certificados</vt:lpstr>
      <vt:lpstr>Tabla Dinamica No Certificados</vt:lpstr>
      <vt:lpstr>grafica</vt:lpstr>
      <vt:lpstr>No Certificados x Dpto.</vt:lpstr>
      <vt:lpstr>No y Si Certificados x Cargo</vt:lpstr>
      <vt:lpstr>1 Etapa Aprobada</vt:lpstr>
      <vt:lpstr>2 Etapa Aprobada</vt:lpstr>
      <vt:lpstr>3 Etapa Por Cursar</vt:lpstr>
      <vt:lpstr>Si Certificados x Dpto.</vt:lpstr>
      <vt:lpstr>Hoja3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Bautista</dc:creator>
  <cp:lastModifiedBy>Gloried Vera</cp:lastModifiedBy>
  <cp:lastPrinted>2025-12-16T19:00:04Z</cp:lastPrinted>
  <dcterms:created xsi:type="dcterms:W3CDTF">2025-09-24T16:08:59Z</dcterms:created>
  <dcterms:modified xsi:type="dcterms:W3CDTF">2026-04-09T18:48:35Z</dcterms:modified>
</cp:coreProperties>
</file>